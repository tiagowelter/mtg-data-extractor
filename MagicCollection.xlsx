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Página5" sheetId="2" state="visible" r:id="rId2"/>
    <sheet xmlns:r="http://schemas.openxmlformats.org/officeDocument/2006/relationships" name="BulkShopee" sheetId="3" state="visible" r:id="rId3"/>
    <sheet xmlns:r="http://schemas.openxmlformats.org/officeDocument/2006/relationships" name="CMDAssemble" sheetId="4" state="visible" r:id="rId4"/>
  </sheets>
  <definedNames/>
  <calcPr calcId="124519" fullCalcOnLoad="1"/>
</workbook>
</file>

<file path=xl/styles.xml><?xml version="1.0" encoding="utf-8"?>
<styleSheet xmlns="http://schemas.openxmlformats.org/spreadsheetml/2006/main">
  <numFmts count="3">
    <numFmt numFmtId="164" formatCode="[$R$ -416]#,##0.00"/>
    <numFmt numFmtId="165" formatCode="[$R$ -416]#,##0.0000"/>
    <numFmt numFmtId="166" formatCode="d/m"/>
  </numFmts>
  <fonts count="3">
    <font>
      <name val="Arial"/>
      <color rgb="FF000000"/>
      <sz val="10"/>
      <scheme val="minor"/>
    </font>
    <font>
      <name val="Arial"/>
      <b val="1"/>
      <color theme="1"/>
      <scheme val="minor"/>
    </font>
    <font>
      <name val="Arial"/>
      <color theme="1"/>
      <scheme val="minor"/>
    </font>
  </fonts>
  <fills count="4">
    <fill>
      <patternFill/>
    </fill>
    <fill>
      <patternFill patternType="lightGray"/>
    </fill>
    <fill>
      <patternFill patternType="solid">
        <fgColor rgb="FFF3F3F3"/>
        <bgColor rgb="FFF3F3F3"/>
      </patternFill>
    </fill>
    <fill>
      <patternFill patternType="solid">
        <fgColor theme="6"/>
        <bgColor theme="6"/>
      </patternFill>
    </fill>
  </fills>
  <borders count="1">
    <border/>
  </borders>
  <cellStyleXfs count="1">
    <xf numFmtId="0" fontId="0" fillId="0" borderId="0"/>
  </cellStyleXfs>
  <cellXfs count="19">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165"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166" fontId="2" fillId="0" borderId="0" pivotButton="0" quotePrefix="0" xfId="0"/>
    <xf numFmtId="0" fontId="2" fillId="0" borderId="0" pivotButton="0" quotePrefix="0" xfId="0"/>
    <xf numFmtId="0" fontId="1" fillId="2" borderId="0" applyAlignment="1" pivotButton="0" quotePrefix="0" xfId="0">
      <alignment horizontal="left"/>
    </xf>
    <xf numFmtId="0" fontId="2" fillId="0" borderId="0" applyAlignment="1" pivotButton="0" quotePrefix="0" xfId="0">
      <alignment horizontal="right"/>
    </xf>
    <xf numFmtId="0" fontId="1" fillId="2" borderId="0" applyAlignment="1" pivotButton="0" quotePrefix="0" xfId="0">
      <alignment horizontal="right"/>
    </xf>
    <xf numFmtId="0" fontId="2" fillId="3" borderId="0" pivotButton="0" quotePrefix="0" xfId="0"/>
    <xf numFmtId="166" fontId="2" fillId="3" borderId="0" pivotButton="0" quotePrefix="0" xfId="0"/>
    <xf numFmtId="0" fontId="2" fillId="3"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4286"/>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8" min="1" max="1"/>
    <col width="16.75" customWidth="1" style="18" min="2" max="2"/>
    <col width="8.130000000000001" customWidth="1" style="18" min="3" max="3"/>
    <col width="14.25" customWidth="1" style="18" min="4" max="4"/>
    <col width="11.13" customWidth="1" style="18" min="5" max="5"/>
    <col width="15.13" customWidth="1" style="18" min="6" max="6"/>
    <col width="12" customWidth="1" style="18" min="7" max="7"/>
    <col width="40" customWidth="1" style="18" min="8" max="8"/>
    <col width="6.13" customWidth="1" style="18" min="9" max="9"/>
    <col width="4.75" customWidth="1" style="18" min="10" max="10"/>
    <col width="5.75" customWidth="1" style="18" min="11" max="11"/>
    <col width="3.88" customWidth="1" style="18" min="12" max="12"/>
    <col width="7.75" customWidth="1" style="18" min="13" max="13"/>
    <col width="10.13" customWidth="1" style="18" min="14" max="14"/>
    <col width="4.75" customWidth="1" style="18" min="15" max="15"/>
    <col width="8.75" customWidth="1" style="18"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5">
        <f>N1/O1</f>
        <v/>
      </c>
      <c r="Q1" s="4" t="n"/>
      <c r="R1" s="4" t="n"/>
      <c r="S1" s="4" t="n"/>
      <c r="T1" s="4" t="n"/>
      <c r="U1" s="4" t="n"/>
      <c r="V1" s="4" t="n"/>
      <c r="W1" s="4" t="n"/>
      <c r="X1" s="4" t="n"/>
      <c r="Y1" s="4" t="n"/>
    </row>
    <row r="2">
      <c r="A2" s="11" t="inlineStr">
        <is>
          <t>Nature's Panoply / Panóplia da Natureza</t>
        </is>
      </c>
      <c r="B2" s="11" t="inlineStr">
        <is>
          <t>Mágica Instantânea</t>
        </is>
      </c>
      <c r="C2" s="11" t="inlineStr">
        <is>
          <t>Comum</t>
        </is>
      </c>
      <c r="D2" s="11" t="inlineStr">
        <is>
          <t>Esforço — Panóplia da Natureza custa 2G a mais para ser conjurado para cada alvo além do primeiro. Escolha qualquer número de criaturas alvo. Coloque um marcador +1/+1 em cada uma delas.</t>
        </is>
      </c>
      <c r="E2" s="11" t="inlineStr">
        <is>
          <t>G</t>
        </is>
      </c>
      <c r="F2" s="11" t="inlineStr">
        <is>
          <t>Verde</t>
        </is>
      </c>
      <c r="G2" s="8" t="n">
        <v>0.03</v>
      </c>
      <c r="H2" s="11" t="inlineStr">
        <is>
          <t>Journey into Nyx</t>
        </is>
      </c>
      <c r="I2" s="11" t="inlineStr">
        <is>
          <t>Não</t>
        </is>
      </c>
      <c r="J2" s="11" t="n">
        <v>2014</v>
      </c>
      <c r="L2" s="11" t="n">
        <v>7</v>
      </c>
      <c r="M2" s="8">
        <f>L2*G2</f>
        <v/>
      </c>
      <c r="P2" s="9" t="n"/>
    </row>
    <row r="3">
      <c r="A3" s="11" t="inlineStr">
        <is>
          <t>Entregar ao Pó</t>
        </is>
      </c>
      <c r="B3" s="11" t="inlineStr">
        <is>
          <t>Mágica Instantânea</t>
        </is>
      </c>
      <c r="C3" s="11" t="inlineStr">
        <is>
          <t>Incomum</t>
        </is>
      </c>
      <c r="D3" s="11" t="inlineStr">
        <is>
          <t>Esforço — Entregar ao Pó custa 2G a mais para ser conjurado para cada alvo além do primeiro. Destrua qualquer número de artefatos e/ou encantamentos alvo.</t>
        </is>
      </c>
      <c r="E3" s="11" t="inlineStr">
        <is>
          <t>2G</t>
        </is>
      </c>
      <c r="F3" s="11" t="inlineStr">
        <is>
          <t>Verde</t>
        </is>
      </c>
      <c r="G3" s="8" t="n">
        <v>0.05</v>
      </c>
      <c r="H3" s="11" t="inlineStr">
        <is>
          <t>Journey into Nyx</t>
        </is>
      </c>
      <c r="I3" s="11" t="inlineStr">
        <is>
          <t>Não</t>
        </is>
      </c>
      <c r="J3" s="11" t="n">
        <v>2014</v>
      </c>
      <c r="L3" s="11" t="n">
        <v>1</v>
      </c>
      <c r="M3" s="8">
        <f>L3*G3</f>
        <v/>
      </c>
      <c r="P3" s="9" t="n"/>
    </row>
    <row r="4">
      <c r="A4" s="11" t="inlineStr">
        <is>
          <t>Heróis Colossais</t>
        </is>
      </c>
      <c r="B4" s="11" t="inlineStr">
        <is>
          <t>Mágica Instantânea</t>
        </is>
      </c>
      <c r="C4" s="11" t="inlineStr">
        <is>
          <t>Incomum</t>
        </is>
      </c>
      <c r="D4" s="11" t="inlineStr">
        <is>
          <t>Esforço — Heróis Colossais custa 1G a mais para ser conjurado para cada alvo além do primeiro. Qualquer número de criaturas alvo recebe +2/+2 até o final do turno. Desvire aquelas criaturas.</t>
        </is>
      </c>
      <c r="E4" s="11" t="inlineStr">
        <is>
          <t>2G</t>
        </is>
      </c>
      <c r="F4" s="11" t="inlineStr">
        <is>
          <t>Verde</t>
        </is>
      </c>
      <c r="G4" s="8" t="n">
        <v>0.02</v>
      </c>
      <c r="H4" s="11" t="inlineStr">
        <is>
          <t>Journey into Nyx</t>
        </is>
      </c>
      <c r="I4" s="11" t="inlineStr">
        <is>
          <t>Não</t>
        </is>
      </c>
      <c r="J4" s="11" t="n">
        <v>2014</v>
      </c>
      <c r="L4" s="11" t="n">
        <v>3</v>
      </c>
      <c r="M4" s="8">
        <f>L4*G4</f>
        <v/>
      </c>
      <c r="P4" s="9" t="n"/>
    </row>
    <row r="5">
      <c r="A5" s="11" t="inlineStr">
        <is>
          <t>Humbler of Mortals / Humilhador de Mortais</t>
        </is>
      </c>
      <c r="B5" s="11" t="inlineStr">
        <is>
          <t>Criatura Encantamento — Elemental</t>
        </is>
      </c>
      <c r="C5" s="11" t="inlineStr">
        <is>
          <t>Incomum</t>
        </is>
      </c>
      <c r="D5" s="11" t="inlineStr">
        <is>
          <t>Constelação — Toda vez que Humilhador de Mortais ou outro encantamento entra no campo de batalha sob seu controle, as criaturas que você controla ganham atropelar até o final do turno.</t>
        </is>
      </c>
      <c r="E5" s="11" t="inlineStr">
        <is>
          <t>4GG</t>
        </is>
      </c>
      <c r="F5" s="11" t="inlineStr">
        <is>
          <t>Verde</t>
        </is>
      </c>
      <c r="G5" s="8" t="n">
        <v>0.03</v>
      </c>
      <c r="H5" s="11" t="inlineStr">
        <is>
          <t>Journey into Nyx</t>
        </is>
      </c>
      <c r="I5" s="11" t="inlineStr">
        <is>
          <t>Sim</t>
        </is>
      </c>
      <c r="J5" s="11" t="n">
        <v>2014</v>
      </c>
      <c r="K5" s="10" t="n">
        <v>46147</v>
      </c>
      <c r="L5" s="11" t="n">
        <v>3</v>
      </c>
      <c r="M5" s="8">
        <f>L5*G5</f>
        <v/>
      </c>
      <c r="P5" s="9" t="n"/>
    </row>
    <row r="6">
      <c r="A6" s="11" t="inlineStr">
        <is>
          <t>Market Festival / Festival do Mercado</t>
        </is>
      </c>
      <c r="B6" s="11" t="inlineStr">
        <is>
          <t>Encantamento — Aura</t>
        </is>
      </c>
      <c r="C6" s="11" t="inlineStr">
        <is>
          <t>Comum</t>
        </is>
      </c>
      <c r="D6" s="11" t="inlineStr">
        <is>
          <t>Encantar terreno Toda vez que o terreno encantado é virado para gerar mana, seu controlador adiciona dois manas de qualquer combinação de cores à sua reserva de mana (além do mana que o terreno gera).</t>
        </is>
      </c>
      <c r="E6" s="11" t="inlineStr">
        <is>
          <t>3G</t>
        </is>
      </c>
      <c r="F6" s="11" t="inlineStr">
        <is>
          <t>Verde</t>
        </is>
      </c>
      <c r="G6" s="8" t="n">
        <v>0.03</v>
      </c>
      <c r="H6" s="11" t="inlineStr">
        <is>
          <t>Journey into Nyx</t>
        </is>
      </c>
      <c r="I6" s="11" t="inlineStr">
        <is>
          <t>Não</t>
        </is>
      </c>
      <c r="J6" s="11" t="n">
        <v>2014</v>
      </c>
      <c r="L6" s="11" t="n">
        <v>4</v>
      </c>
      <c r="M6" s="8">
        <f>L6*G6</f>
        <v/>
      </c>
      <c r="P6" s="9" t="n"/>
    </row>
    <row r="7">
      <c r="A7" s="11" t="inlineStr">
        <is>
          <t>Ciclope Glutão</t>
        </is>
      </c>
      <c r="B7" s="11" t="inlineStr">
        <is>
          <t>Criatura — Ciclope</t>
        </is>
      </c>
      <c r="C7" s="11" t="inlineStr">
        <is>
          <t>Comum</t>
        </is>
      </c>
      <c r="D7" s="11" t="inlineStr">
        <is>
          <t>5RR: Monstruosidade 3. (Se esta criatura não for monstruosa, coloque três marcadores +1/+1 nela e ela se tornará monstruosa.)</t>
        </is>
      </c>
      <c r="E7" s="11" t="inlineStr">
        <is>
          <t>5R</t>
        </is>
      </c>
      <c r="F7" s="11" t="inlineStr">
        <is>
          <t>Vermelha</t>
        </is>
      </c>
      <c r="G7" s="8" t="n">
        <v>0.03</v>
      </c>
      <c r="H7" s="11" t="inlineStr">
        <is>
          <t>Journey into Nyx</t>
        </is>
      </c>
      <c r="I7" s="11" t="inlineStr">
        <is>
          <t>Não</t>
        </is>
      </c>
      <c r="J7" s="11" t="n">
        <v>2014</v>
      </c>
      <c r="K7" s="10" t="n">
        <v>46117</v>
      </c>
      <c r="L7" s="11" t="n">
        <v>2</v>
      </c>
      <c r="M7" s="8">
        <f>L7*G7</f>
        <v/>
      </c>
      <c r="P7" s="9" t="n"/>
    </row>
    <row r="8">
      <c r="A8" s="11" t="inlineStr">
        <is>
          <t>Enigma do Relâmpago</t>
        </is>
      </c>
      <c r="B8" s="11" t="inlineStr">
        <is>
          <t>Mágica Instantânea</t>
        </is>
      </c>
      <c r="C8" s="11" t="inlineStr">
        <is>
          <t>Incomum</t>
        </is>
      </c>
      <c r="D8" s="11"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11" t="inlineStr">
        <is>
          <t>3RR</t>
        </is>
      </c>
      <c r="F8" s="11" t="inlineStr">
        <is>
          <t>Vermelha</t>
        </is>
      </c>
      <c r="G8" s="8" t="n">
        <v>0.05</v>
      </c>
      <c r="H8" s="11" t="inlineStr">
        <is>
          <t>Journey into Nyx</t>
        </is>
      </c>
      <c r="I8" s="11" t="inlineStr">
        <is>
          <t>Não</t>
        </is>
      </c>
      <c r="J8" s="11" t="n">
        <v>2014</v>
      </c>
      <c r="L8" s="11" t="n">
        <v>1</v>
      </c>
      <c r="M8" s="8">
        <f>L8*G8</f>
        <v/>
      </c>
      <c r="P8" s="9" t="n"/>
    </row>
    <row r="9">
      <c r="A9" s="11" t="inlineStr">
        <is>
          <t>Javali Presa de Navalha</t>
        </is>
      </c>
      <c r="B9" s="11" t="inlineStr">
        <is>
          <t>Criatura — Javali</t>
        </is>
      </c>
      <c r="C9" s="11" t="inlineStr">
        <is>
          <t>Comum</t>
        </is>
      </c>
      <c r="D9" s="11" t="inlineStr">
        <is>
          <t>Intimidar (Esta criatura só pode ser bloqueada por criaturas artefato e/ou criaturas que compartilhem uma cor com ela.)</t>
        </is>
      </c>
      <c r="E9" s="11" t="inlineStr">
        <is>
          <t>3R</t>
        </is>
      </c>
      <c r="F9" s="11" t="inlineStr">
        <is>
          <t>Vermelha</t>
        </is>
      </c>
      <c r="G9" s="8" t="n">
        <v>0.03</v>
      </c>
      <c r="H9" s="11" t="inlineStr">
        <is>
          <t>Journey into Nyx</t>
        </is>
      </c>
      <c r="I9" s="11" t="inlineStr">
        <is>
          <t>Não</t>
        </is>
      </c>
      <c r="J9" s="11" t="n">
        <v>2014</v>
      </c>
      <c r="K9" s="10" t="n">
        <v>46056</v>
      </c>
      <c r="L9" s="11" t="n">
        <v>4</v>
      </c>
      <c r="M9" s="8">
        <f>L9*G9</f>
        <v/>
      </c>
      <c r="P9" s="9" t="n"/>
    </row>
    <row r="10">
      <c r="A10" s="11" t="inlineStr">
        <is>
          <t>Incitar a Turba</t>
        </is>
      </c>
      <c r="B10" s="11" t="inlineStr">
        <is>
          <t>Mágica Instantânea</t>
        </is>
      </c>
      <c r="C10" s="11" t="inlineStr">
        <is>
          <t>Comum</t>
        </is>
      </c>
      <c r="D10" s="11" t="inlineStr">
        <is>
          <t>Esforço — Incitar a Turba custa 2R a mais para ser conjurado para cada alvo além do primeiro. Qualquer número de criaturas alvo recebe +2/+0 e ganha atropelar até o final do turno.</t>
        </is>
      </c>
      <c r="E10" s="11" t="inlineStr">
        <is>
          <t>R</t>
        </is>
      </c>
      <c r="F10" s="11" t="inlineStr">
        <is>
          <t>Vermelha</t>
        </is>
      </c>
      <c r="G10" s="8" t="n">
        <v>0.03</v>
      </c>
      <c r="H10" s="11" t="inlineStr">
        <is>
          <t>Journey into Nyx</t>
        </is>
      </c>
      <c r="I10" s="11" t="inlineStr">
        <is>
          <t>Não</t>
        </is>
      </c>
      <c r="J10" s="11" t="n">
        <v>2014</v>
      </c>
      <c r="L10" s="11" t="n">
        <v>3</v>
      </c>
      <c r="M10" s="8">
        <f>L10*G10</f>
        <v/>
      </c>
      <c r="P10" s="9" t="n"/>
    </row>
    <row r="11">
      <c r="A11" s="11" t="inlineStr">
        <is>
          <t>Lagarto Rúnico</t>
        </is>
      </c>
      <c r="B11" s="11" t="inlineStr">
        <is>
          <t>Criatura — Lagarto</t>
        </is>
      </c>
      <c r="C11" s="11" t="inlineStr">
        <is>
          <t>Comum</t>
        </is>
      </c>
      <c r="D11" s="11" t="inlineStr">
        <is>
          <t>Toda vez que Lagarto Rúnico atacar, use vidência 1. (Olhe o card do topo de seu grimório. Você pode colocar aquele card no fundo de seu grimório.)</t>
        </is>
      </c>
      <c r="E11" s="11" t="inlineStr">
        <is>
          <t>1R</t>
        </is>
      </c>
      <c r="F11" s="11" t="inlineStr">
        <is>
          <t>Vermelha</t>
        </is>
      </c>
      <c r="G11" s="8" t="n">
        <v>0.04</v>
      </c>
      <c r="H11" s="11" t="inlineStr">
        <is>
          <t>Journey into Nyx</t>
        </is>
      </c>
      <c r="I11" s="11" t="inlineStr">
        <is>
          <t>Não</t>
        </is>
      </c>
      <c r="J11" s="11" t="n">
        <v>2014</v>
      </c>
      <c r="K11" s="10" t="n">
        <v>46024</v>
      </c>
      <c r="L11" s="11" t="n">
        <v>2</v>
      </c>
      <c r="M11" s="8">
        <f>L11*G11</f>
        <v/>
      </c>
      <c r="P11" s="9" t="n"/>
    </row>
    <row r="12">
      <c r="A12" s="11" t="inlineStr">
        <is>
          <t>Minotauro Pensativo</t>
        </is>
      </c>
      <c r="B12" s="11" t="inlineStr">
        <is>
          <t>Criatura — Minotauro Guerreiro</t>
        </is>
      </c>
      <c r="C12" s="11" t="inlineStr">
        <is>
          <t>Comum</t>
        </is>
      </c>
      <c r="D12" s="11" t="inlineStr">
        <is>
          <t>A Campeã e seus companheiros marcharam durante a noite, mas a batalha terminou antes que chegassem. Em meio à carnificina, estava sentado um solitário minotauro, perdido no que pareciam ser pensamentos para a Campeã. — A Teríada</t>
        </is>
      </c>
      <c r="E12" s="11" t="inlineStr">
        <is>
          <t>2R</t>
        </is>
      </c>
      <c r="F12" s="11" t="inlineStr">
        <is>
          <t>Vermelha</t>
        </is>
      </c>
      <c r="G12" s="8" t="n">
        <v>0.03</v>
      </c>
      <c r="H12" s="11" t="inlineStr">
        <is>
          <t>Journey into Nyx</t>
        </is>
      </c>
      <c r="I12" s="11" t="inlineStr">
        <is>
          <t>Não</t>
        </is>
      </c>
      <c r="J12" s="11" t="n">
        <v>2014</v>
      </c>
      <c r="K12" s="10" t="n">
        <v>46083</v>
      </c>
      <c r="L12" s="11" t="n">
        <v>4</v>
      </c>
      <c r="M12" s="8">
        <f>L12*G12</f>
        <v/>
      </c>
      <c r="P12" s="9" t="n"/>
    </row>
    <row r="13">
      <c r="A13" s="11" t="inlineStr">
        <is>
          <t>Chuva de Estrelas</t>
        </is>
      </c>
      <c r="B13" s="11" t="inlineStr">
        <is>
          <t>Mágica Instantânea</t>
        </is>
      </c>
      <c r="C13" s="11" t="inlineStr">
        <is>
          <t>Comum</t>
        </is>
      </c>
      <c r="D13" s="11" t="inlineStr">
        <is>
          <t>Chuva de Estrelas causa 3 pontos de dano à criatura alvo. Se aquela criatura for um encantamento, Chuva de Estrelas causará 3 pontos de dano ao controlador daquela criatura.</t>
        </is>
      </c>
      <c r="E13" s="11" t="inlineStr">
        <is>
          <t>4R</t>
        </is>
      </c>
      <c r="F13" s="11" t="inlineStr">
        <is>
          <t>Vermelha</t>
        </is>
      </c>
      <c r="G13" s="8" t="n">
        <v>0.03</v>
      </c>
      <c r="H13" s="11" t="inlineStr">
        <is>
          <t>Journey into Nyx</t>
        </is>
      </c>
      <c r="I13" s="11" t="inlineStr">
        <is>
          <t>Não</t>
        </is>
      </c>
      <c r="J13" s="11" t="n">
        <v>2014</v>
      </c>
      <c r="L13" s="11" t="n">
        <v>5</v>
      </c>
      <c r="M13" s="8">
        <f>L13*G13</f>
        <v/>
      </c>
      <c r="P13" s="9" t="n"/>
    </row>
    <row r="14">
      <c r="A14" s="11" t="inlineStr">
        <is>
          <t>Fonte da Ira</t>
        </is>
      </c>
      <c r="B14" s="11" t="inlineStr">
        <is>
          <t>Encantamento</t>
        </is>
      </c>
      <c r="C14" s="11" t="inlineStr">
        <is>
          <t>Comum</t>
        </is>
      </c>
      <c r="D14" s="11" t="inlineStr">
        <is>
          <t>3R, Sacrifique Fonte da Ira: Fonte da Ira causa 5 pontos de dano ao jogador alvo.</t>
        </is>
      </c>
      <c r="E14" s="11" t="inlineStr">
        <is>
          <t>1R</t>
        </is>
      </c>
      <c r="F14" s="11" t="inlineStr">
        <is>
          <t>Vermelha</t>
        </is>
      </c>
      <c r="G14" s="8" t="n">
        <v>0.03</v>
      </c>
      <c r="H14" s="11" t="inlineStr">
        <is>
          <t>Journey into Nyx</t>
        </is>
      </c>
      <c r="I14" s="11" t="inlineStr">
        <is>
          <t>Não</t>
        </is>
      </c>
      <c r="J14" s="11" t="n">
        <v>2014</v>
      </c>
      <c r="L14" s="11" t="n">
        <v>3</v>
      </c>
      <c r="M14" s="8">
        <f>L14*G14</f>
        <v/>
      </c>
      <c r="P14" s="9" t="n"/>
    </row>
    <row r="15">
      <c r="A15" s="11" t="inlineStr">
        <is>
          <t>Esguicho de Magma</t>
        </is>
      </c>
      <c r="B15" s="11" t="inlineStr">
        <is>
          <t>Mágica Instantânea</t>
        </is>
      </c>
      <c r="C15" s="11" t="inlineStr">
        <is>
          <t>Comum</t>
        </is>
      </c>
      <c r="D15" s="11" t="inlineStr">
        <is>
          <t>Esguicho de Magma causa 2 pontos de dano à criatura alvo. Se aquela criatura for morrer neste turno, em vez disso, exile-a.</t>
        </is>
      </c>
      <c r="E15" s="11" t="inlineStr">
        <is>
          <t>R</t>
        </is>
      </c>
      <c r="F15" s="11" t="inlineStr">
        <is>
          <t>Vermelha</t>
        </is>
      </c>
      <c r="G15" s="8" t="n">
        <v>0.05</v>
      </c>
      <c r="H15" s="11" t="inlineStr">
        <is>
          <t>Journey into Nyx</t>
        </is>
      </c>
      <c r="I15" s="11" t="inlineStr">
        <is>
          <t>Não</t>
        </is>
      </c>
      <c r="J15" s="11" t="n">
        <v>2014</v>
      </c>
      <c r="L15" s="11" t="n">
        <v>3</v>
      </c>
      <c r="M15" s="8">
        <f>L15*G15</f>
        <v/>
      </c>
      <c r="P15" s="9" t="n"/>
    </row>
    <row r="16">
      <c r="A16" s="11" t="inlineStr">
        <is>
          <t>Comoção de Chifres</t>
        </is>
      </c>
      <c r="B16" s="11" t="inlineStr">
        <is>
          <t>Feitiço</t>
        </is>
      </c>
      <c r="C16" s="11" t="inlineStr">
        <is>
          <t>Incomum</t>
        </is>
      </c>
      <c r="D16" s="11" t="inlineStr">
        <is>
          <t>Coloque no campo de batalha duas fichas de criatura vermelhas 2/3 do tipo Minotauro com ímpeto.</t>
        </is>
      </c>
      <c r="E16" s="11" t="inlineStr">
        <is>
          <t>4R</t>
        </is>
      </c>
      <c r="F16" s="11" t="inlineStr">
        <is>
          <t>Vermelha</t>
        </is>
      </c>
      <c r="G16" s="8" t="n">
        <v>0.03</v>
      </c>
      <c r="H16" s="11" t="inlineStr">
        <is>
          <t>Journey into Nyx</t>
        </is>
      </c>
      <c r="I16" s="11" t="inlineStr">
        <is>
          <t>Não</t>
        </is>
      </c>
      <c r="J16" s="11" t="n">
        <v>2014</v>
      </c>
      <c r="L16" s="11" t="n">
        <v>2</v>
      </c>
      <c r="M16" s="8">
        <f>L16*G16</f>
        <v/>
      </c>
      <c r="P16" s="9" t="n"/>
    </row>
    <row r="17">
      <c r="A17" s="11" t="inlineStr">
        <is>
          <t>Vontade do Flamividente</t>
        </is>
      </c>
      <c r="B17" s="11" t="inlineStr">
        <is>
          <t>Encantamento — Aura</t>
        </is>
      </c>
      <c r="C17" s="11" t="inlineStr">
        <is>
          <t>Comum</t>
        </is>
      </c>
      <c r="D17" s="11" t="inlineStr">
        <is>
          <t>Encantar criatura que você controla A criatura encantada recebe +1/+1. Toda vez que a criatura encantada causa dano de combate a um jogador, você pode sacrificar Vontade do Flamividente. Se fizer isso, destrua o artefato alvo.</t>
        </is>
      </c>
      <c r="E17" s="11" t="inlineStr">
        <is>
          <t>R</t>
        </is>
      </c>
      <c r="F17" s="11" t="inlineStr">
        <is>
          <t>Vermelha</t>
        </is>
      </c>
      <c r="G17" s="8" t="n">
        <v>0.03</v>
      </c>
      <c r="H17" s="11" t="inlineStr">
        <is>
          <t>Journey into Nyx</t>
        </is>
      </c>
      <c r="I17" s="11" t="inlineStr">
        <is>
          <t>Não</t>
        </is>
      </c>
      <c r="J17" s="11" t="n">
        <v>2014</v>
      </c>
      <c r="L17" s="11" t="n">
        <v>3</v>
      </c>
      <c r="M17" s="8">
        <f>L17*G17</f>
        <v/>
      </c>
      <c r="P17" s="9" t="n"/>
    </row>
    <row r="18">
      <c r="A18" s="11" t="inlineStr">
        <is>
          <t>Diadema de Raios</t>
        </is>
      </c>
      <c r="B18" s="11" t="inlineStr">
        <is>
          <t>Encantamento — Aura</t>
        </is>
      </c>
      <c r="C18" s="11" t="inlineStr">
        <is>
          <t>Comum</t>
        </is>
      </c>
      <c r="D18" s="11" t="inlineStr">
        <is>
          <t>Encantar criatura Quando Diadema de Raios entra no campo de batalha, ele causa 2 pontos de dano à criatura ou jogador alvo. A criatura encantada recebe +2/+2.</t>
        </is>
      </c>
      <c r="E18" s="11" t="inlineStr">
        <is>
          <t>5R</t>
        </is>
      </c>
      <c r="F18" s="11" t="inlineStr">
        <is>
          <t>Vermelha</t>
        </is>
      </c>
      <c r="G18" s="8" t="n">
        <v>0.03</v>
      </c>
      <c r="H18" s="11" t="inlineStr">
        <is>
          <t>Journey into Nyx</t>
        </is>
      </c>
      <c r="I18" s="11" t="inlineStr">
        <is>
          <t>Não</t>
        </is>
      </c>
      <c r="J18" s="11" t="n">
        <v>2014</v>
      </c>
      <c r="L18" s="11" t="n">
        <v>2</v>
      </c>
      <c r="M18" s="8">
        <f>L18*G18</f>
        <v/>
      </c>
      <c r="P18" s="9" t="n"/>
    </row>
    <row r="19">
      <c r="A19" s="11" t="inlineStr">
        <is>
          <t>Hoplita Sátiro</t>
        </is>
      </c>
      <c r="B19" s="11" t="inlineStr">
        <is>
          <t>Criatura — Sátiro Soldado</t>
        </is>
      </c>
      <c r="C19" s="11" t="inlineStr">
        <is>
          <t>Comum</t>
        </is>
      </c>
      <c r="D19" s="11" t="inlineStr">
        <is>
          <t>Heroico — Toda vez que você conjurar uma mágica cujo alvo seja Hoplita Sátiro, coloque um marcador +1/+1 em Hoplita Sátiro.</t>
        </is>
      </c>
      <c r="E19" s="11" t="inlineStr">
        <is>
          <t>R</t>
        </is>
      </c>
      <c r="F19" s="11" t="inlineStr">
        <is>
          <t>Vermelha</t>
        </is>
      </c>
      <c r="G19" s="8" t="n">
        <v>0.03</v>
      </c>
      <c r="H19" s="11" t="inlineStr">
        <is>
          <t>Journey into Nyx</t>
        </is>
      </c>
      <c r="I19" s="11" t="inlineStr">
        <is>
          <t>Não</t>
        </is>
      </c>
      <c r="J19" s="11" t="n">
        <v>2014</v>
      </c>
      <c r="K19" s="10" t="n">
        <v>46023</v>
      </c>
      <c r="L19" s="11" t="n">
        <v>5</v>
      </c>
      <c r="M19" s="8">
        <f>L19*G19</f>
        <v/>
      </c>
      <c r="P19" s="9" t="n"/>
    </row>
    <row r="20">
      <c r="A20" s="11" t="inlineStr">
        <is>
          <t>Sentinela Forjada em Ouro</t>
        </is>
      </c>
      <c r="B20" s="11" t="inlineStr">
        <is>
          <t>Criatura Artefato — Quimera</t>
        </is>
      </c>
      <c r="C20" s="11" t="inlineStr">
        <is>
          <t>Incomum</t>
        </is>
      </c>
      <c r="D20" s="11" t="inlineStr">
        <is>
          <t>Voar</t>
        </is>
      </c>
      <c r="E20" s="11" t="n">
        <v>6</v>
      </c>
      <c r="F20" s="11" t="inlineStr">
        <is>
          <t>Incolor</t>
        </is>
      </c>
      <c r="G20" s="8" t="n">
        <v>0.05</v>
      </c>
      <c r="H20" s="11" t="inlineStr">
        <is>
          <t>Journey into Nyx</t>
        </is>
      </c>
      <c r="I20" s="11" t="inlineStr">
        <is>
          <t>Não</t>
        </is>
      </c>
      <c r="J20" s="11" t="n">
        <v>2014</v>
      </c>
      <c r="K20" s="10" t="n">
        <v>46116</v>
      </c>
      <c r="L20" s="11" t="n">
        <v>1</v>
      </c>
      <c r="M20" s="8">
        <f>L20*G20</f>
        <v/>
      </c>
      <c r="P20" s="9" t="n"/>
    </row>
    <row r="21">
      <c r="A21" s="11" t="inlineStr">
        <is>
          <t>Alojamento do Desertor</t>
        </is>
      </c>
      <c r="B21" s="11" t="inlineStr">
        <is>
          <t>Artefato</t>
        </is>
      </c>
      <c r="C21" s="11" t="inlineStr">
        <is>
          <t>Incomum</t>
        </is>
      </c>
      <c r="D21" s="11" t="inlineStr">
        <is>
          <t>Você pode escolher não desvirar Alojamento do Desertor durante sua etapa de desvirar. 6, {T}: Vire a criatura alvo. Ela não será desvirada durante a etapa de desvirar de seu controlador enquanto Alojamento do Desertor permanecer virado.</t>
        </is>
      </c>
      <c r="E21" s="11" t="n">
        <v>2</v>
      </c>
      <c r="F21" s="11" t="inlineStr">
        <is>
          <t>Incolor</t>
        </is>
      </c>
      <c r="G21" s="8" t="n">
        <v>0.05</v>
      </c>
      <c r="H21" s="11" t="inlineStr">
        <is>
          <t>Journey into Nyx</t>
        </is>
      </c>
      <c r="I21" s="11" t="inlineStr">
        <is>
          <t>Não</t>
        </is>
      </c>
      <c r="J21" s="11" t="n">
        <v>2014</v>
      </c>
      <c r="L21" s="11" t="n">
        <v>1</v>
      </c>
      <c r="M21" s="8">
        <f>L21*G21</f>
        <v/>
      </c>
      <c r="P21" s="9" t="n"/>
    </row>
    <row r="22">
      <c r="A22" s="11" t="inlineStr">
        <is>
          <t>Alojamento do Desertor</t>
        </is>
      </c>
      <c r="B22" s="11" t="inlineStr">
        <is>
          <t>Artefato</t>
        </is>
      </c>
      <c r="C22" s="11" t="inlineStr">
        <is>
          <t>Incomum</t>
        </is>
      </c>
      <c r="D22" s="11" t="inlineStr">
        <is>
          <t>Você pode escolher não desvirar Alojamento do Desertor durante sua etapa de desvirar. 6, {T}: Vire a criatura alvo. Ela não será desvirada durante a etapa de desvirar de seu controlador enquanto Alojamento do Desertor permanecer virado.</t>
        </is>
      </c>
      <c r="E22" s="11" t="n">
        <v>2</v>
      </c>
      <c r="F22" s="11" t="inlineStr">
        <is>
          <t>Incolor</t>
        </is>
      </c>
      <c r="G22" s="8" t="n">
        <v>0.25</v>
      </c>
      <c r="H22" s="11" t="inlineStr">
        <is>
          <t>Journey into Nyx</t>
        </is>
      </c>
      <c r="I22" s="11" t="inlineStr">
        <is>
          <t>Sim</t>
        </is>
      </c>
      <c r="J22" s="11" t="n">
        <v>2014</v>
      </c>
      <c r="L22" s="11" t="n">
        <v>1</v>
      </c>
      <c r="M22" s="8">
        <f>L22*G22</f>
        <v/>
      </c>
      <c r="P22" s="9" t="n"/>
    </row>
    <row r="23">
      <c r="A23" s="11" t="inlineStr">
        <is>
          <t>Estrela-do-mar Rúnica</t>
        </is>
      </c>
      <c r="B23" s="11" t="inlineStr">
        <is>
          <t>Criatura — Estrela-do-mar</t>
        </is>
      </c>
      <c r="C23" s="11" t="inlineStr">
        <is>
          <t>Comum</t>
        </is>
      </c>
      <c r="D23" s="11" t="inlineStr">
        <is>
          <t>{T}: Vidência 1. (Olhe o card do topo de seu grimório. Você pode colocar aquele card no fundo de seu grimório.)</t>
        </is>
      </c>
      <c r="E23" s="11" t="inlineStr">
        <is>
          <t>1U</t>
        </is>
      </c>
      <c r="F23" s="11" t="inlineStr">
        <is>
          <t>Azul</t>
        </is>
      </c>
      <c r="G23" s="8" t="n">
        <v>0.03</v>
      </c>
      <c r="H23" s="11" t="inlineStr">
        <is>
          <t>Journey into Nyx</t>
        </is>
      </c>
      <c r="I23" s="11" t="inlineStr">
        <is>
          <t>Não</t>
        </is>
      </c>
      <c r="J23" s="11" t="n">
        <v>2014</v>
      </c>
      <c r="K23" s="11" t="inlineStr">
        <is>
          <t>0/3</t>
        </is>
      </c>
      <c r="L23" s="11" t="n">
        <v>5</v>
      </c>
      <c r="M23" s="8">
        <f>L23*G23</f>
        <v/>
      </c>
      <c r="P23" s="9" t="n"/>
    </row>
    <row r="24">
      <c r="A24" s="11" t="inlineStr">
        <is>
          <t>Devoradora de Tassa</t>
        </is>
      </c>
      <c r="B24" s="11" t="inlineStr">
        <is>
          <t>Criatura Encantamento — Elemental</t>
        </is>
      </c>
      <c r="C24" s="11" t="inlineStr">
        <is>
          <t>Comum</t>
        </is>
      </c>
      <c r="D24" s="11" t="inlineStr">
        <is>
          <t>Constelação — Toda vez que Devoradora de Tassa ou outro encantamento entra no campo de batalha sob o seu controle, o jogador alvo coloca os dois cards do topo do grimório dele no próprio cemitério.</t>
        </is>
      </c>
      <c r="E24" s="11" t="inlineStr">
        <is>
          <t>4U</t>
        </is>
      </c>
      <c r="F24" s="11" t="inlineStr">
        <is>
          <t>Azul</t>
        </is>
      </c>
      <c r="G24" s="8" t="n">
        <v>0.03</v>
      </c>
      <c r="H24" s="11" t="inlineStr">
        <is>
          <t>Journey into Nyx</t>
        </is>
      </c>
      <c r="I24" s="11" t="inlineStr">
        <is>
          <t>Não</t>
        </is>
      </c>
      <c r="J24" s="11" t="n">
        <v>2014</v>
      </c>
      <c r="K24" s="10" t="n">
        <v>46175</v>
      </c>
      <c r="L24" s="11" t="n">
        <v>2</v>
      </c>
      <c r="M24" s="8">
        <f>L24*G24</f>
        <v/>
      </c>
      <c r="P24" s="9" t="n"/>
    </row>
    <row r="25">
      <c r="A25" s="11" t="inlineStr">
        <is>
          <t>Polvo Caçador de Deuses</t>
        </is>
      </c>
      <c r="B25" s="11" t="inlineStr">
        <is>
          <t>Criatura — Polvo</t>
        </is>
      </c>
      <c r="C25" s="11" t="inlineStr">
        <is>
          <t>Comum</t>
        </is>
      </c>
      <c r="D25" s="11" t="inlineStr">
        <is>
          <t>Polvo Caçador de Deuses não pode atacar a menos que o jogador defensor controle um encantamento ou uma permanente encantada.</t>
        </is>
      </c>
      <c r="E25" s="11" t="inlineStr">
        <is>
          <t>5U</t>
        </is>
      </c>
      <c r="F25" s="11" t="inlineStr">
        <is>
          <t>Azul</t>
        </is>
      </c>
      <c r="G25" s="8" t="n">
        <v>0.03</v>
      </c>
      <c r="H25" s="11" t="inlineStr">
        <is>
          <t>Journey into Nyx</t>
        </is>
      </c>
      <c r="I25" s="11" t="inlineStr">
        <is>
          <t>Não</t>
        </is>
      </c>
      <c r="J25" s="11" t="n">
        <v>2014</v>
      </c>
      <c r="K25" s="10" t="n">
        <v>46147</v>
      </c>
      <c r="L25" s="11" t="n">
        <v>2</v>
      </c>
      <c r="M25" s="8">
        <f>L25*G25</f>
        <v/>
      </c>
      <c r="P25" s="9" t="n"/>
    </row>
    <row r="26">
      <c r="A26" s="11" t="inlineStr">
        <is>
          <t>Cravar na Terra</t>
        </is>
      </c>
      <c r="B26" s="11" t="inlineStr">
        <is>
          <t>Encantamento — Aura</t>
        </is>
      </c>
      <c r="C26" s="11" t="inlineStr">
        <is>
          <t>Comum</t>
        </is>
      </c>
      <c r="D26" s="11" t="inlineStr">
        <is>
          <t>Encantar criatura A criatura encantada recebe -6/-0.</t>
        </is>
      </c>
      <c r="E26" s="11" t="inlineStr">
        <is>
          <t>1U</t>
        </is>
      </c>
      <c r="F26" s="11" t="inlineStr">
        <is>
          <t>Azul</t>
        </is>
      </c>
      <c r="G26" s="8" t="n">
        <v>0.03</v>
      </c>
      <c r="H26" s="11" t="inlineStr">
        <is>
          <t>Journey into Nyx</t>
        </is>
      </c>
      <c r="I26" s="11" t="inlineStr">
        <is>
          <t>Não</t>
        </is>
      </c>
      <c r="J26" s="11" t="n">
        <v>2014</v>
      </c>
      <c r="L26" s="11" t="n">
        <v>3</v>
      </c>
      <c r="M26" s="8">
        <f>L26*G26</f>
        <v/>
      </c>
      <c r="P26" s="9" t="n"/>
    </row>
    <row r="27">
      <c r="A27" s="11" t="inlineStr">
        <is>
          <t>Cravar na Terra</t>
        </is>
      </c>
      <c r="B27" s="11" t="inlineStr">
        <is>
          <t>Encantamento — Aura</t>
        </is>
      </c>
      <c r="C27" s="11" t="inlineStr">
        <is>
          <t>Comum</t>
        </is>
      </c>
      <c r="D27" s="11" t="inlineStr">
        <is>
          <t>Encantar criatura A criatura encantada recebe -6/-0.</t>
        </is>
      </c>
      <c r="E27" s="11" t="inlineStr">
        <is>
          <t>1U</t>
        </is>
      </c>
      <c r="F27" s="11" t="inlineStr">
        <is>
          <t>Azul</t>
        </is>
      </c>
      <c r="G27" s="8" t="n">
        <v>0.26</v>
      </c>
      <c r="H27" s="11" t="inlineStr">
        <is>
          <t>Journey into Nyx</t>
        </is>
      </c>
      <c r="I27" s="11" t="inlineStr">
        <is>
          <t>Não</t>
        </is>
      </c>
      <c r="J27" s="11" t="n">
        <v>2014</v>
      </c>
      <c r="L27" s="11" t="n">
        <v>1</v>
      </c>
      <c r="M27" s="8">
        <f>L27*G27</f>
        <v/>
      </c>
      <c r="P27" s="9" t="n"/>
    </row>
    <row r="28">
      <c r="A28" s="11" t="inlineStr">
        <is>
          <t>Ladrão Ousado</t>
        </is>
      </c>
      <c r="B28" s="11" t="inlineStr">
        <is>
          <t>Criatura — Humano Ladino</t>
        </is>
      </c>
      <c r="C28" s="11" t="inlineStr">
        <is>
          <t>Rara</t>
        </is>
      </c>
      <c r="D28" s="11" t="inlineStr">
        <is>
          <t>Inspirado — Toda vez que Ladrão Ousado é desvirado, você pode permutar o controle de uma permanente alvo que não seja terreno sob seu controle por uma permanente alvo sob o controle de um oponente que tenha o mesmo tipo de card.</t>
        </is>
      </c>
      <c r="E28" s="11" t="inlineStr">
        <is>
          <t>2U</t>
        </is>
      </c>
      <c r="F28" s="11" t="inlineStr">
        <is>
          <t>Azul</t>
        </is>
      </c>
      <c r="G28" s="8" t="n">
        <v>0.03</v>
      </c>
      <c r="H28" s="11" t="inlineStr">
        <is>
          <t>Journey into Nyx</t>
        </is>
      </c>
      <c r="I28" s="11" t="inlineStr">
        <is>
          <t>Não</t>
        </is>
      </c>
      <c r="J28" s="11" t="n">
        <v>2014</v>
      </c>
      <c r="K28" s="10" t="n">
        <v>46083</v>
      </c>
      <c r="L28" s="11" t="n">
        <v>1</v>
      </c>
      <c r="M28" s="8">
        <f>L28*G28</f>
        <v/>
      </c>
      <c r="P28" s="9" t="n"/>
    </row>
    <row r="29">
      <c r="A29" s="11" t="inlineStr">
        <is>
          <t>Battlefield Thaumaturge / Taumaturgo da Batalha</t>
        </is>
      </c>
      <c r="B29" s="11" t="inlineStr">
        <is>
          <t>Criatura — Humano Mago</t>
        </is>
      </c>
      <c r="C29" s="11" t="inlineStr">
        <is>
          <t>Rara</t>
        </is>
      </c>
      <c r="D29" s="11"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11" t="inlineStr">
        <is>
          <t>1U</t>
        </is>
      </c>
      <c r="F29" s="11" t="inlineStr">
        <is>
          <t>Azul</t>
        </is>
      </c>
      <c r="G29" s="8" t="n">
        <v>0.25</v>
      </c>
      <c r="H29" s="11" t="inlineStr">
        <is>
          <t>Journey into Nyx</t>
        </is>
      </c>
      <c r="I29" s="11" t="inlineStr">
        <is>
          <t>Não</t>
        </is>
      </c>
      <c r="J29" s="11" t="n">
        <v>2014</v>
      </c>
      <c r="K29" s="10" t="n">
        <v>46024</v>
      </c>
      <c r="L29" s="11" t="n">
        <v>2</v>
      </c>
      <c r="M29" s="8">
        <f>L29*G29</f>
        <v/>
      </c>
      <c r="P29" s="9" t="n"/>
    </row>
    <row r="30">
      <c r="A30" s="11" t="inlineStr">
        <is>
          <t>Flagelo das Frotas</t>
        </is>
      </c>
      <c r="B30" s="11" t="inlineStr">
        <is>
          <t>Criatura — Kraken</t>
        </is>
      </c>
      <c r="C30" s="11" t="inlineStr">
        <is>
          <t>Rara</t>
        </is>
      </c>
      <c r="D30" s="11" t="inlineStr">
        <is>
          <t>Quando Flagelo das Frotas entrar no campo de batalha, devolva cada criatura controlada pelos seus oponentes com resistência X ou menos para a mão de seu dono, sendo X o número de Ilhas que você controla.</t>
        </is>
      </c>
      <c r="E30" s="11" t="inlineStr">
        <is>
          <t>5UU</t>
        </is>
      </c>
      <c r="F30" s="11" t="inlineStr">
        <is>
          <t>Azul</t>
        </is>
      </c>
      <c r="G30" s="8" t="n">
        <v>0.85</v>
      </c>
      <c r="H30" s="11" t="inlineStr">
        <is>
          <t>Journey into Nyx</t>
        </is>
      </c>
      <c r="I30" s="11" t="inlineStr">
        <is>
          <t>Sim</t>
        </is>
      </c>
      <c r="J30" s="11" t="n">
        <v>2014</v>
      </c>
      <c r="K30" s="10" t="n">
        <v>46179</v>
      </c>
      <c r="L30" s="11" t="n">
        <v>1</v>
      </c>
      <c r="M30" s="8">
        <f>L30*G30</f>
        <v/>
      </c>
      <c r="P30" s="9" t="n"/>
    </row>
    <row r="31">
      <c r="A31" s="11" t="inlineStr">
        <is>
          <t>Flagelo das Frotas</t>
        </is>
      </c>
      <c r="B31" s="11" t="inlineStr">
        <is>
          <t>Criatura — Kraken</t>
        </is>
      </c>
      <c r="C31" s="11" t="inlineStr">
        <is>
          <t>Rara</t>
        </is>
      </c>
      <c r="D31" s="11" t="inlineStr">
        <is>
          <t>Quando Flagelo das Frotas entrar no campo de batalha, devolva cada criatura controlada pelos seus oponentes com resistência X ou menos para a mão de seu dono, sendo X o número de Ilhas que você controla.</t>
        </is>
      </c>
      <c r="E31" s="11" t="inlineStr">
        <is>
          <t>5UU</t>
        </is>
      </c>
      <c r="F31" s="11" t="inlineStr">
        <is>
          <t>Azul</t>
        </is>
      </c>
      <c r="G31" s="8" t="n">
        <v>0.5600000000000001</v>
      </c>
      <c r="H31" s="11" t="inlineStr">
        <is>
          <t>Journey into Nyx</t>
        </is>
      </c>
      <c r="I31" s="11" t="inlineStr">
        <is>
          <t>Não</t>
        </is>
      </c>
      <c r="J31" s="11" t="n">
        <v>2014</v>
      </c>
      <c r="K31" s="10" t="n">
        <v>46179</v>
      </c>
      <c r="L31" s="11" t="n">
        <v>2</v>
      </c>
      <c r="M31" s="8">
        <f>L31*G31</f>
        <v/>
      </c>
      <c r="P31" s="9" t="n"/>
    </row>
    <row r="32">
      <c r="A32" s="11" t="inlineStr">
        <is>
          <t>Formação Aérea</t>
        </is>
      </c>
      <c r="B32" s="11" t="inlineStr">
        <is>
          <t>Mágica Instantânea</t>
        </is>
      </c>
      <c r="C32" s="11" t="inlineStr">
        <is>
          <t>Incomum</t>
        </is>
      </c>
      <c r="D32" s="11" t="inlineStr">
        <is>
          <t>Esforço — Formação Aérea custa 2U a mais para ser conjurado para cada alvo além do primeiro. Qualquer número de criaturas alvo recebe +1/+1 e ganha voar até o final do turno.</t>
        </is>
      </c>
      <c r="E32" s="11" t="inlineStr">
        <is>
          <t>U</t>
        </is>
      </c>
      <c r="F32" s="11" t="inlineStr">
        <is>
          <t>Azul</t>
        </is>
      </c>
      <c r="G32" s="8" t="n">
        <v>0.03</v>
      </c>
      <c r="H32" s="11" t="inlineStr">
        <is>
          <t>Journey into Nyx</t>
        </is>
      </c>
      <c r="I32" s="11" t="inlineStr">
        <is>
          <t>Não</t>
        </is>
      </c>
      <c r="J32" s="11" t="n">
        <v>2014</v>
      </c>
      <c r="L32" s="11" t="n">
        <v>5</v>
      </c>
      <c r="M32" s="8">
        <f>L32*G32</f>
        <v/>
      </c>
      <c r="P32" s="9" t="n"/>
    </row>
    <row r="33">
      <c r="A33" s="11" t="inlineStr">
        <is>
          <t>Talassido Vigia-costa</t>
        </is>
      </c>
      <c r="B33" s="11" t="inlineStr">
        <is>
          <t>Criatura — Tritão Ladino</t>
        </is>
      </c>
      <c r="C33" s="11" t="inlineStr">
        <is>
          <t>Comum</t>
        </is>
      </c>
      <c r="D33" s="11" t="inlineStr">
        <is>
          <t>Talassido Vigia-costa não pode ser bloqueado.</t>
        </is>
      </c>
      <c r="E33" s="11" t="inlineStr">
        <is>
          <t>U</t>
        </is>
      </c>
      <c r="F33" s="11" t="inlineStr">
        <is>
          <t>Azul</t>
        </is>
      </c>
      <c r="G33" s="8" t="n">
        <v>0.26</v>
      </c>
      <c r="H33" s="11" t="inlineStr">
        <is>
          <t>Journey into Nyx</t>
        </is>
      </c>
      <c r="I33" s="11" t="inlineStr">
        <is>
          <t>Não</t>
        </is>
      </c>
      <c r="J33" s="11" t="n">
        <v>2014</v>
      </c>
      <c r="K33" s="10" t="n">
        <v>46023</v>
      </c>
      <c r="L33" s="11" t="n">
        <v>6</v>
      </c>
      <c r="M33" s="8">
        <f>L33*G33</f>
        <v/>
      </c>
      <c r="P33" s="9" t="n"/>
    </row>
    <row r="34">
      <c r="A34" s="11" t="inlineStr">
        <is>
          <t>Hubris / Arrogância</t>
        </is>
      </c>
      <c r="B34" s="11" t="inlineStr">
        <is>
          <t>Mágica Instantânea</t>
        </is>
      </c>
      <c r="C34" s="11" t="inlineStr">
        <is>
          <t>Comum</t>
        </is>
      </c>
      <c r="D34" s="11" t="inlineStr">
        <is>
          <t>Devolva a criatura alvo e todas as Auras anexadas a ela para as mãos de seus donos.</t>
        </is>
      </c>
      <c r="E34" s="11" t="inlineStr">
        <is>
          <t>1U</t>
        </is>
      </c>
      <c r="F34" s="11" t="inlineStr">
        <is>
          <t>Azul</t>
        </is>
      </c>
      <c r="G34" s="8" t="n">
        <v>0.03</v>
      </c>
      <c r="H34" s="11" t="inlineStr">
        <is>
          <t>Journey into Nyx</t>
        </is>
      </c>
      <c r="I34" s="11" t="inlineStr">
        <is>
          <t>Não</t>
        </is>
      </c>
      <c r="J34" s="11" t="n">
        <v>2014</v>
      </c>
      <c r="L34" s="11" t="n">
        <v>6</v>
      </c>
      <c r="M34" s="8">
        <f>L34*G34</f>
        <v/>
      </c>
      <c r="P34" s="9" t="n"/>
    </row>
    <row r="35">
      <c r="A35" s="11" t="inlineStr">
        <is>
          <t>Font of Fortunes / Fonte das Fortunas</t>
        </is>
      </c>
      <c r="B35" s="11" t="inlineStr">
        <is>
          <t>Encantamento</t>
        </is>
      </c>
      <c r="C35" s="11" t="inlineStr">
        <is>
          <t>Comum</t>
        </is>
      </c>
      <c r="D35" s="11" t="inlineStr">
        <is>
          <t>1U, Sacrifique Fonte das Fortunas: Compre dois cards.</t>
        </is>
      </c>
      <c r="E35" s="11" t="inlineStr">
        <is>
          <t>1U</t>
        </is>
      </c>
      <c r="F35" s="11" t="inlineStr">
        <is>
          <t>Azul</t>
        </is>
      </c>
      <c r="G35" s="8" t="n">
        <v>0.03</v>
      </c>
      <c r="H35" s="11" t="inlineStr">
        <is>
          <t>Journey into Nyx</t>
        </is>
      </c>
      <c r="I35" s="11" t="inlineStr">
        <is>
          <t>Não</t>
        </is>
      </c>
      <c r="J35" s="11" t="n">
        <v>2014</v>
      </c>
      <c r="L35" s="11" t="n">
        <v>3</v>
      </c>
      <c r="M35" s="8">
        <f>L35*G35</f>
        <v/>
      </c>
      <c r="P35" s="9" t="n"/>
    </row>
    <row r="36">
      <c r="A36" s="11" t="inlineStr">
        <is>
          <t>Cloaked Siren / Sirena Camuflada</t>
        </is>
      </c>
      <c r="B36" s="11" t="inlineStr">
        <is>
          <t>Criatura — Sirena</t>
        </is>
      </c>
      <c r="C36" s="11" t="inlineStr">
        <is>
          <t>Comum</t>
        </is>
      </c>
      <c r="D36" s="11" t="inlineStr">
        <is>
          <t>Lampejo (Você poderá conjurar esta mágica a qualquer momento em que puder conjurar uma mágica instantânea.) Voar</t>
        </is>
      </c>
      <c r="E36" s="11" t="inlineStr">
        <is>
          <t>3U</t>
        </is>
      </c>
      <c r="F36" s="11" t="inlineStr">
        <is>
          <t>Azul</t>
        </is>
      </c>
      <c r="G36" s="8" t="n">
        <v>0.03</v>
      </c>
      <c r="H36" s="11" t="inlineStr">
        <is>
          <t>Journey into Nyx</t>
        </is>
      </c>
      <c r="I36" s="11" t="inlineStr">
        <is>
          <t>Não</t>
        </is>
      </c>
      <c r="J36" s="11" t="n">
        <v>2014</v>
      </c>
      <c r="K36" s="10" t="n">
        <v>46056</v>
      </c>
      <c r="L36" s="11" t="n">
        <v>4</v>
      </c>
      <c r="M36" s="8">
        <f>L36*G36</f>
        <v/>
      </c>
      <c r="P36" s="9" t="n"/>
    </row>
    <row r="37">
      <c r="A37" s="11" t="inlineStr">
        <is>
          <t>Interpret the Signs / Interpretar os Sinais</t>
        </is>
      </c>
      <c r="B37" s="11" t="inlineStr">
        <is>
          <t>Feitiço</t>
        </is>
      </c>
      <c r="C37" s="11" t="inlineStr">
        <is>
          <t>Incomum</t>
        </is>
      </c>
      <c r="D37" s="11"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11" t="inlineStr">
        <is>
          <t>5U</t>
        </is>
      </c>
      <c r="F37" s="11" t="inlineStr">
        <is>
          <t>Azul</t>
        </is>
      </c>
      <c r="G37" s="8" t="n">
        <v>0.05</v>
      </c>
      <c r="H37" s="11" t="inlineStr">
        <is>
          <t>Journey into Nyx</t>
        </is>
      </c>
      <c r="I37" s="11" t="inlineStr">
        <is>
          <t>Não</t>
        </is>
      </c>
      <c r="J37" s="11" t="n">
        <v>2014</v>
      </c>
      <c r="L37" s="11" t="n">
        <v>2</v>
      </c>
      <c r="M37" s="8">
        <f>L37*G37</f>
        <v/>
      </c>
      <c r="P37" s="9" t="n"/>
    </row>
    <row r="38">
      <c r="A38" s="11" t="inlineStr">
        <is>
          <t>Countermand / Contra-ordem</t>
        </is>
      </c>
      <c r="B38" s="11" t="inlineStr">
        <is>
          <t>Mágica Instantânea</t>
        </is>
      </c>
      <c r="C38" s="11" t="inlineStr">
        <is>
          <t>Comum</t>
        </is>
      </c>
      <c r="D38" s="11" t="inlineStr">
        <is>
          <t>Anule a mágica alvo. Seu controlador coloca os quatro cards do topo do grimório dele no próprio cemitério.</t>
        </is>
      </c>
      <c r="E38" s="11" t="inlineStr">
        <is>
          <t>2UU</t>
        </is>
      </c>
      <c r="F38" s="11" t="inlineStr">
        <is>
          <t>Azul</t>
        </is>
      </c>
      <c r="G38" s="8" t="n">
        <v>0.03</v>
      </c>
      <c r="H38" s="11" t="inlineStr">
        <is>
          <t>Journey into Nyx</t>
        </is>
      </c>
      <c r="I38" s="11" t="inlineStr">
        <is>
          <t>Não</t>
        </is>
      </c>
      <c r="J38" s="11" t="n">
        <v>2014</v>
      </c>
      <c r="L38" s="11" t="n">
        <v>2</v>
      </c>
      <c r="M38" s="8">
        <f>L38*G38</f>
        <v/>
      </c>
      <c r="P38" s="9" t="n"/>
    </row>
    <row r="39">
      <c r="A39" s="11" t="inlineStr">
        <is>
          <t>Crystalline Nautilus / Náutilo Cristalino</t>
        </is>
      </c>
      <c r="B39" s="11" t="inlineStr">
        <is>
          <t>Criatura Encantamento — Náutilo</t>
        </is>
      </c>
      <c r="C39" s="11" t="inlineStr">
        <is>
          <t>Incomum</t>
        </is>
      </c>
      <c r="D39" s="11"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11" t="inlineStr">
        <is>
          <t>2U</t>
        </is>
      </c>
      <c r="F39" s="11" t="inlineStr">
        <is>
          <t>Azul</t>
        </is>
      </c>
      <c r="G39" s="8" t="n">
        <v>0.05</v>
      </c>
      <c r="H39" s="11" t="inlineStr">
        <is>
          <t>Journey into Nyx</t>
        </is>
      </c>
      <c r="I39" s="11" t="inlineStr">
        <is>
          <t>Não</t>
        </is>
      </c>
      <c r="J39" s="11" t="n">
        <v>2014</v>
      </c>
      <c r="K39" s="10" t="n">
        <v>46116</v>
      </c>
      <c r="L39" s="11" t="n">
        <v>1</v>
      </c>
      <c r="M39" s="8">
        <f>L39*G39</f>
        <v/>
      </c>
      <c r="P39" s="9" t="n"/>
    </row>
    <row r="40">
      <c r="A40" s="11" t="inlineStr">
        <is>
          <t>War-Wing Siren / Sirena Asa-de-guerra</t>
        </is>
      </c>
      <c r="B40" s="11" t="inlineStr">
        <is>
          <t>Criatura — Sirena Soldado</t>
        </is>
      </c>
      <c r="C40" s="11" t="inlineStr">
        <is>
          <t>Comum</t>
        </is>
      </c>
      <c r="D40" s="11" t="inlineStr">
        <is>
          <t>Voar Heroico — Toda vez que você conjura uma mágica cujo alvo seja Sirena Asa-de-guerra, coloque um marcador +1/+1 em Sirena Asa-de-guerra.</t>
        </is>
      </c>
      <c r="E40" s="11" t="inlineStr">
        <is>
          <t>2U</t>
        </is>
      </c>
      <c r="F40" s="11" t="inlineStr">
        <is>
          <t>Azul</t>
        </is>
      </c>
      <c r="G40" s="8" t="n">
        <v>0.03</v>
      </c>
      <c r="H40" s="11" t="inlineStr">
        <is>
          <t>Journey into Nyx</t>
        </is>
      </c>
      <c r="I40" s="11" t="inlineStr">
        <is>
          <t>Não</t>
        </is>
      </c>
      <c r="J40" s="11" t="n">
        <v>2014</v>
      </c>
      <c r="K40" s="10" t="n">
        <v>46082</v>
      </c>
      <c r="L40" s="11" t="n">
        <v>2</v>
      </c>
      <c r="M40" s="8">
        <f>L40*G40</f>
        <v/>
      </c>
      <c r="P40" s="9" t="n"/>
    </row>
    <row r="41">
      <c r="A41" s="11" t="inlineStr">
        <is>
          <t>Hour of Need / Hora da Necessidade</t>
        </is>
      </c>
      <c r="B41" s="11" t="inlineStr">
        <is>
          <t>Mágica Instantânea</t>
        </is>
      </c>
      <c r="C41" s="11" t="inlineStr">
        <is>
          <t>Incomum</t>
        </is>
      </c>
      <c r="D41" s="11"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11" t="inlineStr">
        <is>
          <t>2U</t>
        </is>
      </c>
      <c r="F41" s="11" t="inlineStr">
        <is>
          <t>Azul</t>
        </is>
      </c>
      <c r="G41" s="8" t="n">
        <v>0.08</v>
      </c>
      <c r="H41" s="11" t="inlineStr">
        <is>
          <t>Journey into Nyx</t>
        </is>
      </c>
      <c r="I41" s="11" t="inlineStr">
        <is>
          <t>Não</t>
        </is>
      </c>
      <c r="J41" s="11" t="n">
        <v>2014</v>
      </c>
      <c r="L41" s="11" t="n">
        <v>1</v>
      </c>
      <c r="M41" s="8">
        <f>L41*G41</f>
        <v/>
      </c>
      <c r="P41" s="9" t="n"/>
    </row>
    <row r="42">
      <c r="A42" s="11" t="inlineStr">
        <is>
          <t>Whitewater Naiads / Náiades das Corredeiras</t>
        </is>
      </c>
      <c r="B42" s="11" t="inlineStr">
        <is>
          <t>Criatura Encantamento — Ninfa</t>
        </is>
      </c>
      <c r="C42" s="11" t="inlineStr">
        <is>
          <t>Incomum</t>
        </is>
      </c>
      <c r="D42" s="11" t="inlineStr">
        <is>
          <t>Constelação — Toda vez que Náiades das Corredeiras ou outro encantamento entrar no campo de batalha sob seu controle, a criatura alvo não poderá ser bloqueada neste turno.</t>
        </is>
      </c>
      <c r="E42" s="11" t="inlineStr">
        <is>
          <t>3UU</t>
        </is>
      </c>
      <c r="F42" s="11" t="inlineStr">
        <is>
          <t>Azul</t>
        </is>
      </c>
      <c r="G42" s="8" t="n">
        <v>0.06</v>
      </c>
      <c r="H42" s="11" t="inlineStr">
        <is>
          <t>Journey into Nyx</t>
        </is>
      </c>
      <c r="I42" s="11" t="inlineStr">
        <is>
          <t>Não</t>
        </is>
      </c>
      <c r="J42" s="11" t="n">
        <v>2014</v>
      </c>
      <c r="K42" s="10" t="n">
        <v>46116</v>
      </c>
      <c r="L42" s="11" t="n">
        <v>1</v>
      </c>
      <c r="M42" s="8">
        <f>L42*G42</f>
        <v/>
      </c>
      <c r="P42" s="9" t="n"/>
    </row>
    <row r="43">
      <c r="A43" s="11" t="inlineStr">
        <is>
          <t>Triton Cavalry / Cavalaria Talassida</t>
        </is>
      </c>
      <c r="B43" s="11" t="inlineStr">
        <is>
          <t>Criatura — Tritão Soldado</t>
        </is>
      </c>
      <c r="C43" s="11" t="inlineStr">
        <is>
          <t>Incomum</t>
        </is>
      </c>
      <c r="D43" s="11" t="inlineStr">
        <is>
          <t>Heroico — Toda vez que você conjura uma mágica cujo alvo seja Cavalaria Talassida, você poderá devolver o encantamento alvo para a mão de seu dono.</t>
        </is>
      </c>
      <c r="E43" s="11" t="inlineStr">
        <is>
          <t>3U</t>
        </is>
      </c>
      <c r="F43" s="11" t="inlineStr">
        <is>
          <t>Azul</t>
        </is>
      </c>
      <c r="G43" s="8" t="n">
        <v>0.05</v>
      </c>
      <c r="H43" s="11" t="inlineStr">
        <is>
          <t>Journey into Nyx</t>
        </is>
      </c>
      <c r="I43" s="11" t="inlineStr">
        <is>
          <t>Não</t>
        </is>
      </c>
      <c r="J43" s="11" t="n">
        <v>2014</v>
      </c>
      <c r="K43" s="10" t="n">
        <v>46114</v>
      </c>
      <c r="L43" s="11" t="n">
        <v>1</v>
      </c>
      <c r="M43" s="8">
        <f>L43*G43</f>
        <v/>
      </c>
      <c r="P43" s="9" t="n"/>
    </row>
    <row r="44">
      <c r="A44" s="11" t="inlineStr">
        <is>
          <t>Kiora's Dismissal / Exoneração de Kiora</t>
        </is>
      </c>
      <c r="B44" s="11" t="inlineStr">
        <is>
          <t>Mágica Instantânea</t>
        </is>
      </c>
      <c r="C44" s="11" t="inlineStr">
        <is>
          <t>Incomum</t>
        </is>
      </c>
      <c r="D44" s="11" t="inlineStr">
        <is>
          <t>Esforço — Exoneração de Kiora custa U a mais para ser conjurado para cada alvo além do primeiro. Devolva qualquer número de encantamentos alvo para as mãos de seus donos.</t>
        </is>
      </c>
      <c r="E44" s="11" t="inlineStr">
        <is>
          <t>U</t>
        </is>
      </c>
      <c r="F44" s="11" t="inlineStr">
        <is>
          <t>Azul</t>
        </is>
      </c>
      <c r="G44" s="8" t="n">
        <v>0.05</v>
      </c>
      <c r="H44" s="11" t="inlineStr">
        <is>
          <t>Journey into Nyx</t>
        </is>
      </c>
      <c r="I44" s="11" t="inlineStr">
        <is>
          <t>Não</t>
        </is>
      </c>
      <c r="J44" s="11" t="n">
        <v>2014</v>
      </c>
      <c r="L44" s="11" t="n">
        <v>1</v>
      </c>
      <c r="M44" s="8">
        <f>L44*G44</f>
        <v/>
      </c>
      <c r="P44" s="9" t="n"/>
    </row>
    <row r="45">
      <c r="A45" s="11" t="inlineStr">
        <is>
          <t>Godsend / Mensageira dos Deuses</t>
        </is>
      </c>
      <c r="B45" s="11" t="inlineStr">
        <is>
          <t>Artefato Lendário — Equipamento</t>
        </is>
      </c>
      <c r="C45" s="11" t="inlineStr">
        <is>
          <t>Mítica</t>
        </is>
      </c>
      <c r="D45" s="11"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11" t="inlineStr">
        <is>
          <t>1WW</t>
        </is>
      </c>
      <c r="F45" s="11" t="inlineStr">
        <is>
          <t>Branco</t>
        </is>
      </c>
      <c r="G45" s="8" t="n">
        <v>5.44</v>
      </c>
      <c r="H45" s="11" t="inlineStr">
        <is>
          <t>Journey into Nyx</t>
        </is>
      </c>
      <c r="I45" s="11" t="inlineStr">
        <is>
          <t>Não</t>
        </is>
      </c>
      <c r="J45" s="11" t="n">
        <v>2014</v>
      </c>
      <c r="L45" s="11" t="n">
        <v>1</v>
      </c>
      <c r="M45" s="8">
        <f>L45*G45</f>
        <v/>
      </c>
      <c r="P45" s="9" t="n"/>
    </row>
    <row r="46">
      <c r="A46" s="11" t="inlineStr">
        <is>
          <t>Kruphix, God of Horizons / Crufix, Deus dos Horizontes</t>
        </is>
      </c>
      <c r="B46" s="11" t="inlineStr">
        <is>
          <t>Criatura Encantamento Lendária — Deus</t>
        </is>
      </c>
      <c r="C46" s="11" t="inlineStr">
        <is>
          <t>Mítica</t>
        </is>
      </c>
      <c r="D46" s="11"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11" t="inlineStr">
        <is>
          <t>3GU</t>
        </is>
      </c>
      <c r="F46" s="11" t="inlineStr">
        <is>
          <t>Multicolorido</t>
        </is>
      </c>
      <c r="G46" s="8" t="n">
        <v>5.95</v>
      </c>
      <c r="H46" s="11" t="inlineStr">
        <is>
          <t>Journey into Nyx</t>
        </is>
      </c>
      <c r="I46" s="11" t="inlineStr">
        <is>
          <t>Não</t>
        </is>
      </c>
      <c r="J46" s="11" t="n">
        <v>2014</v>
      </c>
      <c r="K46" s="10" t="n">
        <v>46207</v>
      </c>
      <c r="L46" s="11" t="n">
        <v>1</v>
      </c>
      <c r="M46" s="8">
        <f>L46*G46</f>
        <v/>
      </c>
      <c r="P46" s="9" t="n"/>
    </row>
    <row r="47">
      <c r="A47" s="11" t="inlineStr">
        <is>
          <t>Pharika, God of Affliction / Fárica, Deusa do Padecimento</t>
        </is>
      </c>
      <c r="B47" s="11" t="inlineStr">
        <is>
          <t>Legendary Enchantment Creature — God / Criatura Encantamento Lendária — Deus</t>
        </is>
      </c>
      <c r="C47" s="11" t="inlineStr">
        <is>
          <t>Mythic / Mítica</t>
        </is>
      </c>
      <c r="D47" s="11" t="inlineStr">
        <is>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11" t="inlineStr">
        <is>
          <t>{1}{B}{G}</t>
        </is>
      </c>
      <c r="F47" s="11" t="inlineStr">
        <is>
          <t>Preto, Verde</t>
        </is>
      </c>
      <c r="G47" s="8" t="n">
        <v>29.5</v>
      </c>
      <c r="H47" s="11" t="inlineStr">
        <is>
          <t>Journey into Nyx (JOU)</t>
        </is>
      </c>
      <c r="I47" s="11" t="inlineStr">
        <is>
          <t>Sim</t>
        </is>
      </c>
      <c r="J47" s="11" t="n">
        <v>2014</v>
      </c>
      <c r="K47" s="10" t="n">
        <v>46147</v>
      </c>
      <c r="L47" s="11" t="n">
        <v>1</v>
      </c>
      <c r="M47" s="8">
        <f>L47*G47</f>
        <v/>
      </c>
      <c r="P47" s="9" t="n"/>
    </row>
    <row r="48">
      <c r="A48" s="11" t="inlineStr">
        <is>
          <t>Athreos, God of Passage / Athreos, Deus da Passagem</t>
        </is>
      </c>
      <c r="B48" s="11" t="inlineStr">
        <is>
          <t>Criatura Encantamento Lendária — Deus</t>
        </is>
      </c>
      <c r="C48" s="11" t="inlineStr">
        <is>
          <t>Mítica</t>
        </is>
      </c>
      <c r="D48" s="11" t="inlineStr">
        <is>
          <t>Indestrutível Enquanto sua devoção ao branco e ao preto for menor que sete, Athreos não será uma criatura. Toda vez que outra criatura que você controla morrer, devolva aquele card para sua mão, a menos que o oponente alvo pague 3 vidas.</t>
        </is>
      </c>
      <c r="E48" s="11" t="inlineStr">
        <is>
          <t>1WB</t>
        </is>
      </c>
      <c r="F48" s="11" t="inlineStr">
        <is>
          <t>Multicolorido</t>
        </is>
      </c>
      <c r="G48" s="8" t="n">
        <v>0.41</v>
      </c>
      <c r="H48" s="11" t="inlineStr">
        <is>
          <t>Journey into Nyx</t>
        </is>
      </c>
      <c r="I48" s="11" t="inlineStr">
        <is>
          <t>Não</t>
        </is>
      </c>
      <c r="J48" s="11" t="n">
        <v>2014</v>
      </c>
      <c r="K48" s="10" t="n">
        <v>46117</v>
      </c>
      <c r="L48" s="11" t="n">
        <v>1</v>
      </c>
      <c r="M48" s="8">
        <f>L48*G48</f>
        <v/>
      </c>
      <c r="P48" s="9" t="n"/>
    </row>
    <row r="49">
      <c r="A49" s="11" t="inlineStr">
        <is>
          <t>Blinding Flare / Clarão Cegante</t>
        </is>
      </c>
      <c r="B49" s="11" t="inlineStr">
        <is>
          <t>Feitiço</t>
        </is>
      </c>
      <c r="C49" s="11" t="inlineStr">
        <is>
          <t>Incomum</t>
        </is>
      </c>
      <c r="D49" s="11" t="inlineStr">
        <is>
          <t>Esforço — Clarão Cegante custa R a mais para ser conjurado para cada alvo além do primeiro. Qualquer número de criaturas alvo não pode bloquear neste turno.</t>
        </is>
      </c>
      <c r="E49" s="11" t="inlineStr">
        <is>
          <t>R</t>
        </is>
      </c>
      <c r="F49" s="11" t="inlineStr">
        <is>
          <t>Vermelho</t>
        </is>
      </c>
      <c r="G49" s="8" t="n">
        <v>0.05</v>
      </c>
      <c r="H49" s="11" t="inlineStr">
        <is>
          <t>Journey into Nyx</t>
        </is>
      </c>
      <c r="I49" s="11" t="inlineStr">
        <is>
          <t>Não</t>
        </is>
      </c>
      <c r="J49" s="11" t="n">
        <v>2014</v>
      </c>
      <c r="L49" s="11" t="n">
        <v>2</v>
      </c>
      <c r="M49" s="8">
        <f>L49*G49</f>
        <v/>
      </c>
      <c r="P49" s="9" t="n"/>
    </row>
    <row r="50">
      <c r="A50" s="11" t="inlineStr">
        <is>
          <t>Forgeborn Oreads / Oréades Nascidas da Forja</t>
        </is>
      </c>
      <c r="B50" s="11" t="inlineStr">
        <is>
          <t>Criatura Encantamento — Ninfa</t>
        </is>
      </c>
      <c r="C50" s="11" t="inlineStr">
        <is>
          <t>Comum</t>
        </is>
      </c>
      <c r="D50" s="11" t="inlineStr">
        <is>
          <t>Constelação — Toda vez que Oréades Nascidas da Forja ou outro encantamento entrar no campo de batalha sob seu controle, Oréades Nascidas da Forja causa 1 ponto de dano à criatura ou ao jogador alvo.</t>
        </is>
      </c>
      <c r="E50" s="11" t="inlineStr">
        <is>
          <t>2RR</t>
        </is>
      </c>
      <c r="F50" s="11" t="inlineStr">
        <is>
          <t>Vermelho</t>
        </is>
      </c>
      <c r="G50" s="8" t="n">
        <v>0.05</v>
      </c>
      <c r="H50" s="11" t="inlineStr">
        <is>
          <t>Journey into Nyx</t>
        </is>
      </c>
      <c r="I50" s="11" t="inlineStr">
        <is>
          <t>Não</t>
        </is>
      </c>
      <c r="J50" s="11" t="n">
        <v>2014</v>
      </c>
      <c r="K50" s="10" t="n">
        <v>46057</v>
      </c>
      <c r="L50" s="11" t="n">
        <v>2</v>
      </c>
      <c r="M50" s="8">
        <f>L50*G50</f>
        <v/>
      </c>
      <c r="P50" s="9" t="n"/>
    </row>
    <row r="51">
      <c r="A51" s="11" t="inlineStr">
        <is>
          <t>Revel of the Fallen God / Festança do Deus Caído</t>
        </is>
      </c>
      <c r="B51" s="11" t="inlineStr">
        <is>
          <t>Feitiço</t>
        </is>
      </c>
      <c r="C51" s="11" t="inlineStr">
        <is>
          <t>Incomum</t>
        </is>
      </c>
      <c r="D51" s="11" t="inlineStr">
        <is>
          <t>Todas as criaturas recebem +2/-2 até o final do turno.</t>
        </is>
      </c>
      <c r="E51" s="11" t="inlineStr">
        <is>
          <t>3RR</t>
        </is>
      </c>
      <c r="F51" s="11" t="inlineStr">
        <is>
          <t>Vermelho</t>
        </is>
      </c>
      <c r="G51" s="8" t="n">
        <v>0.05</v>
      </c>
      <c r="H51" s="11" t="inlineStr">
        <is>
          <t>Journey into Nyx</t>
        </is>
      </c>
      <c r="I51" s="11" t="inlineStr">
        <is>
          <t>Não</t>
        </is>
      </c>
      <c r="J51" s="11" t="n">
        <v>2014</v>
      </c>
      <c r="L51" s="11" t="n">
        <v>3</v>
      </c>
      <c r="M51" s="8">
        <f>L51*G51</f>
        <v/>
      </c>
      <c r="P51" s="9" t="n"/>
    </row>
    <row r="52">
      <c r="A52" s="11" t="inlineStr">
        <is>
          <t>Bearer of the Heavens / Sustentáculo do Firmamento</t>
        </is>
      </c>
      <c r="B52" s="11" t="inlineStr">
        <is>
          <t>Criatura — Gigante</t>
        </is>
      </c>
      <c r="C52" s="11" t="inlineStr">
        <is>
          <t>Rara</t>
        </is>
      </c>
      <c r="D52" s="11" t="inlineStr">
        <is>
          <t>Quando Sustentáculo do Firmamento morrer, destrua todas as permanentes no início da próxima etapa final.</t>
        </is>
      </c>
      <c r="E52" s="11" t="inlineStr">
        <is>
          <t>7R</t>
        </is>
      </c>
      <c r="F52" s="11" t="inlineStr">
        <is>
          <t>Vermelho</t>
        </is>
      </c>
      <c r="G52" s="8" t="n">
        <v>0.25</v>
      </c>
      <c r="H52" s="11" t="inlineStr">
        <is>
          <t>Journey into Nyx</t>
        </is>
      </c>
      <c r="I52" s="11" t="inlineStr">
        <is>
          <t>Não</t>
        </is>
      </c>
      <c r="J52" s="11" t="n">
        <v>2014</v>
      </c>
      <c r="K52" s="10" t="n">
        <v>46305</v>
      </c>
      <c r="L52" s="11" t="n">
        <v>1</v>
      </c>
      <c r="M52" s="8">
        <f>L52*G52</f>
        <v/>
      </c>
      <c r="P52" s="9" t="n"/>
    </row>
    <row r="53">
      <c r="A53" s="11" t="inlineStr">
        <is>
          <t>Mogis's Warhound / Rancor de Mogis</t>
        </is>
      </c>
      <c r="B53" s="11" t="inlineStr">
        <is>
          <t>Feitiço</t>
        </is>
      </c>
      <c r="C53" s="11" t="inlineStr">
        <is>
          <t>Comum</t>
        </is>
      </c>
      <c r="D53" s="11" t="inlineStr">
        <is>
          <t>Rancor de Mogis causa à criatura alvo uma quantidade de dano igual ao número de cards de mágica instantânea e feitiço no seu cemitério. Vidência 1. (Olhe o card do topo de seu grimório. Você pode colocar aquele card no fundo de seu grimório.)</t>
        </is>
      </c>
      <c r="E53" s="11" t="inlineStr">
        <is>
          <t>R</t>
        </is>
      </c>
      <c r="F53" s="11" t="inlineStr">
        <is>
          <t>Vermelho</t>
        </is>
      </c>
      <c r="G53" s="8" t="n">
        <v>0.05</v>
      </c>
      <c r="H53" s="11" t="inlineStr">
        <is>
          <t>Journey into Nyx</t>
        </is>
      </c>
      <c r="I53" s="11" t="inlineStr">
        <is>
          <t>Não</t>
        </is>
      </c>
      <c r="J53" s="11" t="n">
        <v>2014</v>
      </c>
      <c r="L53" s="11" t="n">
        <v>1</v>
      </c>
      <c r="M53" s="8">
        <f>L53*G53</f>
        <v/>
      </c>
      <c r="P53" s="9" t="n"/>
    </row>
    <row r="54">
      <c r="A54" s="11" t="inlineStr">
        <is>
          <t>Cinder Cerberus / Cérbero Incendiário</t>
        </is>
      </c>
      <c r="B54" s="11" t="inlineStr">
        <is>
          <t>Criatura — Sabujo</t>
        </is>
      </c>
      <c r="C54" s="11" t="inlineStr">
        <is>
          <t>Incomum</t>
        </is>
      </c>
      <c r="D54" s="11"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11" t="inlineStr">
        <is>
          <t>4R</t>
        </is>
      </c>
      <c r="F54" s="11" t="inlineStr">
        <is>
          <t>Vermelho</t>
        </is>
      </c>
      <c r="G54" s="8" t="n">
        <v>0.05</v>
      </c>
      <c r="H54" s="11" t="inlineStr">
        <is>
          <t>Journey into Nyx</t>
        </is>
      </c>
      <c r="I54" s="11" t="inlineStr">
        <is>
          <t>Não</t>
        </is>
      </c>
      <c r="J54" s="11" t="n">
        <v>2014</v>
      </c>
      <c r="K54" s="10" t="n">
        <v>46085</v>
      </c>
      <c r="L54" s="11" t="n">
        <v>1</v>
      </c>
      <c r="M54" s="8">
        <f>L54*G54</f>
        <v/>
      </c>
      <c r="P54" s="9" t="n"/>
    </row>
    <row r="55">
      <c r="A55" s="11" t="inlineStr">
        <is>
          <t>Spawn of Thraxes / Prole de Traxes</t>
        </is>
      </c>
      <c r="B55" s="11" t="inlineStr">
        <is>
          <t>Criatura — Dragão</t>
        </is>
      </c>
      <c r="C55" s="11" t="inlineStr">
        <is>
          <t>Rara</t>
        </is>
      </c>
      <c r="D55" s="11" t="inlineStr">
        <is>
          <t>Voar Quando Prole de Traxes entra no campo de batalha, ele causa ao jogador ou à criatura alvo uma quantidade de dano igual ao número de Montanhas que você controla.</t>
        </is>
      </c>
      <c r="E55" s="11" t="inlineStr">
        <is>
          <t>5RR</t>
        </is>
      </c>
      <c r="F55" s="11" t="inlineStr">
        <is>
          <t>Vermelho</t>
        </is>
      </c>
      <c r="G55" s="8" t="n">
        <v>0.33</v>
      </c>
      <c r="H55" s="11" t="inlineStr">
        <is>
          <t>Journey into Nyx</t>
        </is>
      </c>
      <c r="I55" s="11" t="inlineStr">
        <is>
          <t>Não</t>
        </is>
      </c>
      <c r="J55" s="11" t="n">
        <v>2014</v>
      </c>
      <c r="K55" s="10" t="n">
        <v>46147</v>
      </c>
      <c r="L55" s="11" t="n">
        <v>1</v>
      </c>
      <c r="M55" s="8">
        <f>L55*G55</f>
        <v/>
      </c>
      <c r="P55" s="9" t="n"/>
    </row>
    <row r="56">
      <c r="A56" s="11" t="inlineStr">
        <is>
          <t>Evolving Wilds / Terras em Evolução</t>
        </is>
      </c>
      <c r="B56" s="11" t="inlineStr">
        <is>
          <t>Terreno</t>
        </is>
      </c>
      <c r="C56" s="11" t="inlineStr">
        <is>
          <t>Comum</t>
        </is>
      </c>
      <c r="D56" s="11" t="inlineStr">
        <is>
          <t>T, Sacrifique Evolving Wilds: Procure em seu grimório por um card de terreno básico e coloque-o no campo de batalha virado. Depois, embaralhe seu grimório.</t>
        </is>
      </c>
      <c r="E56" s="11" t="inlineStr">
        <is>
          <t>Nenhum</t>
        </is>
      </c>
      <c r="F56" s="11" t="inlineStr">
        <is>
          <t>Incolor</t>
        </is>
      </c>
      <c r="G56" s="8" t="n">
        <v>0.19</v>
      </c>
      <c r="H56" s="11" t="inlineStr">
        <is>
          <t>Duel Decks: Speed vs. Cunning</t>
        </is>
      </c>
      <c r="I56" s="11" t="inlineStr">
        <is>
          <t>Não</t>
        </is>
      </c>
      <c r="J56" s="11" t="n">
        <v>2014</v>
      </c>
      <c r="L56" s="11" t="n">
        <v>2</v>
      </c>
      <c r="M56" s="8">
        <f>L56*G56</f>
        <v/>
      </c>
      <c r="P56" s="9" t="n"/>
    </row>
    <row r="57">
      <c r="A57" s="11" t="inlineStr">
        <is>
          <t>Evolving Wilds / Terras em Evolução</t>
        </is>
      </c>
      <c r="B57" s="11" t="inlineStr">
        <is>
          <t>Terreno</t>
        </is>
      </c>
      <c r="C57" s="11" t="inlineStr">
        <is>
          <t>Comum</t>
        </is>
      </c>
      <c r="D57" s="11" t="inlineStr">
        <is>
          <t>T, Sacrifique Evolving Wilds: Procure em seu grimório por um card de terreno básico e coloque-o no campo de batalha virado. Depois, embaralhe seu grimório.</t>
        </is>
      </c>
      <c r="E57" s="11" t="inlineStr">
        <is>
          <t>Nenhum</t>
        </is>
      </c>
      <c r="F57" s="11" t="inlineStr">
        <is>
          <t>Incolor</t>
        </is>
      </c>
      <c r="G57" s="8" t="n">
        <v>0.12</v>
      </c>
      <c r="H57" s="11" t="inlineStr">
        <is>
          <t xml:space="preserve">Ikoria: Terra de Colossos </t>
        </is>
      </c>
      <c r="I57" s="11" t="inlineStr">
        <is>
          <t>Não</t>
        </is>
      </c>
      <c r="J57" s="11" t="n">
        <v>2020</v>
      </c>
      <c r="L57" s="11" t="n">
        <v>2</v>
      </c>
      <c r="M57" s="8">
        <f>L57*G57</f>
        <v/>
      </c>
      <c r="P57" s="9" t="n"/>
    </row>
    <row r="58">
      <c r="A58" s="11" t="inlineStr">
        <is>
          <t>Nomad Outpost / Posto Avançado Nômade</t>
        </is>
      </c>
      <c r="B58" s="11" t="inlineStr">
        <is>
          <t>Terreno</t>
        </is>
      </c>
      <c r="C58" s="11" t="inlineStr">
        <is>
          <t>Incomum</t>
        </is>
      </c>
      <c r="D58" s="11" t="inlineStr">
        <is>
          <t>Nomad Outpost entra no campo de batalha virado. T: Adicione R, W ou B à sua reserva de mana.</t>
        </is>
      </c>
      <c r="E58" s="11" t="inlineStr">
        <is>
          <t>Nenhum</t>
        </is>
      </c>
      <c r="F58" s="11" t="inlineStr">
        <is>
          <t>Multicolorido</t>
        </is>
      </c>
      <c r="G58" s="8" t="n">
        <v>0.34</v>
      </c>
      <c r="H58" s="11" t="inlineStr">
        <is>
          <t>Duel Decks: Speed vs. Cunning</t>
        </is>
      </c>
      <c r="I58" s="11" t="inlineStr">
        <is>
          <t>Não</t>
        </is>
      </c>
      <c r="J58" s="11" t="n">
        <v>2014</v>
      </c>
      <c r="L58" s="11" t="n">
        <v>2</v>
      </c>
      <c r="M58" s="8">
        <f>L58*G58</f>
        <v/>
      </c>
      <c r="P58" s="9" t="n"/>
    </row>
    <row r="59">
      <c r="A59" s="11" t="inlineStr">
        <is>
          <t>Ghitu Encampment / Acampamento Ghitu</t>
        </is>
      </c>
      <c r="B59" s="11" t="inlineStr">
        <is>
          <t>Terreno</t>
        </is>
      </c>
      <c r="C59" s="11" t="inlineStr">
        <is>
          <t>Incomum</t>
        </is>
      </c>
      <c r="D59" s="11" t="inlineStr">
        <is>
          <t>Ghitu Encampment entra no campo de batalha virado. T: Adicione R à sua reserva de mana. 1R: Ghitu Encampment torna-se uma criatura 2/1 vermelha do tipo Guerreiro com iniciativa até o final do turno. Ainda é um terreno.</t>
        </is>
      </c>
      <c r="E59" s="11" t="inlineStr">
        <is>
          <t>Nenhum</t>
        </is>
      </c>
      <c r="F59" s="11" t="inlineStr">
        <is>
          <t>Vermelho</t>
        </is>
      </c>
      <c r="G59" s="8" t="n">
        <v>0.44</v>
      </c>
      <c r="H59" s="11" t="inlineStr">
        <is>
          <t>Duel Decks: Speed vs. Cunning</t>
        </is>
      </c>
      <c r="I59" s="11" t="inlineStr">
        <is>
          <t>Não</t>
        </is>
      </c>
      <c r="J59" s="11" t="n">
        <v>2014</v>
      </c>
      <c r="L59" s="11" t="n">
        <v>1</v>
      </c>
      <c r="M59" s="8">
        <f>L59*G59</f>
        <v/>
      </c>
      <c r="P59" s="9" t="n"/>
    </row>
    <row r="60">
      <c r="A60" s="11" t="inlineStr">
        <is>
          <t>Flame-Kin Zealot / Zelote da Tribo das Chamas</t>
        </is>
      </c>
      <c r="B60" s="11" t="inlineStr">
        <is>
          <t>Criatura — Elemental Berserker</t>
        </is>
      </c>
      <c r="C60" s="11" t="inlineStr">
        <is>
          <t>Incomum</t>
        </is>
      </c>
      <c r="D60" s="11" t="inlineStr">
        <is>
          <t>Quando Flame-Kin Zealot entra no campo de batalha, criaturas que você controla recebem +1/+1 e ganham ímpeto até o final do turno.</t>
        </is>
      </c>
      <c r="E60" s="11" t="inlineStr">
        <is>
          <t>1RW</t>
        </is>
      </c>
      <c r="F60" s="11" t="inlineStr">
        <is>
          <t>Multicolorido</t>
        </is>
      </c>
      <c r="G60" s="8" t="n">
        <v>0.09</v>
      </c>
      <c r="H60" s="11" t="inlineStr">
        <is>
          <t>Duel Decks: Speed vs. Cunning</t>
        </is>
      </c>
      <c r="I60" s="11" t="inlineStr">
        <is>
          <t>Não</t>
        </is>
      </c>
      <c r="J60" s="11" t="n">
        <v>2014</v>
      </c>
      <c r="K60" s="10" t="n">
        <v>46055</v>
      </c>
      <c r="L60" s="11" t="n">
        <v>1</v>
      </c>
      <c r="M60" s="8">
        <f>L60*G60</f>
        <v/>
      </c>
      <c r="P60" s="9" t="n"/>
    </row>
    <row r="61">
      <c r="A61" s="11" t="inlineStr">
        <is>
          <t>Goblin Deathraiders / Saqueadores da Morte Goblins</t>
        </is>
      </c>
      <c r="B61" s="11" t="inlineStr">
        <is>
          <t>Criatura — Goblino Guerreiro</t>
        </is>
      </c>
      <c r="C61" s="11" t="inlineStr">
        <is>
          <t>Comum</t>
        </is>
      </c>
      <c r="D61" s="11" t="inlineStr">
        <is>
          <t>Atropelar</t>
        </is>
      </c>
      <c r="E61" s="11" t="inlineStr">
        <is>
          <t>BR</t>
        </is>
      </c>
      <c r="F61" s="11" t="inlineStr">
        <is>
          <t>Multicolorido</t>
        </is>
      </c>
      <c r="G61" s="8" t="n">
        <v>0.09</v>
      </c>
      <c r="H61" s="11" t="inlineStr">
        <is>
          <t>Duel Decks: Speed vs. Cunning</t>
        </is>
      </c>
      <c r="I61" s="11" t="inlineStr">
        <is>
          <t>Não</t>
        </is>
      </c>
      <c r="J61" s="11" t="n">
        <v>2014</v>
      </c>
      <c r="K61" s="10" t="n">
        <v>46025</v>
      </c>
      <c r="L61" s="11" t="n">
        <v>1</v>
      </c>
      <c r="M61" s="8">
        <f>L61*G61</f>
        <v/>
      </c>
      <c r="P61" s="9" t="n"/>
    </row>
    <row r="62">
      <c r="A62" s="11" t="inlineStr">
        <is>
          <t>Shambling Remains / Restos Cambaleantes</t>
        </is>
      </c>
      <c r="B62" s="11" t="inlineStr">
        <is>
          <t>Criatura — Zumbi Horror</t>
        </is>
      </c>
      <c r="C62" s="11" t="inlineStr">
        <is>
          <t>Incomum</t>
        </is>
      </c>
      <c r="D62" s="11" t="inlineStr">
        <is>
          <t>Shambling Remains não pode bloquear. Desenterrar BR (BR: Devolva este card de seu cemitério para o campo de batalha. Ele ganha ímpeto. Exile-o no início da próxima etapa final ou se ele sair do campo de batalha. Desenterre apenas como um feitiço.)</t>
        </is>
      </c>
      <c r="E62" s="11" t="inlineStr">
        <is>
          <t>1BR</t>
        </is>
      </c>
      <c r="F62" s="11" t="inlineStr">
        <is>
          <t>Multicolorido</t>
        </is>
      </c>
      <c r="G62" s="8" t="n">
        <v>0.09</v>
      </c>
      <c r="H62" s="11" t="inlineStr">
        <is>
          <t>Duel Decks: Speed vs. Cunning</t>
        </is>
      </c>
      <c r="I62" s="11" t="inlineStr">
        <is>
          <t>Sim</t>
        </is>
      </c>
      <c r="J62" s="11" t="n">
        <v>2014</v>
      </c>
      <c r="K62" s="10" t="n">
        <v>46085</v>
      </c>
      <c r="L62" s="11" t="n">
        <v>1</v>
      </c>
      <c r="M62" s="8">
        <f>L62*G62</f>
        <v/>
      </c>
      <c r="P62" s="9" t="n"/>
    </row>
    <row r="63">
      <c r="A63" s="11" t="inlineStr">
        <is>
          <t>Shambling Remains / Restos Cambaleantes</t>
        </is>
      </c>
      <c r="B63" s="11" t="inlineStr">
        <is>
          <t>Criatura — Zumbi Horror</t>
        </is>
      </c>
      <c r="C63" s="11" t="inlineStr">
        <is>
          <t>Incomum</t>
        </is>
      </c>
      <c r="D63" s="11" t="inlineStr">
        <is>
          <t>Shambling Remains não pode bloquear. Desenterrar BR (BR: Devolva este card de seu cemitério para o campo de batalha. Ele ganha ímpeto. Exile-o no início da próxima etapa final ou se ele sair do campo de batalha. Desenterre apenas como um feitiço.)</t>
        </is>
      </c>
      <c r="E63" s="11" t="inlineStr">
        <is>
          <t>1BR</t>
        </is>
      </c>
      <c r="F63" s="11" t="inlineStr">
        <is>
          <t>Multicolorido</t>
        </is>
      </c>
      <c r="G63" s="8" t="n">
        <v>0.13</v>
      </c>
      <c r="H63" s="11" t="inlineStr">
        <is>
          <t>Duel Decks: Speed vs. Cunning</t>
        </is>
      </c>
      <c r="I63" s="11" t="inlineStr">
        <is>
          <t>Não</t>
        </is>
      </c>
      <c r="J63" s="11" t="n">
        <v>2014</v>
      </c>
      <c r="K63" s="10" t="n">
        <v>46085</v>
      </c>
      <c r="L63" s="11" t="n">
        <v>1</v>
      </c>
      <c r="M63" s="8">
        <f>L63*G63</f>
        <v/>
      </c>
      <c r="P63" s="9" t="n"/>
    </row>
    <row r="64">
      <c r="A64" s="11" t="inlineStr">
        <is>
          <t>Zurgo Helmsmasher / Zurgo Destruidor de Elmos</t>
        </is>
      </c>
      <c r="B64" s="11" t="inlineStr">
        <is>
          <t>Criatura Lendária — Orc Guerreiro</t>
        </is>
      </c>
      <c r="C64" s="11" t="inlineStr">
        <is>
          <t>Mítica</t>
        </is>
      </c>
      <c r="D64" s="11"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11" t="inlineStr">
        <is>
          <t>2RWB</t>
        </is>
      </c>
      <c r="F64" s="11" t="inlineStr">
        <is>
          <t>Multicolorido</t>
        </is>
      </c>
      <c r="G64" s="8" t="n">
        <v>3.48</v>
      </c>
      <c r="H64" s="11" t="inlineStr">
        <is>
          <t>Duel Decks: Speed vs. Cunning</t>
        </is>
      </c>
      <c r="I64" s="11" t="inlineStr">
        <is>
          <t>Não</t>
        </is>
      </c>
      <c r="J64" s="11" t="n">
        <v>2014</v>
      </c>
      <c r="K64" s="10" t="n">
        <v>46060</v>
      </c>
      <c r="L64" s="11" t="n">
        <v>1</v>
      </c>
      <c r="M64" s="8">
        <f>L64*G64</f>
        <v/>
      </c>
      <c r="P64" s="9" t="n"/>
    </row>
    <row r="65">
      <c r="A65" s="11" t="inlineStr">
        <is>
          <t>Beetleback Chief / Chefe de Costas de Besouro</t>
        </is>
      </c>
      <c r="B65" s="11" t="inlineStr">
        <is>
          <t>Criatura — Goblino Guerreiro</t>
        </is>
      </c>
      <c r="C65" s="11" t="inlineStr">
        <is>
          <t>Incomum</t>
        </is>
      </c>
      <c r="D65" s="11" t="inlineStr">
        <is>
          <t>Quando Chefe de Costas de Besouro entra no campo de batalha, coloque duas fichas de criatura 1/1 vermelha do tipo Goblino no campo de batalha.</t>
        </is>
      </c>
      <c r="E65" s="11" t="inlineStr">
        <is>
          <t>2RR</t>
        </is>
      </c>
      <c r="F65" s="11" t="inlineStr">
        <is>
          <t>Vermelho</t>
        </is>
      </c>
      <c r="G65" s="8" t="n">
        <v>0.5</v>
      </c>
      <c r="H65" s="11" t="inlineStr">
        <is>
          <t>Duel Decks: Speed vs. Cunning</t>
        </is>
      </c>
      <c r="I65" s="11" t="inlineStr">
        <is>
          <t>Não</t>
        </is>
      </c>
      <c r="J65" s="11" t="n">
        <v>2014</v>
      </c>
      <c r="K65" s="10" t="n">
        <v>46055</v>
      </c>
      <c r="L65" s="11" t="n">
        <v>2</v>
      </c>
      <c r="M65" s="8">
        <f>L65*G65</f>
        <v/>
      </c>
      <c r="P65" s="9" t="n"/>
    </row>
    <row r="66">
      <c r="A66" s="11" t="inlineStr">
        <is>
          <t>Beetleback Chief / Chefe de Costas de Besouro</t>
        </is>
      </c>
      <c r="B66" s="11" t="inlineStr">
        <is>
          <t>Criatura — Goblino Guerreiro</t>
        </is>
      </c>
      <c r="C66" s="11" t="inlineStr">
        <is>
          <t>Incomum</t>
        </is>
      </c>
      <c r="D66" s="11" t="inlineStr">
        <is>
          <t>Quando Chefe de Costas de Besouro entra no campo de batalha, coloque duas fichas de criatura 1/1 vermelha do tipo Goblino no campo de batalha.</t>
        </is>
      </c>
      <c r="E66" s="11" t="inlineStr">
        <is>
          <t>2RR</t>
        </is>
      </c>
      <c r="F66" s="11" t="inlineStr">
        <is>
          <t>Vermelho</t>
        </is>
      </c>
      <c r="G66" s="8" t="n">
        <v>0.25</v>
      </c>
      <c r="H66" s="11" t="inlineStr">
        <is>
          <t>Duel Decks: Speed vs. Cunning</t>
        </is>
      </c>
      <c r="I66" s="11" t="inlineStr">
        <is>
          <t>Não</t>
        </is>
      </c>
      <c r="J66" s="11" t="n">
        <v>2014</v>
      </c>
      <c r="K66" s="10" t="n">
        <v>46055</v>
      </c>
      <c r="L66" s="11" t="n">
        <v>2</v>
      </c>
      <c r="M66" s="8">
        <f>L66*G66</f>
        <v/>
      </c>
      <c r="P66" s="9" t="n"/>
    </row>
    <row r="67">
      <c r="A67" s="11" t="inlineStr">
        <is>
          <t>Fiery Fall / Queda Flamejante</t>
        </is>
      </c>
      <c r="B67" s="11" t="inlineStr">
        <is>
          <t>Mágica Instantânea</t>
        </is>
      </c>
      <c r="C67" s="11" t="inlineStr">
        <is>
          <t>Comum</t>
        </is>
      </c>
      <c r="D67" s="11" t="inlineStr">
        <is>
          <t>Queda Flamejante causa 5 de dano à criatura alvo. Reciclagem de terreno básico 1R (1R, descarte este card: Procure em seu grimório por um card de terreno básico, revele-o e coloque-o em sua mão. Depois, embaralhe seu grimório.)</t>
        </is>
      </c>
      <c r="E67" s="11" t="inlineStr">
        <is>
          <t>5R</t>
        </is>
      </c>
      <c r="F67" s="11" t="inlineStr">
        <is>
          <t>Vermelho</t>
        </is>
      </c>
      <c r="G67" s="8" t="n">
        <v>0.06</v>
      </c>
      <c r="H67" s="11" t="inlineStr">
        <is>
          <t>Duel Decks: Speed vs. Cunning</t>
        </is>
      </c>
      <c r="I67" s="11" t="inlineStr">
        <is>
          <t>Não</t>
        </is>
      </c>
      <c r="J67" s="11" t="n">
        <v>2014</v>
      </c>
      <c r="L67" s="11" t="n">
        <v>2</v>
      </c>
      <c r="M67" s="8">
        <f>L67*G67</f>
        <v/>
      </c>
      <c r="P67" s="9" t="n"/>
    </row>
    <row r="68">
      <c r="A68" s="11" t="inlineStr">
        <is>
          <t>Hell's Thunder / Trovão do Inferno</t>
        </is>
      </c>
      <c r="B68" s="11" t="inlineStr">
        <is>
          <t>Criatura — Elemental</t>
        </is>
      </c>
      <c r="C68" s="11" t="inlineStr">
        <is>
          <t>Rara</t>
        </is>
      </c>
      <c r="D68" s="11"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11" t="inlineStr">
        <is>
          <t>1RR</t>
        </is>
      </c>
      <c r="F68" s="11" t="inlineStr">
        <is>
          <t>Vermelho</t>
        </is>
      </c>
      <c r="G68" s="8" t="n">
        <v>0.42</v>
      </c>
      <c r="H68" s="11" t="inlineStr">
        <is>
          <t>Duel Decks: Speed vs. Cunning</t>
        </is>
      </c>
      <c r="I68" s="11" t="inlineStr">
        <is>
          <t>Não</t>
        </is>
      </c>
      <c r="J68" s="11" t="n">
        <v>2014</v>
      </c>
      <c r="K68" s="10" t="n">
        <v>46116</v>
      </c>
      <c r="L68" s="11" t="n">
        <v>1</v>
      </c>
      <c r="M68" s="8">
        <f>L68*G68</f>
        <v/>
      </c>
      <c r="P68" s="9" t="n"/>
    </row>
    <row r="69">
      <c r="A69" s="11" t="inlineStr">
        <is>
          <t>Shock / Choque</t>
        </is>
      </c>
      <c r="B69" s="11" t="inlineStr">
        <is>
          <t>Mágica Instantânea</t>
        </is>
      </c>
      <c r="C69" s="11" t="inlineStr">
        <is>
          <t>Comum</t>
        </is>
      </c>
      <c r="D69" s="11" t="inlineStr">
        <is>
          <t>Choque causa 2 de dano à criatura ou ao jogador alvo.</t>
        </is>
      </c>
      <c r="E69" s="11" t="inlineStr">
        <is>
          <t>R</t>
        </is>
      </c>
      <c r="F69" s="11" t="inlineStr">
        <is>
          <t>Vermelho</t>
        </is>
      </c>
      <c r="G69" s="8" t="n">
        <v>0.09</v>
      </c>
      <c r="H69" s="11" t="inlineStr">
        <is>
          <t>Duel Decks: Speed vs. Cunning</t>
        </is>
      </c>
      <c r="I69" s="11" t="inlineStr">
        <is>
          <t>Não</t>
        </is>
      </c>
      <c r="J69" s="11" t="n">
        <v>2014</v>
      </c>
      <c r="L69" s="11" t="n">
        <v>1</v>
      </c>
      <c r="M69" s="8">
        <f>L69*G69</f>
        <v/>
      </c>
      <c r="P69" s="9" t="n"/>
    </row>
    <row r="70">
      <c r="A70" s="11" t="inlineStr">
        <is>
          <t>Reckless Abandon / Abandono Impetuoso</t>
        </is>
      </c>
      <c r="B70" s="11" t="inlineStr">
        <is>
          <t>Feitiço</t>
        </is>
      </c>
      <c r="C70" s="11" t="inlineStr">
        <is>
          <t>Comum</t>
        </is>
      </c>
      <c r="D70" s="11" t="inlineStr">
        <is>
          <t>Como custo adicional para conjurar Abandono Impetuoso, sacrifique uma criatura. Abandono Impetuoso causa 4 de dano à criatura ou ao jogador alvo.</t>
        </is>
      </c>
      <c r="E70" s="11" t="inlineStr">
        <is>
          <t>R</t>
        </is>
      </c>
      <c r="F70" s="11" t="inlineStr">
        <is>
          <t>Vermelho</t>
        </is>
      </c>
      <c r="G70" s="8" t="n">
        <v>3.15</v>
      </c>
      <c r="H70" s="11" t="inlineStr">
        <is>
          <t>Duel Decks: Speed vs. Cunning</t>
        </is>
      </c>
      <c r="I70" s="11" t="inlineStr">
        <is>
          <t>Não</t>
        </is>
      </c>
      <c r="J70" s="11" t="n">
        <v>2014</v>
      </c>
      <c r="L70" s="11" t="n">
        <v>1</v>
      </c>
      <c r="M70" s="8">
        <f>L70*G70</f>
        <v/>
      </c>
      <c r="P70" s="9" t="n"/>
    </row>
    <row r="71">
      <c r="A71" s="11" t="inlineStr">
        <is>
          <t>Oni of Wild Places / Oni de Lugares Selvagens</t>
        </is>
      </c>
      <c r="B71" s="11" t="inlineStr">
        <is>
          <t>Criatura — Demônio Espírito</t>
        </is>
      </c>
      <c r="C71" s="11" t="inlineStr">
        <is>
          <t>Incomum</t>
        </is>
      </c>
      <c r="D71" s="11" t="inlineStr">
        <is>
          <t>Ímpeto. No início da sua manutenção, devolva uma criatura vermelha que você controla para a mão de seu dono.</t>
        </is>
      </c>
      <c r="E71" s="11" t="inlineStr">
        <is>
          <t>5R</t>
        </is>
      </c>
      <c r="F71" s="11" t="inlineStr">
        <is>
          <t>Vermelho</t>
        </is>
      </c>
      <c r="G71" s="8" t="n">
        <v>0.1</v>
      </c>
      <c r="H71" s="11" t="inlineStr">
        <is>
          <t>Duel Decks: Speed vs. Cunning</t>
        </is>
      </c>
      <c r="I71" s="11" t="inlineStr">
        <is>
          <t>Não</t>
        </is>
      </c>
      <c r="J71" s="11" t="n">
        <v>2014</v>
      </c>
      <c r="K71" s="10" t="n">
        <v>46148</v>
      </c>
      <c r="L71" s="11" t="n">
        <v>1</v>
      </c>
      <c r="M71" s="8">
        <f>L71*G71</f>
        <v/>
      </c>
      <c r="P71" s="9" t="n"/>
    </row>
    <row r="72">
      <c r="A72" s="11" t="inlineStr">
        <is>
          <t>Scourge Devil / Diabo do Flagelo</t>
        </is>
      </c>
      <c r="B72" s="11" t="inlineStr">
        <is>
          <t>Criatura — Diabo</t>
        </is>
      </c>
      <c r="C72" s="11" t="inlineStr">
        <is>
          <t>Incomum</t>
        </is>
      </c>
      <c r="D72" s="11"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11" t="inlineStr">
        <is>
          <t>4R</t>
        </is>
      </c>
      <c r="F72" s="11" t="inlineStr">
        <is>
          <t>Vermelho</t>
        </is>
      </c>
      <c r="G72" s="8" t="n">
        <v>0.09</v>
      </c>
      <c r="H72" s="11" t="inlineStr">
        <is>
          <t>Duel Decks: Speed vs. Cunning</t>
        </is>
      </c>
      <c r="I72" s="11" t="inlineStr">
        <is>
          <t>Não</t>
        </is>
      </c>
      <c r="J72" s="11" t="n">
        <v>2014</v>
      </c>
      <c r="K72" s="10" t="n">
        <v>46084</v>
      </c>
      <c r="L72" s="11" t="n">
        <v>1</v>
      </c>
      <c r="M72" s="8">
        <f>L72*G72</f>
        <v/>
      </c>
      <c r="P72" s="9" t="n"/>
    </row>
    <row r="73">
      <c r="A73" s="11" t="inlineStr">
        <is>
          <t>Act of Treason / Ato de Traição</t>
        </is>
      </c>
      <c r="B73" s="11" t="inlineStr">
        <is>
          <t>Feitiço</t>
        </is>
      </c>
      <c r="C73" s="11" t="inlineStr">
        <is>
          <t>Comum</t>
        </is>
      </c>
      <c r="D73" s="11" t="inlineStr">
        <is>
          <t>Ganhe o controle da criatura alvo até o final do turno. Desvire aquela criatura. Ela ganha ímpeto até o final do turno.</t>
        </is>
      </c>
      <c r="E73" s="11" t="inlineStr">
        <is>
          <t>2R</t>
        </is>
      </c>
      <c r="F73" s="11" t="inlineStr">
        <is>
          <t>Vermelho</t>
        </is>
      </c>
      <c r="G73" s="8" t="n">
        <v>0.13</v>
      </c>
      <c r="H73" s="11" t="inlineStr">
        <is>
          <t>Duel Decks: Speed vs. Cunning</t>
        </is>
      </c>
      <c r="I73" s="11" t="inlineStr">
        <is>
          <t>Não</t>
        </is>
      </c>
      <c r="J73" s="11" t="n">
        <v>2014</v>
      </c>
      <c r="L73" s="11" t="n">
        <v>1</v>
      </c>
      <c r="M73" s="8">
        <f>L73*G73</f>
        <v/>
      </c>
      <c r="P73" s="9" t="n"/>
    </row>
    <row r="74">
      <c r="A74" s="11" t="inlineStr">
        <is>
          <t>Act of Treason / Ato de Traição</t>
        </is>
      </c>
      <c r="B74" s="11" t="inlineStr">
        <is>
          <t>Feitiço</t>
        </is>
      </c>
      <c r="C74" s="11" t="inlineStr">
        <is>
          <t>Comum</t>
        </is>
      </c>
      <c r="D74" s="11" t="inlineStr">
        <is>
          <t>Ganhe o controle da criatura alvo até o final do turno. Desvire aquela criatura. Ela ganha ímpeto até o final do turno.</t>
        </is>
      </c>
      <c r="E74" s="11" t="inlineStr">
        <is>
          <t>2R</t>
        </is>
      </c>
      <c r="F74" s="11" t="inlineStr">
        <is>
          <t>Vermelho</t>
        </is>
      </c>
      <c r="G74" s="8" t="n">
        <v>0.03</v>
      </c>
      <c r="H74" s="11" t="inlineStr">
        <is>
          <t>Lealdade em Ravnica</t>
        </is>
      </c>
      <c r="I74" s="11" t="inlineStr">
        <is>
          <t>Não</t>
        </is>
      </c>
      <c r="J74" s="11" t="n">
        <v>2019</v>
      </c>
      <c r="L74" s="11" t="n">
        <v>1</v>
      </c>
      <c r="M74" s="8">
        <f>L74*G74</f>
        <v/>
      </c>
      <c r="P74" s="9" t="n"/>
    </row>
    <row r="75">
      <c r="A75" s="11" t="inlineStr">
        <is>
          <t>Goblin Bombardment / Bombardeio de Goblins</t>
        </is>
      </c>
      <c r="B75" s="11" t="inlineStr">
        <is>
          <t>Encantamento</t>
        </is>
      </c>
      <c r="C75" s="11" t="inlineStr">
        <is>
          <t>Incomum</t>
        </is>
      </c>
      <c r="D75" s="11" t="inlineStr">
        <is>
          <t>Sacrifique uma criatura: Bombardeio de Goblins causa 1 de dano à criatura ou ao jogador alvo.</t>
        </is>
      </c>
      <c r="E75" s="11" t="inlineStr">
        <is>
          <t>1R</t>
        </is>
      </c>
      <c r="F75" s="11" t="inlineStr">
        <is>
          <t>Vermelho</t>
        </is>
      </c>
      <c r="G75" s="8" t="n">
        <v>14.99</v>
      </c>
      <c r="H75" s="11" t="inlineStr">
        <is>
          <t>Duel Decks: Speed vs. Cunning</t>
        </is>
      </c>
      <c r="I75" s="11" t="inlineStr">
        <is>
          <t>Não</t>
        </is>
      </c>
      <c r="J75" s="11" t="n">
        <v>2014</v>
      </c>
      <c r="L75" s="11" t="n">
        <v>1</v>
      </c>
      <c r="M75" s="8">
        <f>L75*G75</f>
        <v/>
      </c>
      <c r="P75" s="9" t="n"/>
    </row>
    <row r="76">
      <c r="A76" s="11" t="inlineStr">
        <is>
          <t>Arc Trail / Trilha de Arco</t>
        </is>
      </c>
      <c r="B76" s="11" t="inlineStr">
        <is>
          <t>Feitiço</t>
        </is>
      </c>
      <c r="C76" s="11" t="inlineStr">
        <is>
          <t>Incomum</t>
        </is>
      </c>
      <c r="D76" s="11" t="inlineStr">
        <is>
          <t>Trilha de Arco causa 2 de dano à criatura ou ao jogador alvo e 1 de dano a outra criatura ou outro jogador alvo.</t>
        </is>
      </c>
      <c r="E76" s="11" t="inlineStr">
        <is>
          <t>1R</t>
        </is>
      </c>
      <c r="F76" s="11" t="inlineStr">
        <is>
          <t>Vermelho</t>
        </is>
      </c>
      <c r="G76" s="8" t="n">
        <v>0.09</v>
      </c>
      <c r="H76" s="11" t="inlineStr">
        <is>
          <t>Duel Decks: Speed vs. Cunning</t>
        </is>
      </c>
      <c r="I76" s="11" t="inlineStr">
        <is>
          <t>Não</t>
        </is>
      </c>
      <c r="J76" s="11" t="n">
        <v>2014</v>
      </c>
      <c r="L76" s="11" t="n">
        <v>1</v>
      </c>
      <c r="M76" s="8">
        <f>L76*G76</f>
        <v/>
      </c>
      <c r="P76" s="9" t="n"/>
    </row>
    <row r="77">
      <c r="A77" s="11" t="inlineStr">
        <is>
          <t>Orcish Cannonade / Canoneio Orc</t>
        </is>
      </c>
      <c r="B77" s="11" t="inlineStr">
        <is>
          <t>Mágica Instantânea</t>
        </is>
      </c>
      <c r="C77" s="11" t="inlineStr">
        <is>
          <t>Comum</t>
        </is>
      </c>
      <c r="D77" s="11" t="inlineStr">
        <is>
          <t>Canoneio Orc causa 2 de dano à criatura ou ao jogador alvo e 3 de dano a você. Compre um card.</t>
        </is>
      </c>
      <c r="E77" s="11" t="inlineStr">
        <is>
          <t>1RR</t>
        </is>
      </c>
      <c r="F77" s="11" t="inlineStr">
        <is>
          <t>Vermelho</t>
        </is>
      </c>
      <c r="G77" s="8" t="n">
        <v>0.06</v>
      </c>
      <c r="H77" s="11" t="inlineStr">
        <is>
          <t>Duel Decks: Speed vs. Cunning</t>
        </is>
      </c>
      <c r="I77" s="11" t="inlineStr">
        <is>
          <t>Não</t>
        </is>
      </c>
      <c r="J77" s="11" t="n">
        <v>2014</v>
      </c>
      <c r="L77" s="11" t="n">
        <v>1</v>
      </c>
      <c r="M77" s="8">
        <f>L77*G77</f>
        <v/>
      </c>
      <c r="P77" s="9" t="n"/>
    </row>
    <row r="78">
      <c r="A78" s="11" t="inlineStr">
        <is>
          <t>Banefire / Fogo do Flagelo</t>
        </is>
      </c>
      <c r="B78" s="11" t="inlineStr">
        <is>
          <t>Feitiço</t>
        </is>
      </c>
      <c r="C78" s="11" t="inlineStr">
        <is>
          <t>Rara</t>
        </is>
      </c>
      <c r="D78" s="11" t="inlineStr">
        <is>
          <t>Fogo do Flagelo causa X de dano à criatura ou ao jogador alvo. Se X for igual ou superior a 5, Fogo do Flagelo não pode ser anulado por mágicas ou habilidades e o dano não pode ser prevenido.</t>
        </is>
      </c>
      <c r="E78" s="11" t="inlineStr">
        <is>
          <t>XR</t>
        </is>
      </c>
      <c r="F78" s="11" t="inlineStr">
        <is>
          <t>Vermelho</t>
        </is>
      </c>
      <c r="G78" s="8" t="n">
        <v>0.84</v>
      </c>
      <c r="H78" s="11" t="inlineStr">
        <is>
          <t>Duel Decks: Speed vs. Cunning</t>
        </is>
      </c>
      <c r="I78" s="11" t="inlineStr">
        <is>
          <t>Não</t>
        </is>
      </c>
      <c r="J78" s="11" t="n">
        <v>2014</v>
      </c>
      <c r="L78" s="11" t="n">
        <v>1</v>
      </c>
      <c r="M78" s="8">
        <f>L78*G78</f>
        <v/>
      </c>
      <c r="P78" s="9" t="n"/>
    </row>
    <row r="79">
      <c r="A79" s="11" t="inlineStr">
        <is>
          <t>Fury of the Horde / Fúria da Horda</t>
        </is>
      </c>
      <c r="B79" s="11" t="inlineStr">
        <is>
          <t>Feitiço</t>
        </is>
      </c>
      <c r="C79" s="11" t="inlineStr">
        <is>
          <t>Rara</t>
        </is>
      </c>
      <c r="D79" s="11"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11" t="inlineStr">
        <is>
          <t>5RR</t>
        </is>
      </c>
      <c r="F79" s="11" t="inlineStr">
        <is>
          <t>Vermelho</t>
        </is>
      </c>
      <c r="G79" s="8" t="n">
        <v>17.95</v>
      </c>
      <c r="H79" s="11" t="inlineStr">
        <is>
          <t>Duel Decks: Speed vs. Cunning</t>
        </is>
      </c>
      <c r="I79" s="11" t="inlineStr">
        <is>
          <t>Não</t>
        </is>
      </c>
      <c r="J79" s="11" t="n">
        <v>2014</v>
      </c>
      <c r="L79" s="11" t="n">
        <v>1</v>
      </c>
      <c r="M79" s="8">
        <f>L79*G79</f>
        <v/>
      </c>
      <c r="P79" s="9" t="n"/>
    </row>
    <row r="80">
      <c r="A80" s="11" t="inlineStr">
        <is>
          <t>Ogre Battledriver / Condutor de Guerra Ogro</t>
        </is>
      </c>
      <c r="B80" s="11" t="inlineStr">
        <is>
          <t>Criatura — Ogro Guerreiro</t>
        </is>
      </c>
      <c r="C80" s="11" t="inlineStr">
        <is>
          <t>Rara</t>
        </is>
      </c>
      <c r="D80" s="11" t="inlineStr">
        <is>
          <t>Toda vez que outra criatura entrar no campo de batalha sob o seu controle, aquela criatura receberá +2/+0 e ganhará ímpeto até o final do turno.</t>
        </is>
      </c>
      <c r="E80" s="11" t="inlineStr">
        <is>
          <t>2RR</t>
        </is>
      </c>
      <c r="F80" s="11" t="inlineStr">
        <is>
          <t>Vermelho</t>
        </is>
      </c>
      <c r="G80" s="8" t="n">
        <v>2.39</v>
      </c>
      <c r="H80" s="11" t="inlineStr">
        <is>
          <t>Duel Decks: Speed vs. Cunning</t>
        </is>
      </c>
      <c r="I80" s="11" t="inlineStr">
        <is>
          <t>Não</t>
        </is>
      </c>
      <c r="J80" s="11" t="n">
        <v>2014</v>
      </c>
      <c r="K80" s="10" t="n">
        <v>46084</v>
      </c>
      <c r="L80" s="11" t="n">
        <v>1</v>
      </c>
      <c r="M80" s="8">
        <f>L80*G80</f>
        <v/>
      </c>
      <c r="P80" s="9" t="n"/>
    </row>
    <row r="81">
      <c r="A81" s="11" t="inlineStr">
        <is>
          <t>Krenko, Mob Boss / Krenko, Chefe da Turba</t>
        </is>
      </c>
      <c r="B81" s="11" t="inlineStr">
        <is>
          <t>Criatura Lendária — Goblino Guerreiro</t>
        </is>
      </c>
      <c r="C81" s="11" t="inlineStr">
        <is>
          <t>Rara</t>
        </is>
      </c>
      <c r="D81" s="11" t="inlineStr">
        <is>
          <t>{T}: Coloque no campo de batalha X fichas de criatura 1/1 vermelhas do tipo Goblino, sendo X o número de Goblinos que você controla.</t>
        </is>
      </c>
      <c r="E81" s="11" t="inlineStr">
        <is>
          <t>2RR</t>
        </is>
      </c>
      <c r="F81" s="11" t="inlineStr">
        <is>
          <t>Vermelho</t>
        </is>
      </c>
      <c r="G81" s="8" t="n">
        <v>9.5</v>
      </c>
      <c r="H81" s="11" t="inlineStr">
        <is>
          <t>Duel Decks: Speed vs. Cunning</t>
        </is>
      </c>
      <c r="I81" s="11" t="inlineStr">
        <is>
          <t>Não</t>
        </is>
      </c>
      <c r="J81" s="11" t="n">
        <v>2014</v>
      </c>
      <c r="K81" s="10" t="n">
        <v>46084</v>
      </c>
      <c r="L81" s="11" t="n">
        <v>1</v>
      </c>
      <c r="M81" s="8">
        <f>L81*G81</f>
        <v/>
      </c>
      <c r="P81" s="9" t="n"/>
    </row>
    <row r="82">
      <c r="A82" s="11" t="inlineStr">
        <is>
          <t>Frenzied Goblin / Goblino Enlouquecido</t>
        </is>
      </c>
      <c r="B82" s="11" t="inlineStr">
        <is>
          <t>Criatura — Goblino Berserker</t>
        </is>
      </c>
      <c r="C82" s="11" t="inlineStr">
        <is>
          <t>Incomum</t>
        </is>
      </c>
      <c r="D82" s="11" t="inlineStr">
        <is>
          <t>Toda vez que Goblino Enlouquecido atacar, você poderá pagar {R}. Se fizer isso, a criatura alvo não poderá bloquear neste turno.</t>
        </is>
      </c>
      <c r="E82" s="11" t="inlineStr">
        <is>
          <t>R</t>
        </is>
      </c>
      <c r="F82" s="11" t="inlineStr">
        <is>
          <t>Vermelho</t>
        </is>
      </c>
      <c r="G82" s="8" t="n">
        <v>0.09</v>
      </c>
      <c r="H82" s="11" t="inlineStr">
        <is>
          <t>Duel Decks: Speed vs. Cunning</t>
        </is>
      </c>
      <c r="I82" s="11" t="inlineStr">
        <is>
          <t>Não</t>
        </is>
      </c>
      <c r="J82" s="11" t="n">
        <v>2014</v>
      </c>
      <c r="K82" s="10" t="n">
        <v>46023</v>
      </c>
      <c r="L82" s="11" t="n">
        <v>1</v>
      </c>
      <c r="M82" s="8">
        <f>L82*G82</f>
        <v/>
      </c>
      <c r="P82" s="9" t="n"/>
    </row>
    <row r="83">
      <c r="A83" s="11" t="inlineStr">
        <is>
          <t>Hellraiser Goblin / Goblino Desordeiro</t>
        </is>
      </c>
      <c r="B83" s="11" t="inlineStr">
        <is>
          <t>Criatura — Goblino Berserker</t>
        </is>
      </c>
      <c r="C83" s="11" t="inlineStr">
        <is>
          <t>Incomum</t>
        </is>
      </c>
      <c r="D83" s="11" t="inlineStr">
        <is>
          <t>As criaturas que você controla têm ímpeto e atacam a cada combate se estiverem aptas.</t>
        </is>
      </c>
      <c r="E83" s="11" t="inlineStr">
        <is>
          <t>2R</t>
        </is>
      </c>
      <c r="F83" s="11" t="inlineStr">
        <is>
          <t>Vermelho</t>
        </is>
      </c>
      <c r="G83" s="8" t="n">
        <v>0.17</v>
      </c>
      <c r="H83" s="11" t="inlineStr">
        <is>
          <t>Duel Decks: Speed vs. Cunning</t>
        </is>
      </c>
      <c r="I83" s="11" t="inlineStr">
        <is>
          <t>Não</t>
        </is>
      </c>
      <c r="J83" s="11" t="n">
        <v>2014</v>
      </c>
      <c r="K83" s="10" t="n">
        <v>46055</v>
      </c>
      <c r="L83" s="11" t="n">
        <v>1</v>
      </c>
      <c r="M83" s="8">
        <f>L83*G83</f>
        <v/>
      </c>
      <c r="P83" s="9" t="n"/>
    </row>
    <row r="84">
      <c r="A84" s="11" t="inlineStr">
        <is>
          <t>Goblin Warchief / Chefe de Guerra Goblino</t>
        </is>
      </c>
      <c r="B84" s="11" t="inlineStr">
        <is>
          <t>Criatura — Goblino Guerreiro</t>
        </is>
      </c>
      <c r="C84" s="11" t="inlineStr">
        <is>
          <t>Incomum</t>
        </is>
      </c>
      <c r="D84" s="11" t="inlineStr">
        <is>
          <t>As mágicas de Goblino que você conjura custam {1} a menos para serem conjuradas. As criaturas do tipo Goblino que você controla têm ímpeto.</t>
        </is>
      </c>
      <c r="E84" s="11" t="inlineStr">
        <is>
          <t>1RR</t>
        </is>
      </c>
      <c r="F84" s="11" t="inlineStr">
        <is>
          <t>Vermelho</t>
        </is>
      </c>
      <c r="G84" s="8" t="n">
        <v>1.99</v>
      </c>
      <c r="H84" s="11" t="inlineStr">
        <is>
          <t>Duel Decks: Speed vs. Cunning</t>
        </is>
      </c>
      <c r="I84" s="11" t="inlineStr">
        <is>
          <t>Não</t>
        </is>
      </c>
      <c r="J84" s="11" t="n">
        <v>2014</v>
      </c>
      <c r="K84" s="10" t="n">
        <v>46055</v>
      </c>
      <c r="L84" s="11" t="n">
        <v>1</v>
      </c>
      <c r="M84" s="8">
        <f>L84*G84</f>
        <v/>
      </c>
      <c r="P84" s="9" t="n"/>
    </row>
    <row r="85">
      <c r="A85" s="11" t="inlineStr">
        <is>
          <t>Mardu Heart-Piercer / Perfurador de Corações Mardu</t>
        </is>
      </c>
      <c r="B85" s="11" t="inlineStr">
        <is>
          <t>Criatura — Humano Arqueiro</t>
        </is>
      </c>
      <c r="C85" s="11" t="inlineStr">
        <is>
          <t>Incomum</t>
        </is>
      </c>
      <c r="D85" s="11" t="inlineStr">
        <is>
          <t>Incursão — Quando Perfurador de Corações Mardu entra no campo de batalha, se você atacou com uma criatura neste turno, Perfurador de Corações Mardu causa 2 de dano à criatura ou ao jogador alvo.</t>
        </is>
      </c>
      <c r="E85" s="11" t="inlineStr">
        <is>
          <t>3R</t>
        </is>
      </c>
      <c r="F85" s="11" t="inlineStr">
        <is>
          <t>Vermelho</t>
        </is>
      </c>
      <c r="G85" s="8" t="n">
        <v>0.06</v>
      </c>
      <c r="H85" s="11" t="inlineStr">
        <is>
          <t>Duel Decks: Speed vs. Cunning</t>
        </is>
      </c>
      <c r="I85" s="11" t="inlineStr">
        <is>
          <t>Não</t>
        </is>
      </c>
      <c r="J85" s="11" t="n">
        <v>2014</v>
      </c>
      <c r="K85" s="10" t="n">
        <v>46083</v>
      </c>
      <c r="L85" s="11" t="n">
        <v>1</v>
      </c>
      <c r="M85" s="8">
        <f>L85*G85</f>
        <v/>
      </c>
      <c r="P85" s="9" t="n"/>
    </row>
    <row r="86">
      <c r="A86" s="11" t="inlineStr">
        <is>
          <t>Dauntless Onslaught / Embestida Intrépida</t>
        </is>
      </c>
      <c r="B86" s="11" t="inlineStr">
        <is>
          <t>Mágica Instantânea</t>
        </is>
      </c>
      <c r="C86" s="11" t="inlineStr">
        <is>
          <t>Incomum</t>
        </is>
      </c>
      <c r="D86" s="11" t="inlineStr">
        <is>
          <t>Até duas criaturas alvo recebem +2/+2 até o final do turno.</t>
        </is>
      </c>
      <c r="E86" s="11" t="inlineStr">
        <is>
          <t>2W</t>
        </is>
      </c>
      <c r="F86" s="11" t="inlineStr">
        <is>
          <t>Branco</t>
        </is>
      </c>
      <c r="G86" s="8" t="n">
        <v>0.06</v>
      </c>
      <c r="H86" s="11" t="inlineStr">
        <is>
          <t>Duel Decks: Speed vs. Cunning</t>
        </is>
      </c>
      <c r="I86" s="11" t="inlineStr">
        <is>
          <t>Não</t>
        </is>
      </c>
      <c r="J86" s="11" t="n">
        <v>2014</v>
      </c>
      <c r="L86" s="11" t="n">
        <v>1</v>
      </c>
      <c r="M86" s="8">
        <f>L86*G86</f>
        <v/>
      </c>
      <c r="P86" s="9" t="n"/>
    </row>
    <row r="87">
      <c r="A87" s="11" t="inlineStr">
        <is>
          <t>Leonin Snarecaster / Lançador de Redes Leonino</t>
        </is>
      </c>
      <c r="B87" s="11" t="inlineStr">
        <is>
          <t>Criatura — Gato Soldado</t>
        </is>
      </c>
      <c r="C87" s="11" t="inlineStr">
        <is>
          <t>Comum</t>
        </is>
      </c>
      <c r="D87" s="11" t="inlineStr">
        <is>
          <t>Quando Lançador de Redes Leonino entra no campo de batalha, você pode virar a criatura alvo.</t>
        </is>
      </c>
      <c r="E87" s="11" t="inlineStr">
        <is>
          <t>1W</t>
        </is>
      </c>
      <c r="F87" s="11" t="inlineStr">
        <is>
          <t>Branco</t>
        </is>
      </c>
      <c r="G87" s="8" t="n">
        <v>0.06</v>
      </c>
      <c r="H87" s="11" t="inlineStr">
        <is>
          <t>Duel Decks: Speed vs. Cunning</t>
        </is>
      </c>
      <c r="I87" s="11" t="inlineStr">
        <is>
          <t>Não</t>
        </is>
      </c>
      <c r="J87" s="11" t="n">
        <v>2014</v>
      </c>
      <c r="K87" s="10" t="n">
        <v>46024</v>
      </c>
      <c r="L87" s="11" t="n">
        <v>2</v>
      </c>
      <c r="M87" s="8">
        <f>L87*G87</f>
        <v/>
      </c>
      <c r="P87" s="9" t="n"/>
    </row>
    <row r="88">
      <c r="A88" s="11" t="inlineStr">
        <is>
          <t>Infantry Veteran / Veterano da Infantaria</t>
        </is>
      </c>
      <c r="B88" s="11" t="inlineStr">
        <is>
          <t>Criatura — Humano Soldado</t>
        </is>
      </c>
      <c r="C88" s="11" t="inlineStr">
        <is>
          <t>Comum</t>
        </is>
      </c>
      <c r="D88" s="11" t="inlineStr">
        <is>
          <t>{T}: A criatura atacante alvo recebe +1/+1 até o final do turno.</t>
        </is>
      </c>
      <c r="E88" s="11" t="inlineStr">
        <is>
          <t>W</t>
        </is>
      </c>
      <c r="F88" s="11" t="inlineStr">
        <is>
          <t>Branco</t>
        </is>
      </c>
      <c r="G88" s="8" t="n">
        <v>0.06</v>
      </c>
      <c r="H88" s="11" t="inlineStr">
        <is>
          <t>Duel Decks: Speed vs. Cunning</t>
        </is>
      </c>
      <c r="I88" s="11" t="inlineStr">
        <is>
          <t>Não</t>
        </is>
      </c>
      <c r="J88" s="11" t="n">
        <v>2014</v>
      </c>
      <c r="K88" s="10" t="n">
        <v>46023</v>
      </c>
      <c r="L88" s="11" t="n">
        <v>1</v>
      </c>
      <c r="M88" s="8">
        <f>L88*G88</f>
        <v/>
      </c>
      <c r="P88" s="9" t="n"/>
    </row>
    <row r="89">
      <c r="A89" s="11" t="inlineStr">
        <is>
          <t>Bone Splinters / Estilhaços de Osso</t>
        </is>
      </c>
      <c r="B89" s="11" t="inlineStr">
        <is>
          <t>Feitiço</t>
        </is>
      </c>
      <c r="C89" s="11" t="inlineStr">
        <is>
          <t>Comum</t>
        </is>
      </c>
      <c r="D89" s="11" t="inlineStr">
        <is>
          <t>Como custo adicional para conjurar Estilhaços de Osso, sacrifique uma criatura. Destrua a criatura alvo.</t>
        </is>
      </c>
      <c r="E89" s="11" t="inlineStr">
        <is>
          <t>B</t>
        </is>
      </c>
      <c r="F89" s="11" t="inlineStr">
        <is>
          <t>Preto</t>
        </is>
      </c>
      <c r="G89" s="8" t="n">
        <v>0.08</v>
      </c>
      <c r="H89" s="11" t="inlineStr">
        <is>
          <t>Duel Decks: Speed vs. Cunning</t>
        </is>
      </c>
      <c r="I89" s="11" t="inlineStr">
        <is>
          <t>Não</t>
        </is>
      </c>
      <c r="J89" s="11" t="n">
        <v>2014</v>
      </c>
      <c r="L89" s="11" t="n">
        <v>1</v>
      </c>
      <c r="M89" s="8">
        <f>L89*G89</f>
        <v/>
      </c>
      <c r="P89" s="9" t="n"/>
    </row>
    <row r="90">
      <c r="A90" s="11" t="inlineStr">
        <is>
          <t>Bone Splinters / Estilhaços de Osso</t>
        </is>
      </c>
      <c r="B90" s="11" t="inlineStr">
        <is>
          <t>Feitiço</t>
        </is>
      </c>
      <c r="C90" s="11" t="inlineStr">
        <is>
          <t>Comum</t>
        </is>
      </c>
      <c r="D90" s="11" t="inlineStr">
        <is>
          <t>Como custo adicional para conjurar Estilhaços de Osso, sacrifique uma criatura. Destrua a criatura alvo.</t>
        </is>
      </c>
      <c r="E90" s="11" t="inlineStr">
        <is>
          <t>B</t>
        </is>
      </c>
      <c r="F90" s="11" t="inlineStr">
        <is>
          <t>Preto</t>
        </is>
      </c>
      <c r="G90" s="8" t="n">
        <v>0.05</v>
      </c>
      <c r="H90" s="11" t="inlineStr">
        <is>
          <t>Core Set 2020</t>
        </is>
      </c>
      <c r="I90" s="11" t="inlineStr">
        <is>
          <t>Não</t>
        </is>
      </c>
      <c r="J90" s="11" t="n">
        <v>2019</v>
      </c>
      <c r="L90" s="11" t="n">
        <v>1</v>
      </c>
      <c r="M90" s="8">
        <f>L90*G90</f>
        <v/>
      </c>
      <c r="P90" s="9" t="n"/>
    </row>
    <row r="91">
      <c r="A91" s="11" t="inlineStr">
        <is>
          <t>Fleshbag Marauder / Saqueador de Bolsas de Carne</t>
        </is>
      </c>
      <c r="B91" s="11" t="inlineStr">
        <is>
          <t>Criatura — Zumbi Guerreiro</t>
        </is>
      </c>
      <c r="C91" s="11" t="inlineStr">
        <is>
          <t>Incomum</t>
        </is>
      </c>
      <c r="D91" s="11" t="inlineStr">
        <is>
          <t>Quando Saqueador de Bolsas de Carne entra no campo de batalha, cada jogador sacrifica uma criatura.</t>
        </is>
      </c>
      <c r="E91" s="11" t="inlineStr">
        <is>
          <t>2B</t>
        </is>
      </c>
      <c r="F91" s="11" t="inlineStr">
        <is>
          <t>Preto</t>
        </is>
      </c>
      <c r="G91" s="8" t="n">
        <v>0.49</v>
      </c>
      <c r="H91" s="11" t="inlineStr">
        <is>
          <t>Duel Decks: Speed vs. Cunning</t>
        </is>
      </c>
      <c r="I91" s="11" t="inlineStr">
        <is>
          <t>Não</t>
        </is>
      </c>
      <c r="J91" s="11" t="n">
        <v>2014</v>
      </c>
      <c r="K91" s="10" t="n">
        <v>46025</v>
      </c>
      <c r="L91" s="11" t="n">
        <v>1</v>
      </c>
      <c r="M91" s="8">
        <f>L91*G91</f>
        <v/>
      </c>
      <c r="P91" s="9" t="n"/>
    </row>
    <row r="92">
      <c r="A92" s="11" t="inlineStr">
        <is>
          <t>Fleshbag Marauder / Saqueador de Bolsas de Carne</t>
        </is>
      </c>
      <c r="B92" s="11" t="inlineStr">
        <is>
          <t>Criatura — Zumbi Guerreiro</t>
        </is>
      </c>
      <c r="C92" s="11" t="inlineStr">
        <is>
          <t>Incomum</t>
        </is>
      </c>
      <c r="D92" s="11" t="inlineStr">
        <is>
          <t>Quando Saqueador de Bolsas de Carne entra no campo de batalha, cada jogador sacrifica uma criatura.</t>
        </is>
      </c>
      <c r="E92" s="11" t="inlineStr">
        <is>
          <t>2B</t>
        </is>
      </c>
      <c r="F92" s="11" t="inlineStr">
        <is>
          <t>Preto</t>
        </is>
      </c>
      <c r="G92" s="8" t="n">
        <v>0.4</v>
      </c>
      <c r="H92" s="11" t="inlineStr">
        <is>
          <t>Magic Origens</t>
        </is>
      </c>
      <c r="I92" s="11" t="inlineStr">
        <is>
          <t>Não</t>
        </is>
      </c>
      <c r="J92" s="11" t="n">
        <v>2015</v>
      </c>
      <c r="K92" s="10" t="n">
        <v>46025</v>
      </c>
      <c r="L92" s="11" t="n">
        <v>2</v>
      </c>
      <c r="M92" s="8">
        <f>L92*G92</f>
        <v/>
      </c>
      <c r="P92" s="9" t="n"/>
    </row>
    <row r="93">
      <c r="A93" s="11" t="inlineStr">
        <is>
          <t>Fleshbag Marauder / Saqueador de Bolsas de Carne</t>
        </is>
      </c>
      <c r="B93" s="11" t="inlineStr">
        <is>
          <t>Criatura — Zumbi Guerreiro</t>
        </is>
      </c>
      <c r="C93" s="11" t="inlineStr">
        <is>
          <t>Incomum</t>
        </is>
      </c>
      <c r="D93" s="11" t="inlineStr">
        <is>
          <t>Quando Saqueador de Bolsas de Carne entra no campo de batalha, cada jogador sacrifica uma criatura.</t>
        </is>
      </c>
      <c r="E93" s="11" t="inlineStr">
        <is>
          <t>2B</t>
        </is>
      </c>
      <c r="F93" s="11" t="inlineStr">
        <is>
          <t>Preto</t>
        </is>
      </c>
      <c r="G93" s="8" t="n">
        <v>1.19</v>
      </c>
      <c r="H93" s="11" t="inlineStr">
        <is>
          <t xml:space="preserve">Commander Anthology 2018 </t>
        </is>
      </c>
      <c r="I93" s="11" t="inlineStr">
        <is>
          <t>Não</t>
        </is>
      </c>
      <c r="J93" s="11" t="n">
        <v>2018</v>
      </c>
      <c r="K93" s="10" t="n">
        <v>46025</v>
      </c>
      <c r="L93" s="11" t="n">
        <v>1</v>
      </c>
      <c r="M93" s="8">
        <f>L93*G93</f>
        <v/>
      </c>
      <c r="P93" s="9" t="n"/>
    </row>
    <row r="94">
      <c r="A94" s="11" t="inlineStr">
        <is>
          <t>Sparkmage Apprentice / Aprendiz de Piromante de Centelhas</t>
        </is>
      </c>
      <c r="B94" s="11" t="inlineStr">
        <is>
          <t>Criatura — Humano Mago</t>
        </is>
      </c>
      <c r="C94" s="11" t="inlineStr">
        <is>
          <t>Comum</t>
        </is>
      </c>
      <c r="D94" s="11" t="inlineStr">
        <is>
          <t>Quando Aprendiz de Piromante de Centelhas entra no campo de batalha, ele causa 1 de dano à criatura ou ao jogador alvo.</t>
        </is>
      </c>
      <c r="E94" s="11" t="inlineStr">
        <is>
          <t>1R</t>
        </is>
      </c>
      <c r="F94" s="11" t="inlineStr">
        <is>
          <t>Vermelho</t>
        </is>
      </c>
      <c r="G94" s="8" t="n">
        <v>0.09</v>
      </c>
      <c r="H94" s="11" t="inlineStr">
        <is>
          <t>Duel Decks: Speed vs. Cunning</t>
        </is>
      </c>
      <c r="I94" s="11" t="inlineStr">
        <is>
          <t>Não</t>
        </is>
      </c>
      <c r="J94" s="11" t="n">
        <v>2014</v>
      </c>
      <c r="K94" s="10" t="n">
        <v>46023</v>
      </c>
      <c r="L94" s="11" t="n">
        <v>1</v>
      </c>
      <c r="M94" s="8">
        <f>L94*G94</f>
        <v/>
      </c>
      <c r="P94" s="9" t="n"/>
    </row>
    <row r="95">
      <c r="A95" s="11" t="inlineStr">
        <is>
          <t>Inferno Trap / Armadilha de Inferno</t>
        </is>
      </c>
      <c r="B95" s="11" t="inlineStr">
        <is>
          <t>Mágica Instantânea — Armadilha</t>
        </is>
      </c>
      <c r="C95" s="11" t="inlineStr">
        <is>
          <t>Incomum</t>
        </is>
      </c>
      <c r="D95" s="11" t="inlineStr">
        <is>
          <t>Se tiver recebido dano de duas ou mais criaturas neste turno, você poderá pagar {R} em vez de pagar o custo de mana de Armadilha de Inferno. Armadilha de Inferno causa 4 de dano à criatura alvo.</t>
        </is>
      </c>
      <c r="E95" s="11" t="inlineStr">
        <is>
          <t>3R</t>
        </is>
      </c>
      <c r="F95" s="11" t="inlineStr">
        <is>
          <t>Vermelho</t>
        </is>
      </c>
      <c r="G95" s="8" t="n">
        <v>0.06</v>
      </c>
      <c r="H95" s="11" t="inlineStr">
        <is>
          <t>Duel Decks: Speed vs. Cunning</t>
        </is>
      </c>
      <c r="I95" s="11" t="inlineStr">
        <is>
          <t>Não</t>
        </is>
      </c>
      <c r="J95" s="11" t="n">
        <v>2014</v>
      </c>
      <c r="L95" s="11" t="n">
        <v>1</v>
      </c>
      <c r="M95" s="8">
        <f>L95*G95</f>
        <v/>
      </c>
      <c r="P95" s="9" t="n"/>
    </row>
    <row r="96">
      <c r="A96" s="11" t="inlineStr">
        <is>
          <t>Terramorphic Expanse / Imensidão Terramórfica</t>
        </is>
      </c>
      <c r="B96" s="11" t="inlineStr">
        <is>
          <t>Terreno</t>
        </is>
      </c>
      <c r="C96" s="11" t="inlineStr">
        <is>
          <t>Comum</t>
        </is>
      </c>
      <c r="D96" s="11" t="inlineStr">
        <is>
          <t>{T}, Sacrifique Imensidão Terramórfica: Procure em seu grimório por um card de terreno básico e coloque-o no campo de batalha virado. Depois, embaralhe seu grimório.</t>
        </is>
      </c>
      <c r="E96" s="11" t="inlineStr">
        <is>
          <t>Não encontrado</t>
        </is>
      </c>
      <c r="F96" s="11" t="inlineStr">
        <is>
          <t>Incolor</t>
        </is>
      </c>
      <c r="G96" s="8" t="n">
        <v>0.19</v>
      </c>
      <c r="H96" s="11" t="inlineStr">
        <is>
          <t>Duel Decks: Speed vs. Cunning</t>
        </is>
      </c>
      <c r="I96" s="11" t="inlineStr">
        <is>
          <t>Não</t>
        </is>
      </c>
      <c r="J96" s="11" t="n">
        <v>2014</v>
      </c>
      <c r="L96" s="11" t="n">
        <v>2</v>
      </c>
      <c r="M96" s="8">
        <f>L96*G96</f>
        <v/>
      </c>
      <c r="P96" s="9" t="n"/>
    </row>
    <row r="97">
      <c r="A97" s="11" t="inlineStr">
        <is>
          <t>Terramorphic Expanse / Vastidão Morfoterrena</t>
        </is>
      </c>
      <c r="B97" s="11" t="inlineStr">
        <is>
          <t>Land / Terreno</t>
        </is>
      </c>
      <c r="C97" s="11" t="inlineStr">
        <is>
          <t>Common / Comum</t>
        </is>
      </c>
      <c r="D97" s="11"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97" s="11" t="n"/>
      <c r="F97" s="11" t="inlineStr">
        <is>
          <t>Incolor</t>
        </is>
      </c>
      <c r="G97" s="8" t="n">
        <v>0.1</v>
      </c>
      <c r="H97" s="11" t="inlineStr">
        <is>
          <t>Secrets of Strixhaven (SOS)</t>
        </is>
      </c>
      <c r="I97" s="11" t="inlineStr">
        <is>
          <t>Não</t>
        </is>
      </c>
      <c r="J97" s="11" t="n">
        <v>2026</v>
      </c>
      <c r="K97" s="11" t="n"/>
      <c r="L97" s="11" t="n">
        <v>1</v>
      </c>
      <c r="M97" s="8">
        <f>L97*G97</f>
        <v/>
      </c>
      <c r="P97" s="9" t="n"/>
    </row>
    <row r="98">
      <c r="A98" s="11" t="inlineStr">
        <is>
          <t>Mystic Monastery / Monastério Místico</t>
        </is>
      </c>
      <c r="B98" s="11" t="inlineStr">
        <is>
          <t>Terreno</t>
        </is>
      </c>
      <c r="C98" s="11" t="inlineStr">
        <is>
          <t>Incomum</t>
        </is>
      </c>
      <c r="D98" s="11" t="inlineStr">
        <is>
          <t>Monastério Místico entra no campo de batalha virado. {T}: Adicione {U}, {R} ou {W} à sua reserva de mana.</t>
        </is>
      </c>
      <c r="E98" s="11" t="inlineStr">
        <is>
          <t>Não encontrado</t>
        </is>
      </c>
      <c r="F98" s="11" t="inlineStr">
        <is>
          <t>Incolor</t>
        </is>
      </c>
      <c r="G98" s="8" t="n">
        <v>0.39</v>
      </c>
      <c r="H98" s="11" t="inlineStr">
        <is>
          <t>Duel Decks: Speed vs. Cunning</t>
        </is>
      </c>
      <c r="I98" s="11" t="inlineStr">
        <is>
          <t>Não</t>
        </is>
      </c>
      <c r="J98" s="11" t="n">
        <v>2014</v>
      </c>
      <c r="L98" s="11" t="n">
        <v>2</v>
      </c>
      <c r="M98" s="8">
        <f>L98*G98</f>
        <v/>
      </c>
      <c r="P98" s="9" t="n"/>
    </row>
    <row r="99">
      <c r="A99" s="11" t="inlineStr">
        <is>
          <t>Lightning Angel / Anjo de Relâmpagos</t>
        </is>
      </c>
      <c r="B99" s="11" t="inlineStr">
        <is>
          <t>Criatura — Anjo</t>
        </is>
      </c>
      <c r="C99" s="11" t="inlineStr">
        <is>
          <t>Rara</t>
        </is>
      </c>
      <c r="D99" s="11" t="inlineStr">
        <is>
          <t>Voar, vigilância, ímpeto</t>
        </is>
      </c>
      <c r="E99" s="11" t="inlineStr">
        <is>
          <t>1RWU</t>
        </is>
      </c>
      <c r="F99" s="11" t="inlineStr">
        <is>
          <t>Multicolorido</t>
        </is>
      </c>
      <c r="G99" s="8" t="n">
        <v>0.9</v>
      </c>
      <c r="H99" s="11" t="inlineStr">
        <is>
          <t>Duel Decks: Speed vs. Cunning</t>
        </is>
      </c>
      <c r="I99" s="11" t="inlineStr">
        <is>
          <t>Não</t>
        </is>
      </c>
      <c r="J99" s="11" t="n">
        <v>2014</v>
      </c>
      <c r="K99" s="10" t="n">
        <v>46115</v>
      </c>
      <c r="L99" s="11" t="n">
        <v>1</v>
      </c>
      <c r="M99" s="8">
        <f>L99*G99</f>
        <v/>
      </c>
      <c r="P99" s="9" t="n"/>
    </row>
    <row r="100">
      <c r="A100" s="11" t="inlineStr">
        <is>
          <t>Steam Augury / Augúrio de Vapor</t>
        </is>
      </c>
      <c r="B100" s="11" t="inlineStr">
        <is>
          <t>Mágica Instantânea</t>
        </is>
      </c>
      <c r="C100" s="11" t="inlineStr">
        <is>
          <t>Rara</t>
        </is>
      </c>
      <c r="D100" s="11" t="inlineStr">
        <is>
          <t>Revele os cinco cards do topo de seu grimório e separe-os em dois montes. Um oponente escolhe um daqueles montes. Coloque aquele monte em sua mão e o outro em seu cemitério.</t>
        </is>
      </c>
      <c r="E100" s="11" t="inlineStr">
        <is>
          <t>2UR</t>
        </is>
      </c>
      <c r="F100" s="11" t="inlineStr">
        <is>
          <t>Multicolorido</t>
        </is>
      </c>
      <c r="G100" s="8" t="n">
        <v>0.23</v>
      </c>
      <c r="H100" s="11" t="inlineStr">
        <is>
          <t>Duel Decks: Speed vs. Cunning</t>
        </is>
      </c>
      <c r="I100" s="11" t="inlineStr">
        <is>
          <t>Não</t>
        </is>
      </c>
      <c r="J100" s="11" t="n">
        <v>2014</v>
      </c>
      <c r="L100" s="11" t="n">
        <v>1</v>
      </c>
      <c r="M100" s="8">
        <f>L100*G100</f>
        <v/>
      </c>
      <c r="P100" s="9" t="n"/>
    </row>
    <row r="101">
      <c r="A101" s="11" t="inlineStr">
        <is>
          <t>Hussar Patrol / Patrulha Hússara</t>
        </is>
      </c>
      <c r="B101" s="11" t="inlineStr">
        <is>
          <t>Criatura — Humano Cavaleiro</t>
        </is>
      </c>
      <c r="C101" s="11" t="inlineStr">
        <is>
          <t>Comum</t>
        </is>
      </c>
      <c r="D101" s="11" t="inlineStr">
        <is>
          <t>Lampejo (Você poderá conjurar esta mágica a qualquer momento em que puder conjurar uma mágica instantânea.) Vigilância</t>
        </is>
      </c>
      <c r="E101" s="11" t="inlineStr">
        <is>
          <t>2WU</t>
        </is>
      </c>
      <c r="F101" s="11" t="inlineStr">
        <is>
          <t>Multicolorido</t>
        </is>
      </c>
      <c r="G101" s="8" t="n">
        <v>0.06</v>
      </c>
      <c r="H101" s="11" t="inlineStr">
        <is>
          <t>Duel Decks: Speed vs. Cunning</t>
        </is>
      </c>
      <c r="I101" s="11" t="inlineStr">
        <is>
          <t>Não</t>
        </is>
      </c>
      <c r="J101" s="11" t="n">
        <v>2014</v>
      </c>
      <c r="K101" s="10" t="n">
        <v>46114</v>
      </c>
      <c r="L101" s="11" t="n">
        <v>1</v>
      </c>
      <c r="M101" s="8">
        <f>L101*G101</f>
        <v/>
      </c>
      <c r="P101" s="9" t="n"/>
    </row>
    <row r="102">
      <c r="A102" s="11" t="inlineStr">
        <is>
          <t>Lightning Helix / Hélice de Raios</t>
        </is>
      </c>
      <c r="B102" s="11" t="inlineStr">
        <is>
          <t>Mágica Instantânea</t>
        </is>
      </c>
      <c r="C102" s="11" t="inlineStr">
        <is>
          <t>Incomum</t>
        </is>
      </c>
      <c r="D102" s="11" t="inlineStr">
        <is>
          <t>Hélice de Raios causa 3 de dano à criatura ou ao jogador alvo e você ganha 3 de vida.</t>
        </is>
      </c>
      <c r="E102" s="11" t="inlineStr">
        <is>
          <t>RW</t>
        </is>
      </c>
      <c r="F102" s="11" t="inlineStr">
        <is>
          <t>Multicolorido</t>
        </is>
      </c>
      <c r="G102" s="8" t="n">
        <v>0.44</v>
      </c>
      <c r="H102" s="11" t="inlineStr">
        <is>
          <t>Duel Decks: Speed vs. Cunning</t>
        </is>
      </c>
      <c r="I102" s="11" t="inlineStr">
        <is>
          <t>Não</t>
        </is>
      </c>
      <c r="J102" s="11" t="n">
        <v>2014</v>
      </c>
      <c r="L102" s="11" t="n">
        <v>1</v>
      </c>
      <c r="M102" s="8">
        <f>L102*G102</f>
        <v/>
      </c>
      <c r="P102" s="9" t="n"/>
    </row>
    <row r="103">
      <c r="A103" s="11" t="inlineStr">
        <is>
          <t>Arrow Volley Trap / Armadilha de Salva de Flechas</t>
        </is>
      </c>
      <c r="B103" s="11" t="inlineStr">
        <is>
          <t>Mágica Instantânea — Armadilha</t>
        </is>
      </c>
      <c r="C103" s="11" t="inlineStr">
        <is>
          <t>Incomum</t>
        </is>
      </c>
      <c r="D103" s="11"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3" s="11" t="inlineStr">
        <is>
          <t>3WW</t>
        </is>
      </c>
      <c r="F103" s="11" t="inlineStr">
        <is>
          <t>Branco</t>
        </is>
      </c>
      <c r="G103" s="8" t="n">
        <v>0.08</v>
      </c>
      <c r="H103" s="11" t="inlineStr">
        <is>
          <t>Duel Decks: Speed vs. Cunning</t>
        </is>
      </c>
      <c r="I103" s="11" t="inlineStr">
        <is>
          <t>Não</t>
        </is>
      </c>
      <c r="J103" s="11" t="n">
        <v>2014</v>
      </c>
      <c r="L103" s="11" t="n">
        <v>1</v>
      </c>
      <c r="M103" s="8">
        <f>L103*G103</f>
        <v/>
      </c>
      <c r="P103" s="9" t="n"/>
    </row>
    <row r="104">
      <c r="A104" s="11" t="inlineStr">
        <is>
          <t>Lone Missionary / Missionário Solitário</t>
        </is>
      </c>
      <c r="B104" s="11" t="inlineStr">
        <is>
          <t>Criatura — Kor Monge</t>
        </is>
      </c>
      <c r="C104" s="11" t="inlineStr">
        <is>
          <t>Comum</t>
        </is>
      </c>
      <c r="D104" s="11" t="inlineStr">
        <is>
          <t>Quando Missionário Solitário entra no campo de batalha, você ganha 4 de vida.</t>
        </is>
      </c>
      <c r="E104" s="11" t="inlineStr">
        <is>
          <t>1W</t>
        </is>
      </c>
      <c r="F104" s="11" t="inlineStr">
        <is>
          <t>Branco</t>
        </is>
      </c>
      <c r="G104" s="8" t="n">
        <v>0.9399999999999999</v>
      </c>
      <c r="H104" s="11" t="inlineStr">
        <is>
          <t>Duel Decks: Speed vs. Cunning</t>
        </is>
      </c>
      <c r="I104" s="11" t="inlineStr">
        <is>
          <t>Não</t>
        </is>
      </c>
      <c r="J104" s="11" t="n">
        <v>2014</v>
      </c>
      <c r="K104" s="10" t="n">
        <v>46024</v>
      </c>
      <c r="L104" s="11" t="n">
        <v>1</v>
      </c>
      <c r="M104" s="8">
        <f>L104*G104</f>
        <v/>
      </c>
      <c r="P104" s="9" t="n"/>
    </row>
    <row r="105">
      <c r="A105" s="11" t="inlineStr">
        <is>
          <t>Master Decoy / Mestre de Iscas</t>
        </is>
      </c>
      <c r="B105" s="11" t="inlineStr">
        <is>
          <t>Criatura — Humano Soldado</t>
        </is>
      </c>
      <c r="C105" s="11" t="inlineStr">
        <is>
          <t>Comum</t>
        </is>
      </c>
      <c r="D105" s="11" t="inlineStr">
        <is>
          <t>{W}, {T}: Vire a criatura alvo.</t>
        </is>
      </c>
      <c r="E105" s="11" t="inlineStr">
        <is>
          <t>1W</t>
        </is>
      </c>
      <c r="F105" s="11" t="inlineStr">
        <is>
          <t>Branco</t>
        </is>
      </c>
      <c r="G105" s="8" t="n">
        <v>0.06</v>
      </c>
      <c r="H105" s="11" t="inlineStr">
        <is>
          <t>Duel Decks: Speed vs. Cunning</t>
        </is>
      </c>
      <c r="I105" s="11" t="inlineStr">
        <is>
          <t>Não</t>
        </is>
      </c>
      <c r="J105" s="11" t="n">
        <v>2014</v>
      </c>
      <c r="K105" s="10" t="n">
        <v>46054</v>
      </c>
      <c r="L105" s="11" t="n">
        <v>1</v>
      </c>
      <c r="M105" s="8">
        <f>L105*G105</f>
        <v/>
      </c>
      <c r="P105" s="9" t="n"/>
    </row>
    <row r="106">
      <c r="A106" s="11" t="inlineStr">
        <is>
          <t>Hold the Line / Manter a Posição</t>
        </is>
      </c>
      <c r="B106" s="11" t="inlineStr">
        <is>
          <t>Mágica Instantânea</t>
        </is>
      </c>
      <c r="C106" s="11" t="inlineStr">
        <is>
          <t>Rara</t>
        </is>
      </c>
      <c r="D106" s="11" t="inlineStr">
        <is>
          <t>As criaturas bloqueadoras recebem +7/+7 até o final do turno.</t>
        </is>
      </c>
      <c r="E106" s="11" t="inlineStr">
        <is>
          <t>1WW</t>
        </is>
      </c>
      <c r="F106" s="11" t="inlineStr">
        <is>
          <t>Branco</t>
        </is>
      </c>
      <c r="G106" s="8" t="n">
        <v>0.45</v>
      </c>
      <c r="H106" s="11" t="inlineStr">
        <is>
          <t>Duel Decks: Speed vs. Cunning</t>
        </is>
      </c>
      <c r="I106" s="11" t="inlineStr">
        <is>
          <t>Não</t>
        </is>
      </c>
      <c r="J106" s="11" t="n">
        <v>2014</v>
      </c>
      <c r="L106" s="11" t="n">
        <v>1</v>
      </c>
      <c r="M106" s="8">
        <f>L106*G106</f>
        <v/>
      </c>
      <c r="P106" s="9" t="n"/>
    </row>
    <row r="107">
      <c r="A107" s="11" t="inlineStr">
        <is>
          <t>Stonecloaker / Ocultador de Pedra</t>
        </is>
      </c>
      <c r="B107" s="11" t="inlineStr">
        <is>
          <t>Criatura — Gárgula</t>
        </is>
      </c>
      <c r="C107" s="11" t="inlineStr">
        <is>
          <t>Incomum</t>
        </is>
      </c>
      <c r="D107" s="11"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7" s="11" t="inlineStr">
        <is>
          <t>2W</t>
        </is>
      </c>
      <c r="F107" s="11" t="inlineStr">
        <is>
          <t>Branco</t>
        </is>
      </c>
      <c r="G107" s="8" t="n">
        <v>0.15</v>
      </c>
      <c r="H107" s="11" t="inlineStr">
        <is>
          <t>Duel Decks: Speed vs. Cunning</t>
        </is>
      </c>
      <c r="I107" s="11" t="inlineStr">
        <is>
          <t>Não</t>
        </is>
      </c>
      <c r="J107" s="11" t="n">
        <v>2014</v>
      </c>
      <c r="K107" s="10" t="n">
        <v>46056</v>
      </c>
      <c r="L107" s="11" t="n">
        <v>1</v>
      </c>
      <c r="M107" s="8">
        <f>L107*G107</f>
        <v/>
      </c>
      <c r="P107" s="9" t="n"/>
    </row>
    <row r="108">
      <c r="A108" s="11" t="inlineStr">
        <is>
          <t>Kor Hookmaster / Mestre dos Ganchos Kor</t>
        </is>
      </c>
      <c r="B108" s="11" t="inlineStr">
        <is>
          <t>Criatura — Kor Soldado</t>
        </is>
      </c>
      <c r="C108" s="11" t="inlineStr">
        <is>
          <t>Comum</t>
        </is>
      </c>
      <c r="D108" s="11" t="inlineStr">
        <is>
          <t>Quando Mestre dos Ganchos Kor entra no campo de batalha, vire a criatura alvo que um oponente controla. Aquela criatura não é desvirada durante a próxima etapa de desvirar de seu controlador.</t>
        </is>
      </c>
      <c r="E108" s="11" t="inlineStr">
        <is>
          <t>2W</t>
        </is>
      </c>
      <c r="F108" s="11" t="inlineStr">
        <is>
          <t>Branco</t>
        </is>
      </c>
      <c r="G108" s="8" t="n">
        <v>0.06</v>
      </c>
      <c r="H108" s="11" t="inlineStr">
        <is>
          <t>Duel Decks: Speed vs. Cunning</t>
        </is>
      </c>
      <c r="I108" s="11" t="inlineStr">
        <is>
          <t>Não</t>
        </is>
      </c>
      <c r="J108" s="11" t="n">
        <v>2014</v>
      </c>
      <c r="K108" s="10" t="n">
        <v>46055</v>
      </c>
      <c r="L108" s="11" t="n">
        <v>1</v>
      </c>
      <c r="M108" s="8">
        <f>L108*G108</f>
        <v/>
      </c>
      <c r="P108" s="9" t="n"/>
    </row>
    <row r="109">
      <c r="A109" s="11" t="inlineStr">
        <is>
          <t>Swift Justice / Justiça Veloz</t>
        </is>
      </c>
      <c r="B109" s="11" t="inlineStr">
        <is>
          <t>Mágica Instantânea</t>
        </is>
      </c>
      <c r="C109" s="11" t="inlineStr">
        <is>
          <t>Comum</t>
        </is>
      </c>
      <c r="D109" s="11" t="inlineStr">
        <is>
          <t>Até o final do turno, a criatura alvo recebe +1/+0 e ganha iniciativa e vínculo com a vida.</t>
        </is>
      </c>
      <c r="E109" s="11" t="inlineStr">
        <is>
          <t>W</t>
        </is>
      </c>
      <c r="F109" s="11" t="inlineStr">
        <is>
          <t>Branco</t>
        </is>
      </c>
      <c r="G109" s="8" t="n">
        <v>0.06</v>
      </c>
      <c r="H109" s="11" t="inlineStr">
        <is>
          <t>Duel Decks: Speed vs. Cunning</t>
        </is>
      </c>
      <c r="I109" s="11" t="inlineStr">
        <is>
          <t>Não</t>
        </is>
      </c>
      <c r="J109" s="11" t="n">
        <v>2014</v>
      </c>
      <c r="L109" s="11" t="n">
        <v>1</v>
      </c>
      <c r="M109" s="8">
        <f>L109*G109</f>
        <v/>
      </c>
      <c r="P109" s="9" t="n"/>
    </row>
    <row r="110">
      <c r="A110" s="11" t="inlineStr">
        <is>
          <t>Stave Off / Rechaçar</t>
        </is>
      </c>
      <c r="B110" s="11" t="inlineStr">
        <is>
          <t>Mágica Instantânea</t>
        </is>
      </c>
      <c r="C110" s="11" t="inlineStr">
        <is>
          <t>Comum</t>
        </is>
      </c>
      <c r="D110" s="11" t="inlineStr">
        <is>
          <t>A criatura alvo ganha proteção contra a cor de sua escolha até o final do turno. (Ela não pode ser bloqueada, alvo, receber dano ou ser encantada por nada daquela cor.)</t>
        </is>
      </c>
      <c r="E110" s="11" t="inlineStr">
        <is>
          <t>W</t>
        </is>
      </c>
      <c r="F110" s="11" t="inlineStr">
        <is>
          <t>Branco</t>
        </is>
      </c>
      <c r="G110" s="8" t="n">
        <v>0.19</v>
      </c>
      <c r="H110" s="11" t="inlineStr">
        <is>
          <t>Duel Decks: Speed vs. Cunning</t>
        </is>
      </c>
      <c r="I110" s="11" t="inlineStr">
        <is>
          <t>Não</t>
        </is>
      </c>
      <c r="J110" s="11" t="n">
        <v>2014</v>
      </c>
      <c r="L110" s="11" t="n">
        <v>1</v>
      </c>
      <c r="M110" s="8">
        <f>L110*G110</f>
        <v/>
      </c>
      <c r="P110" s="9" t="n"/>
    </row>
    <row r="111">
      <c r="A111" s="11" t="inlineStr">
        <is>
          <t>Thousand Winds / Mil Ventos</t>
        </is>
      </c>
      <c r="B111" s="11" t="inlineStr">
        <is>
          <t>Criatura — Elemental</t>
        </is>
      </c>
      <c r="C111" s="11" t="inlineStr">
        <is>
          <t>Rara</t>
        </is>
      </c>
      <c r="D111" s="11"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1" s="11" t="inlineStr">
        <is>
          <t>4UU</t>
        </is>
      </c>
      <c r="F111" s="11" t="inlineStr">
        <is>
          <t>Azul</t>
        </is>
      </c>
      <c r="G111" s="8" t="n">
        <v>0.15</v>
      </c>
      <c r="H111" s="11" t="inlineStr">
        <is>
          <t>Duel Decks: Speed vs. Cunning</t>
        </is>
      </c>
      <c r="I111" s="11" t="inlineStr">
        <is>
          <t>Não</t>
        </is>
      </c>
      <c r="J111" s="11" t="n">
        <v>2014</v>
      </c>
      <c r="K111" s="10" t="n">
        <v>46178</v>
      </c>
      <c r="L111" s="11" t="n">
        <v>1</v>
      </c>
      <c r="M111" s="8">
        <f>L111*G111</f>
        <v/>
      </c>
      <c r="P111" s="9" t="n"/>
    </row>
    <row r="112">
      <c r="A112" s="11" t="inlineStr">
        <is>
          <t>Arcanis the Omnipotent / Arcanis, o Onipotente</t>
        </is>
      </c>
      <c r="B112" s="11" t="inlineStr">
        <is>
          <t>Criatura Lendária — Mago</t>
        </is>
      </c>
      <c r="C112" s="11" t="inlineStr">
        <is>
          <t>Mítica Rara</t>
        </is>
      </c>
      <c r="D112" s="11" t="inlineStr">
        <is>
          <t>{T}: Compre três cards. {2}{U}{U}: Devolva Arcanis, o Onipotente para a mão de seu dono.</t>
        </is>
      </c>
      <c r="E112" s="11" t="inlineStr">
        <is>
          <t>3UUU</t>
        </is>
      </c>
      <c r="F112" s="11" t="inlineStr">
        <is>
          <t>Azul</t>
        </is>
      </c>
      <c r="G112" s="8" t="n">
        <v>3.5</v>
      </c>
      <c r="H112" s="11" t="inlineStr">
        <is>
          <t>Duel Decks: Speed vs. Cunning</t>
        </is>
      </c>
      <c r="I112" s="11" t="inlineStr">
        <is>
          <t>Sim</t>
        </is>
      </c>
      <c r="J112" s="11" t="n">
        <v>2014</v>
      </c>
      <c r="K112" s="10" t="n">
        <v>46115</v>
      </c>
      <c r="L112" s="11" t="n">
        <v>1</v>
      </c>
      <c r="M112" s="8">
        <f>L112*G112</f>
        <v/>
      </c>
      <c r="P112" s="9" t="n"/>
    </row>
    <row r="113">
      <c r="A113" s="11" t="inlineStr">
        <is>
          <t>Aquamorph Entity / Entidade Aquamorfa</t>
        </is>
      </c>
      <c r="B113" s="11" t="inlineStr">
        <is>
          <t>Criatura — Transmorfo</t>
        </is>
      </c>
      <c r="C113" s="11" t="inlineStr">
        <is>
          <t>Comum</t>
        </is>
      </c>
      <c r="D113" s="11"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3" s="11" t="inlineStr">
        <is>
          <t>2UU</t>
        </is>
      </c>
      <c r="F113" s="11" t="inlineStr">
        <is>
          <t>Azul</t>
        </is>
      </c>
      <c r="G113" s="8" t="n">
        <v>0.06</v>
      </c>
      <c r="H113" s="11" t="inlineStr">
        <is>
          <t>Duel Decks: Speed vs. Cunning</t>
        </is>
      </c>
      <c r="I113" s="11" t="inlineStr">
        <is>
          <t>Não</t>
        </is>
      </c>
      <c r="J113" s="11" t="n">
        <v>2014</v>
      </c>
      <c r="K113" s="11" t="inlineStr">
        <is>
          <t>*/*</t>
        </is>
      </c>
      <c r="L113" s="11" t="n">
        <v>2</v>
      </c>
      <c r="M113" s="8">
        <f>L113*G113</f>
        <v/>
      </c>
      <c r="P113" s="9" t="n"/>
    </row>
    <row r="114">
      <c r="A114" s="11" t="inlineStr">
        <is>
          <t>Faerie Impostor / Impostor Fada</t>
        </is>
      </c>
      <c r="B114" s="11" t="inlineStr">
        <is>
          <t>Criatura — Fada Ladino</t>
        </is>
      </c>
      <c r="C114" s="11" t="inlineStr">
        <is>
          <t>Incomum</t>
        </is>
      </c>
      <c r="D114" s="11" t="inlineStr">
        <is>
          <t>Voar. Quando Impostor Fada entra no campo de batalha, sacrifique-o, a menos que você devolva outra criatura que controla para a mão de seu dono.</t>
        </is>
      </c>
      <c r="E114" s="11" t="inlineStr">
        <is>
          <t>U</t>
        </is>
      </c>
      <c r="F114" s="11" t="inlineStr">
        <is>
          <t>Azul</t>
        </is>
      </c>
      <c r="G114" s="8" t="n">
        <v>0.09</v>
      </c>
      <c r="H114" s="11" t="inlineStr">
        <is>
          <t>Duel Decks: Speed vs. Cunning</t>
        </is>
      </c>
      <c r="I114" s="11" t="inlineStr">
        <is>
          <t>Não</t>
        </is>
      </c>
      <c r="J114" s="11" t="n">
        <v>2014</v>
      </c>
      <c r="K114" s="10" t="n">
        <v>46024</v>
      </c>
      <c r="L114" s="11" t="n">
        <v>2</v>
      </c>
      <c r="M114" s="8">
        <f>L114*G114</f>
        <v/>
      </c>
      <c r="P114" s="9" t="n"/>
    </row>
    <row r="115">
      <c r="A115" s="11" t="inlineStr">
        <is>
          <t>Fathom Seer / Vidente das Profundezas</t>
        </is>
      </c>
      <c r="B115" s="11" t="inlineStr">
        <is>
          <t>Criatura — Ilusão</t>
        </is>
      </c>
      <c r="C115" s="11" t="inlineStr">
        <is>
          <t>Comum</t>
        </is>
      </c>
      <c r="D115" s="11"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5" s="11" t="inlineStr">
        <is>
          <t>1U</t>
        </is>
      </c>
      <c r="F115" s="11" t="inlineStr">
        <is>
          <t>Azul</t>
        </is>
      </c>
      <c r="G115" s="8" t="n">
        <v>0.06</v>
      </c>
      <c r="H115" s="11" t="inlineStr">
        <is>
          <t>Duel Decks: Speed vs. Cunning</t>
        </is>
      </c>
      <c r="I115" s="11" t="inlineStr">
        <is>
          <t>Não</t>
        </is>
      </c>
      <c r="J115" s="11" t="n">
        <v>2014</v>
      </c>
      <c r="K115" s="10" t="n">
        <v>46082</v>
      </c>
      <c r="L115" s="11" t="n">
        <v>1</v>
      </c>
      <c r="M115" s="8">
        <f>L115*G115</f>
        <v/>
      </c>
      <c r="P115" s="9" t="n"/>
    </row>
    <row r="116">
      <c r="A116" s="11" t="inlineStr">
        <is>
          <t>Coral Trickster / Trapaceiro do Coral</t>
        </is>
      </c>
      <c r="B116" s="11" t="inlineStr">
        <is>
          <t>Criatura — Sereia Ladino</t>
        </is>
      </c>
      <c r="C116" s="11" t="inlineStr">
        <is>
          <t>Comum</t>
        </is>
      </c>
      <c r="D116" s="11"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6" s="11" t="inlineStr">
        <is>
          <t>1U</t>
        </is>
      </c>
      <c r="F116" s="11" t="inlineStr">
        <is>
          <t>Azul</t>
        </is>
      </c>
      <c r="G116" s="8" t="n">
        <v>0.06</v>
      </c>
      <c r="H116" s="11" t="inlineStr">
        <is>
          <t>Duel Decks: Speed vs. Cunning</t>
        </is>
      </c>
      <c r="I116" s="11" t="inlineStr">
        <is>
          <t>Não</t>
        </is>
      </c>
      <c r="J116" s="11" t="n">
        <v>2014</v>
      </c>
      <c r="K116" s="10" t="n">
        <v>46024</v>
      </c>
      <c r="L116" s="11" t="n">
        <v>1</v>
      </c>
      <c r="M116" s="8">
        <f>L116*G116</f>
        <v/>
      </c>
      <c r="P116" s="9" t="n"/>
    </row>
    <row r="117">
      <c r="A117" s="11" t="inlineStr">
        <is>
          <t>Traumatic Visions / Visões Traumáticas</t>
        </is>
      </c>
      <c r="B117" s="11" t="inlineStr">
        <is>
          <t>Mágica Instantânea</t>
        </is>
      </c>
      <c r="C117" s="11" t="inlineStr">
        <is>
          <t>Comum</t>
        </is>
      </c>
      <c r="D117" s="11" t="inlineStr">
        <is>
          <t>Anule a mágica alvo. Reciclar terreno básico {1}{U} ({1}{U}, Descarte este card: Procure em seu grimório por um card de terreno básico, revele-o e coloque-o em sua mão. Depois, embaralhe seu grimório.)</t>
        </is>
      </c>
      <c r="E117" s="11" t="inlineStr">
        <is>
          <t>3UU</t>
        </is>
      </c>
      <c r="F117" s="11" t="inlineStr">
        <is>
          <t>Azul</t>
        </is>
      </c>
      <c r="G117" s="8" t="n">
        <v>0.06</v>
      </c>
      <c r="H117" s="11" t="inlineStr">
        <is>
          <t>Duel Decks: Speed vs. Cunning</t>
        </is>
      </c>
      <c r="I117" s="11" t="inlineStr">
        <is>
          <t>Não</t>
        </is>
      </c>
      <c r="J117" s="11" t="n">
        <v>2014</v>
      </c>
      <c r="L117" s="11" t="n">
        <v>2</v>
      </c>
      <c r="M117" s="8">
        <f>L117*G117</f>
        <v/>
      </c>
      <c r="P117" s="9" t="n"/>
    </row>
    <row r="118">
      <c r="A118" s="11" t="inlineStr">
        <is>
          <t>Sphinx of Uthuun / Esfinge de Uthuun</t>
        </is>
      </c>
      <c r="B118" s="11" t="inlineStr">
        <is>
          <t>Criatura — Esfinge</t>
        </is>
      </c>
      <c r="C118" s="11" t="inlineStr">
        <is>
          <t>Rara</t>
        </is>
      </c>
      <c r="D118" s="11" t="inlineStr">
        <is>
          <t>Voar. Quando Esfinge de Uthuun entra no campo de batalha, revele os cinco cards do topo de seu grimório. Um oponente separa aqueles cards em dois montes. Coloque um monte em sua mão e o outro em seu cemitério.</t>
        </is>
      </c>
      <c r="E118" s="11" t="inlineStr">
        <is>
          <t>5UU</t>
        </is>
      </c>
      <c r="F118" s="11" t="inlineStr">
        <is>
          <t>Azul</t>
        </is>
      </c>
      <c r="G118" s="8" t="n">
        <v>0.24</v>
      </c>
      <c r="H118" s="11" t="inlineStr">
        <is>
          <t>Duel Decks: Speed vs. Cunning</t>
        </is>
      </c>
      <c r="I118" s="11" t="inlineStr">
        <is>
          <t>Não</t>
        </is>
      </c>
      <c r="J118" s="11" t="n">
        <v>2014</v>
      </c>
      <c r="K118" s="10" t="n">
        <v>46178</v>
      </c>
      <c r="L118" s="11" t="n">
        <v>1</v>
      </c>
      <c r="M118" s="8">
        <f>L118*G118</f>
        <v/>
      </c>
      <c r="P118" s="9" t="n"/>
    </row>
    <row r="119">
      <c r="A119" s="11" t="inlineStr">
        <is>
          <t>Echo Tracer / Rastreável por Eco</t>
        </is>
      </c>
      <c r="B119" s="11" t="inlineStr">
        <is>
          <t>Criatura — Humano Mago</t>
        </is>
      </c>
      <c r="C119" s="11" t="inlineStr">
        <is>
          <t>Comum</t>
        </is>
      </c>
      <c r="D119" s="11"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9" s="11" t="inlineStr">
        <is>
          <t>2U</t>
        </is>
      </c>
      <c r="F119" s="11" t="inlineStr">
        <is>
          <t>Azul</t>
        </is>
      </c>
      <c r="G119" s="8" t="n">
        <v>0.25</v>
      </c>
      <c r="H119" s="11" t="inlineStr">
        <is>
          <t>Duel Decks: Speed vs. Cunning</t>
        </is>
      </c>
      <c r="I119" s="11" t="inlineStr">
        <is>
          <t>Não</t>
        </is>
      </c>
      <c r="J119" s="11" t="n">
        <v>2014</v>
      </c>
      <c r="K119" s="10" t="n">
        <v>46055</v>
      </c>
      <c r="L119" s="11" t="n">
        <v>1</v>
      </c>
      <c r="M119" s="8">
        <f>L119*G119</f>
        <v/>
      </c>
      <c r="P119" s="9" t="n"/>
    </row>
    <row r="120">
      <c r="A120" s="11" t="inlineStr">
        <is>
          <t>Willbender / Dobrador de Vontades</t>
        </is>
      </c>
      <c r="B120" s="11" t="inlineStr">
        <is>
          <t>Criatura — Humano Mago</t>
        </is>
      </c>
      <c r="C120" s="11" t="inlineStr">
        <is>
          <t>Incomum</t>
        </is>
      </c>
      <c r="D120" s="11"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20" s="11" t="inlineStr">
        <is>
          <t>1U</t>
        </is>
      </c>
      <c r="F120" s="11" t="inlineStr">
        <is>
          <t>Azul</t>
        </is>
      </c>
      <c r="G120" s="8" t="n">
        <v>0.13</v>
      </c>
      <c r="H120" s="11" t="inlineStr">
        <is>
          <t>Duel Decks: Speed vs. Cunning</t>
        </is>
      </c>
      <c r="I120" s="11" t="inlineStr">
        <is>
          <t>Não</t>
        </is>
      </c>
      <c r="J120" s="11" t="n">
        <v>2014</v>
      </c>
      <c r="K120" s="10" t="n">
        <v>46054</v>
      </c>
      <c r="L120" s="11" t="n">
        <v>1</v>
      </c>
      <c r="M120" s="8">
        <f>L120*G120</f>
        <v/>
      </c>
      <c r="P120" s="9" t="n"/>
    </row>
    <row r="121">
      <c r="A121" s="11" t="inlineStr">
        <is>
          <t>Jeskai Elder / Ancião Jeskai</t>
        </is>
      </c>
      <c r="B121" s="11" t="inlineStr">
        <is>
          <t>Criatura — Humano Monge</t>
        </is>
      </c>
      <c r="C121" s="11" t="inlineStr">
        <is>
          <t>Incomum</t>
        </is>
      </c>
      <c r="D121" s="11" t="inlineStr">
        <is>
          <t>Destreza (Sempre que você conjurar uma mágica que não seja de criatura, esta criatura receberá +1/+1 até o final do turno.) Sempre que Ancião Jeskai causar dano de combate a um jogador, você poderá comprar um card. Se fizer isso, descarte um card.</t>
        </is>
      </c>
      <c r="E121" s="11" t="inlineStr">
        <is>
          <t>1U</t>
        </is>
      </c>
      <c r="F121" s="11" t="inlineStr">
        <is>
          <t>Azul</t>
        </is>
      </c>
      <c r="G121" s="8" t="n">
        <v>0.09</v>
      </c>
      <c r="H121" s="11" t="inlineStr">
        <is>
          <t>Duel Decks: Speed vs. Cunning</t>
        </is>
      </c>
      <c r="I121" s="11" t="inlineStr">
        <is>
          <t>Não</t>
        </is>
      </c>
      <c r="J121" s="11" t="n">
        <v>2014</v>
      </c>
      <c r="K121" s="10" t="n">
        <v>46054</v>
      </c>
      <c r="L121" s="11" t="n">
        <v>1</v>
      </c>
      <c r="M121" s="8">
        <f>L121*G121</f>
        <v/>
      </c>
      <c r="P121" s="9" t="n"/>
    </row>
    <row r="122">
      <c r="A122" s="11" t="inlineStr">
        <is>
          <t>Whiplash Trap / Armadilha do Efeito Chicote</t>
        </is>
      </c>
      <c r="B122" s="11" t="inlineStr">
        <is>
          <t>Mágica Instantânea — Armadilha</t>
        </is>
      </c>
      <c r="C122" s="11" t="inlineStr">
        <is>
          <t>Comum</t>
        </is>
      </c>
      <c r="D122" s="11" t="inlineStr">
        <is>
          <t>Se um oponente teve duas ou mais criaturas entrando no campo de batalha sob o controle dele ou dela este turno, você pode pagar {U} em vez de pagar o custo de mana de Armadilha do Efeito Chicote. Devolva duas criaturas alvo para as mãos de seus donos.</t>
        </is>
      </c>
      <c r="E122" s="11" t="inlineStr">
        <is>
          <t>3UU</t>
        </is>
      </c>
      <c r="F122" s="11" t="inlineStr">
        <is>
          <t>Azul</t>
        </is>
      </c>
      <c r="G122" s="8" t="n">
        <v>0.08</v>
      </c>
      <c r="H122" s="11" t="inlineStr">
        <is>
          <t>Duel Decks: Speed vs. Cunning</t>
        </is>
      </c>
      <c r="I122" s="11" t="inlineStr">
        <is>
          <t>Não</t>
        </is>
      </c>
      <c r="J122" s="11" t="n">
        <v>2014</v>
      </c>
      <c r="L122" s="11" t="n">
        <v>1</v>
      </c>
      <c r="M122" s="8">
        <f>L122*G122</f>
        <v/>
      </c>
      <c r="P122" s="9" t="n"/>
    </row>
    <row r="123">
      <c r="A123" s="11" t="inlineStr">
        <is>
          <t>Repeal / Revogar</t>
        </is>
      </c>
      <c r="B123" s="11" t="inlineStr">
        <is>
          <t>Mágica Instantânea</t>
        </is>
      </c>
      <c r="C123" s="11" t="inlineStr">
        <is>
          <t>Comum</t>
        </is>
      </c>
      <c r="D123" s="11" t="inlineStr">
        <is>
          <t>Devolva a permanente não de terreno alvo com custo de mana convertido X para a mão de seu dono. Compre um card.</t>
        </is>
      </c>
      <c r="E123" s="11" t="inlineStr">
        <is>
          <t>XU</t>
        </is>
      </c>
      <c r="F123" s="11" t="inlineStr">
        <is>
          <t>Azul</t>
        </is>
      </c>
      <c r="G123" s="8" t="n">
        <v>0.09</v>
      </c>
      <c r="H123" s="11" t="inlineStr">
        <is>
          <t>Duel Decks: Speed vs. Cunning</t>
        </is>
      </c>
      <c r="I123" s="11" t="inlineStr">
        <is>
          <t>Não</t>
        </is>
      </c>
      <c r="J123" s="11" t="n">
        <v>2014</v>
      </c>
      <c r="L123" s="11" t="n">
        <v>1</v>
      </c>
      <c r="M123" s="8">
        <f>L123*G123</f>
        <v/>
      </c>
      <c r="P123" s="9" t="n"/>
    </row>
    <row r="124">
      <c r="A124" s="11" t="inlineStr">
        <is>
          <t>Fleeting Distraction / Distração Passageira</t>
        </is>
      </c>
      <c r="B124" s="11" t="inlineStr">
        <is>
          <t>Mágica Instantânea</t>
        </is>
      </c>
      <c r="C124" s="11" t="inlineStr">
        <is>
          <t>Comum</t>
        </is>
      </c>
      <c r="D124" s="11" t="inlineStr">
        <is>
          <t>A criatura alvo recebe -1/-0 até o final do turno. Compre um card.</t>
        </is>
      </c>
      <c r="E124" s="11" t="inlineStr">
        <is>
          <t>U</t>
        </is>
      </c>
      <c r="F124" s="11" t="inlineStr">
        <is>
          <t>Azul</t>
        </is>
      </c>
      <c r="G124" s="8" t="n">
        <v>0.06</v>
      </c>
      <c r="H124" s="11" t="inlineStr">
        <is>
          <t>Duel Decks: Speed vs. Cunning</t>
        </is>
      </c>
      <c r="I124" s="11" t="inlineStr">
        <is>
          <t>Não</t>
        </is>
      </c>
      <c r="J124" s="11" t="n">
        <v>2014</v>
      </c>
      <c r="L124" s="11" t="n">
        <v>1</v>
      </c>
      <c r="M124" s="8">
        <f>L124*G124</f>
        <v/>
      </c>
      <c r="P124" s="9" t="n"/>
    </row>
    <row r="125">
      <c r="A125" s="11" t="inlineStr">
        <is>
          <t>Faerie Invaders / Invasores Fadas</t>
        </is>
      </c>
      <c r="B125" s="11" t="inlineStr">
        <is>
          <t>Criatura — Fada Ladino</t>
        </is>
      </c>
      <c r="C125" s="11" t="inlineStr">
        <is>
          <t>Comum</t>
        </is>
      </c>
      <c r="D125" s="11" t="inlineStr">
        <is>
          <t>Lampejo (Você poderá conjurar esta mágica a qualquer momento em que puder conjurar uma mágica instantânea.) Voar.</t>
        </is>
      </c>
      <c r="E125" s="11" t="inlineStr">
        <is>
          <t>4U</t>
        </is>
      </c>
      <c r="F125" s="11" t="inlineStr">
        <is>
          <t>Azul</t>
        </is>
      </c>
      <c r="G125" s="8" t="n">
        <v>0.06</v>
      </c>
      <c r="H125" s="11" t="inlineStr">
        <is>
          <t>Duel Decks: Speed vs. Cunning</t>
        </is>
      </c>
      <c r="I125" s="11" t="inlineStr">
        <is>
          <t>Não</t>
        </is>
      </c>
      <c r="J125" s="11" t="n">
        <v>2014</v>
      </c>
      <c r="K125" s="10" t="n">
        <v>46084</v>
      </c>
      <c r="L125" s="11" t="n">
        <v>1</v>
      </c>
      <c r="M125" s="8">
        <f>L125*G125</f>
        <v/>
      </c>
      <c r="P125" s="9" t="n"/>
    </row>
    <row r="126">
      <c r="A126" s="11" t="inlineStr">
        <is>
          <t>Mana Leak / Fuga de Mana</t>
        </is>
      </c>
      <c r="B126" s="11" t="inlineStr">
        <is>
          <t>Mágica Instantânea</t>
        </is>
      </c>
      <c r="C126" s="11" t="inlineStr">
        <is>
          <t>Comum</t>
        </is>
      </c>
      <c r="D126" s="11" t="inlineStr">
        <is>
          <t>Anule a mágica alvo, a menos que seu controlador pague {3}.</t>
        </is>
      </c>
      <c r="E126" s="11" t="inlineStr">
        <is>
          <t>1U</t>
        </is>
      </c>
      <c r="F126" s="11" t="inlineStr">
        <is>
          <t>Azul</t>
        </is>
      </c>
      <c r="G126" s="8" t="n">
        <v>1.05</v>
      </c>
      <c r="H126" s="11" t="inlineStr">
        <is>
          <t>Duel Decks: Speed vs. Cunning</t>
        </is>
      </c>
      <c r="I126" s="11" t="inlineStr">
        <is>
          <t>Não</t>
        </is>
      </c>
      <c r="J126" s="11" t="n">
        <v>2014</v>
      </c>
      <c r="L126" s="11" t="n">
        <v>1</v>
      </c>
      <c r="M126" s="8">
        <f>L126*G126</f>
        <v/>
      </c>
      <c r="P126" s="9" t="n"/>
    </row>
    <row r="127">
      <c r="A127" s="11" t="inlineStr">
        <is>
          <t>Mana Leak / Fuga de Mana</t>
        </is>
      </c>
      <c r="B127" s="11" t="inlineStr">
        <is>
          <t>Instant / Mágica Instantânea</t>
        </is>
      </c>
      <c r="C127" s="11" t="inlineStr">
        <is>
          <t>Common / Comum</t>
        </is>
      </c>
      <c r="D127" s="11" t="inlineStr">
        <is>
          <t>Counter target spell unless its controller pays {3}. / Anule a mágica alvo, a menos que seu controlador pague {3}.</t>
        </is>
      </c>
      <c r="E127" s="11" t="inlineStr">
        <is>
          <t>{1}{U}</t>
        </is>
      </c>
      <c r="F127" s="11" t="inlineStr">
        <is>
          <t>Azul</t>
        </is>
      </c>
      <c r="G127" s="8" t="n">
        <v>0.5</v>
      </c>
      <c r="H127" s="11" t="inlineStr">
        <is>
          <t>Magic 2012 (M12)</t>
        </is>
      </c>
      <c r="I127" s="11" t="inlineStr">
        <is>
          <t>Não</t>
        </is>
      </c>
      <c r="J127" s="11" t="n">
        <v>2011</v>
      </c>
      <c r="L127" s="11" t="n">
        <v>4</v>
      </c>
      <c r="M127" s="8" t="n"/>
      <c r="P127" s="9" t="n"/>
    </row>
    <row r="128">
      <c r="A128" s="11" t="inlineStr">
        <is>
          <t>Impulse / Impulso</t>
        </is>
      </c>
      <c r="B128" s="11" t="inlineStr">
        <is>
          <t>Mágica Instantânea</t>
        </is>
      </c>
      <c r="C128" s="11" t="inlineStr">
        <is>
          <t>Comum</t>
        </is>
      </c>
      <c r="D128" s="11" t="inlineStr">
        <is>
          <t>Olhe os quatro cards do topo de seu grimório. Coloque um deles em sua mão e o restante no fundo de seu grimório em qualquer ordem.</t>
        </is>
      </c>
      <c r="E128" s="11" t="inlineStr">
        <is>
          <t>1U</t>
        </is>
      </c>
      <c r="F128" s="11" t="inlineStr">
        <is>
          <t>Azul</t>
        </is>
      </c>
      <c r="G128" s="8" t="n">
        <v>1</v>
      </c>
      <c r="H128" s="11" t="inlineStr">
        <is>
          <t>Duel Decks: Speed vs. Cunning</t>
        </is>
      </c>
      <c r="I128" s="11" t="inlineStr">
        <is>
          <t>Não</t>
        </is>
      </c>
      <c r="J128" s="11" t="n">
        <v>2014</v>
      </c>
      <c r="L128" s="11" t="n">
        <v>1</v>
      </c>
      <c r="M128" s="8">
        <f>L128*G128</f>
        <v/>
      </c>
      <c r="P128" s="9" t="n"/>
    </row>
    <row r="129">
      <c r="A129" s="11" t="inlineStr">
        <is>
          <t>Call the Mountain Chocobo</t>
        </is>
      </c>
      <c r="B129" s="11" t="inlineStr">
        <is>
          <t>Sorcery</t>
        </is>
      </c>
      <c r="C129" s="11" t="inlineStr">
        <is>
          <t>Comum</t>
        </is>
      </c>
      <c r="D129" s="11"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11" t="inlineStr">
        <is>
          <t>3R</t>
        </is>
      </c>
      <c r="F129" s="11" t="inlineStr">
        <is>
          <t>Vermelha</t>
        </is>
      </c>
      <c r="G129" s="8" t="n">
        <v>0.05</v>
      </c>
      <c r="H129" s="11" t="inlineStr">
        <is>
          <t>Final Fantasy (FFVII)</t>
        </is>
      </c>
      <c r="I129" s="11" t="inlineStr">
        <is>
          <t>Sim</t>
        </is>
      </c>
      <c r="J129" s="11" t="n">
        <v>2025</v>
      </c>
      <c r="L129" s="11" t="n">
        <v>1</v>
      </c>
      <c r="M129" s="8">
        <f>L129*G129</f>
        <v/>
      </c>
      <c r="P129" s="9" t="n"/>
    </row>
    <row r="130">
      <c r="A130" s="11" t="inlineStr">
        <is>
          <t>Summon: G.F. Ifrit</t>
        </is>
      </c>
      <c r="B130" s="11" t="inlineStr">
        <is>
          <t>Enchantment Creature — Saga Demon</t>
        </is>
      </c>
      <c r="C130" s="11" t="inlineStr">
        <is>
          <t>Comum</t>
        </is>
      </c>
      <c r="D130" s="11" t="inlineStr">
        <is>
          <t>(As this Saga enters and after your draw step, add a lore counter. Sacrifice after IV.) I, II — You may discard a card. If you do, draw a card. III, IV — Add R.</t>
        </is>
      </c>
      <c r="E130" s="11" t="inlineStr">
        <is>
          <t>2R</t>
        </is>
      </c>
      <c r="F130" s="11" t="inlineStr">
        <is>
          <t>Vermelha</t>
        </is>
      </c>
      <c r="G130" s="8" t="n">
        <v>0.24</v>
      </c>
      <c r="H130" s="11" t="inlineStr">
        <is>
          <t>Final Fantasy (FFVIII)</t>
        </is>
      </c>
      <c r="I130" s="11" t="inlineStr">
        <is>
          <t>Sim</t>
        </is>
      </c>
      <c r="J130" s="11" t="n">
        <v>2025</v>
      </c>
      <c r="K130" s="10" t="n">
        <v>46056</v>
      </c>
      <c r="L130" s="11" t="n">
        <v>1</v>
      </c>
      <c r="M130" s="8">
        <f>L130*G130</f>
        <v/>
      </c>
      <c r="P130" s="9" t="n"/>
    </row>
    <row r="131">
      <c r="A131" s="11" t="inlineStr">
        <is>
          <t>Summon: G.F. Ifrit</t>
        </is>
      </c>
      <c r="B131" s="11" t="inlineStr">
        <is>
          <t>Enchantment Creature — Saga Demon</t>
        </is>
      </c>
      <c r="C131" s="11" t="inlineStr">
        <is>
          <t>Comum</t>
        </is>
      </c>
      <c r="D131" s="11" t="inlineStr">
        <is>
          <t>(As this Saga enters and after your draw step, add a lore counter. Sacrifice after IV.) I, II — You may discard a card. If you do, draw a card. III, IV — Add R.</t>
        </is>
      </c>
      <c r="E131" s="11" t="inlineStr">
        <is>
          <t>2R</t>
        </is>
      </c>
      <c r="F131" s="11" t="inlineStr">
        <is>
          <t>Vermelha</t>
        </is>
      </c>
      <c r="G131" s="8" t="n">
        <v>0.15</v>
      </c>
      <c r="H131" s="11" t="inlineStr">
        <is>
          <t>Final Fantasy (FFVIII)</t>
        </is>
      </c>
      <c r="I131" s="11" t="inlineStr">
        <is>
          <t>Não</t>
        </is>
      </c>
      <c r="J131" s="11" t="n">
        <v>2025</v>
      </c>
      <c r="K131" s="10" t="n">
        <v>46056</v>
      </c>
      <c r="L131" s="11" t="n">
        <v>7</v>
      </c>
      <c r="M131" s="8">
        <f>L131*G131</f>
        <v/>
      </c>
      <c r="P131" s="9" t="n"/>
    </row>
    <row r="132">
      <c r="A132" s="11" t="inlineStr">
        <is>
          <t>Sandworm</t>
        </is>
      </c>
      <c r="B132" s="11" t="inlineStr">
        <is>
          <t>Creature — Worm</t>
        </is>
      </c>
      <c r="C132" s="11" t="inlineStr">
        <is>
          <t>Incomum</t>
        </is>
      </c>
      <c r="D132" s="11" t="inlineStr">
        <is>
          <t>Haste When this creature enters, destroy target land. Its controller may search their library for a basic land card, put it onto the battlefield tapped, then shuffle.</t>
        </is>
      </c>
      <c r="E132" s="11" t="inlineStr">
        <is>
          <t>4R</t>
        </is>
      </c>
      <c r="F132" s="11" t="inlineStr">
        <is>
          <t>Vermelha</t>
        </is>
      </c>
      <c r="G132" s="8" t="n">
        <v>0.2</v>
      </c>
      <c r="H132" s="11" t="inlineStr">
        <is>
          <t>Final Fantasy (FFV)</t>
        </is>
      </c>
      <c r="I132" s="11" t="inlineStr">
        <is>
          <t>Não</t>
        </is>
      </c>
      <c r="J132" s="11" t="n">
        <v>2025</v>
      </c>
      <c r="K132" s="10" t="n">
        <v>46117</v>
      </c>
      <c r="L132" s="11" t="n">
        <v>1</v>
      </c>
      <c r="M132" s="8">
        <f>L132*G132</f>
        <v/>
      </c>
      <c r="P132" s="9" t="n"/>
    </row>
    <row r="133">
      <c r="A133" s="11" t="inlineStr">
        <is>
          <t>Call the Mountain Chocobo</t>
        </is>
      </c>
      <c r="B133" s="11" t="inlineStr">
        <is>
          <t>Sorcery</t>
        </is>
      </c>
      <c r="C133" s="11" t="inlineStr">
        <is>
          <t>Comum</t>
        </is>
      </c>
      <c r="D133" s="11"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3" s="11" t="inlineStr">
        <is>
          <t>3R</t>
        </is>
      </c>
      <c r="F133" s="11" t="inlineStr">
        <is>
          <t>Vermelha</t>
        </is>
      </c>
      <c r="G133" s="8" t="n">
        <v>0.05</v>
      </c>
      <c r="H133" s="11" t="inlineStr">
        <is>
          <t>Final Fantasy (FFVII)</t>
        </is>
      </c>
      <c r="I133" s="11" t="inlineStr">
        <is>
          <t>Não</t>
        </is>
      </c>
      <c r="J133" s="11" t="n">
        <v>2025</v>
      </c>
      <c r="L133" s="11" t="n">
        <v>3</v>
      </c>
      <c r="M133" s="8">
        <f>L133*G133</f>
        <v/>
      </c>
      <c r="P133" s="9" t="n"/>
    </row>
    <row r="134">
      <c r="A134" s="11" t="inlineStr">
        <is>
          <t>Sorceress's Schemes / Planos da Feiticeira</t>
        </is>
      </c>
      <c r="B134" s="11" t="inlineStr">
        <is>
          <t>Feitiço</t>
        </is>
      </c>
      <c r="C134" s="11" t="inlineStr">
        <is>
          <t>Incomum</t>
        </is>
      </c>
      <c r="D134" s="11"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4" s="11" t="inlineStr">
        <is>
          <t>3R</t>
        </is>
      </c>
      <c r="F134" s="11" t="inlineStr">
        <is>
          <t>Vermelho</t>
        </is>
      </c>
      <c r="G134" s="8" t="n">
        <v>0.24</v>
      </c>
      <c r="H134" s="11" t="inlineStr">
        <is>
          <t>Final Fantasy</t>
        </is>
      </c>
      <c r="I134" s="11" t="inlineStr">
        <is>
          <t>Não</t>
        </is>
      </c>
      <c r="J134" s="11" t="n">
        <v>2025</v>
      </c>
      <c r="L134" s="11" t="n">
        <v>1</v>
      </c>
      <c r="M134" s="8">
        <f>L134*G134</f>
        <v/>
      </c>
      <c r="P134" s="9" t="n"/>
    </row>
    <row r="135">
      <c r="A135" s="11" t="inlineStr">
        <is>
          <t>Self-Destruct / Autodestruição</t>
        </is>
      </c>
      <c r="B135" s="11" t="inlineStr">
        <is>
          <t>Mágica Instantânea</t>
        </is>
      </c>
      <c r="C135" s="11" t="inlineStr">
        <is>
          <t>Incomum</t>
        </is>
      </c>
      <c r="D135" s="11" t="inlineStr">
        <is>
          <t>A criatura alvo que você controla causa X de dano a qualquer outro alvo e X de dano a si mesma, onde X é o poder dela.</t>
        </is>
      </c>
      <c r="E135" s="11" t="inlineStr">
        <is>
          <t>1R</t>
        </is>
      </c>
      <c r="F135" s="11" t="inlineStr">
        <is>
          <t>Vermelho</t>
        </is>
      </c>
      <c r="G135" s="8" t="n">
        <v>0.5</v>
      </c>
      <c r="H135" s="11" t="inlineStr">
        <is>
          <t>Final Fantasy</t>
        </is>
      </c>
      <c r="I135" s="11" t="inlineStr">
        <is>
          <t>Não</t>
        </is>
      </c>
      <c r="J135" s="11" t="n">
        <v>2025</v>
      </c>
      <c r="L135" s="11" t="n">
        <v>2</v>
      </c>
      <c r="M135" s="8">
        <f>L135*G135</f>
        <v/>
      </c>
      <c r="P135" s="9" t="n"/>
    </row>
    <row r="136">
      <c r="A136" s="11" t="inlineStr">
        <is>
          <t>Haste Magic / Magia de Ímpeto</t>
        </is>
      </c>
      <c r="B136" s="11" t="inlineStr">
        <is>
          <t>Mágica Instantânea</t>
        </is>
      </c>
      <c r="C136" s="11" t="inlineStr">
        <is>
          <t>Comum</t>
        </is>
      </c>
      <c r="D136" s="11" t="inlineStr">
        <is>
          <t>A criatura alvo recebe +3/+1 e ganha ímpeto até o final do turno. Exile o card do topo de seu grimório. Você pode jogá-lo até a sua próxima etapa final.</t>
        </is>
      </c>
      <c r="E136" s="11" t="inlineStr">
        <is>
          <t>1R</t>
        </is>
      </c>
      <c r="F136" s="11" t="inlineStr">
        <is>
          <t>Vermelho</t>
        </is>
      </c>
      <c r="G136" s="8" t="n">
        <v>0.14</v>
      </c>
      <c r="H136" s="11" t="inlineStr">
        <is>
          <t>Final Fantasy</t>
        </is>
      </c>
      <c r="I136" s="11" t="inlineStr">
        <is>
          <t>Não</t>
        </is>
      </c>
      <c r="J136" s="11" t="n">
        <v>2025</v>
      </c>
      <c r="L136" s="11" t="n">
        <v>6</v>
      </c>
      <c r="M136" s="8">
        <f>L136*G136</f>
        <v/>
      </c>
      <c r="P136" s="9" t="n"/>
    </row>
    <row r="137">
      <c r="A137" s="11" t="inlineStr">
        <is>
          <t>Red Mage's Rapier / Rapieira do Mago Vermelho</t>
        </is>
      </c>
      <c r="B137" s="11" t="inlineStr">
        <is>
          <t>Artefato — Equipamento</t>
        </is>
      </c>
      <c r="C137" s="11" t="inlineStr">
        <is>
          <t>Comum</t>
        </is>
      </c>
      <c r="D137" s="11"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7" s="11" t="inlineStr">
        <is>
          <t>1R</t>
        </is>
      </c>
      <c r="F137" s="11" t="inlineStr">
        <is>
          <t>Vermelho</t>
        </is>
      </c>
      <c r="G137" s="8" t="n">
        <v>0.12</v>
      </c>
      <c r="H137" s="11" t="inlineStr">
        <is>
          <t>Final Fantasy</t>
        </is>
      </c>
      <c r="I137" s="11" t="inlineStr">
        <is>
          <t>Não</t>
        </is>
      </c>
      <c r="J137" s="11" t="n">
        <v>2025</v>
      </c>
      <c r="L137" s="11" t="n">
        <v>5</v>
      </c>
      <c r="M137" s="8">
        <f>L137*G137</f>
        <v/>
      </c>
      <c r="P137" s="9" t="n"/>
    </row>
    <row r="138">
      <c r="A138" s="11" t="inlineStr">
        <is>
          <t>Red Mage's Rapier / Rapieira do Mago Vermelho</t>
        </is>
      </c>
      <c r="B138" s="11" t="inlineStr">
        <is>
          <t>Artefato — Equipamento</t>
        </is>
      </c>
      <c r="C138" s="11" t="inlineStr">
        <is>
          <t>Comum</t>
        </is>
      </c>
      <c r="D138" s="11"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8" s="11" t="inlineStr">
        <is>
          <t>1R</t>
        </is>
      </c>
      <c r="F138" s="11" t="inlineStr">
        <is>
          <t>Vermelho</t>
        </is>
      </c>
      <c r="G138" s="8" t="n">
        <v>0.4</v>
      </c>
      <c r="H138" s="11" t="inlineStr">
        <is>
          <t>Final Fantasy</t>
        </is>
      </c>
      <c r="I138" s="11" t="inlineStr">
        <is>
          <t>Sim</t>
        </is>
      </c>
      <c r="J138" s="11" t="n">
        <v>2025</v>
      </c>
      <c r="L138" s="11" t="n">
        <v>2</v>
      </c>
      <c r="M138" s="8">
        <f>L138*G138</f>
        <v/>
      </c>
      <c r="P138" s="9" t="n"/>
    </row>
    <row r="139">
      <c r="A139" s="11" t="inlineStr">
        <is>
          <t>Hill Gigas / Gigas das Colinas</t>
        </is>
      </c>
      <c r="B139" s="11" t="inlineStr">
        <is>
          <t>Criatura — Gigante</t>
        </is>
      </c>
      <c r="C139" s="11" t="inlineStr">
        <is>
          <t>Comum</t>
        </is>
      </c>
      <c r="D139" s="11" t="inlineStr">
        <is>
          <t>Atropelar, ímpeto. Reciclar montanha {2} ({2}, Descarte este card: Procure em seu grimório por um card de Montanha, revele-o e coloque-o em sua mão. Depois, embaralhe seu grimório.)</t>
        </is>
      </c>
      <c r="E139" s="11" t="inlineStr">
        <is>
          <t>4RR</t>
        </is>
      </c>
      <c r="F139" s="11" t="inlineStr">
        <is>
          <t>Vermelho</t>
        </is>
      </c>
      <c r="G139" s="8" t="n">
        <v>0.05</v>
      </c>
      <c r="H139" s="11" t="inlineStr">
        <is>
          <t>Final Fantasy</t>
        </is>
      </c>
      <c r="I139" s="11" t="inlineStr">
        <is>
          <t>Não</t>
        </is>
      </c>
      <c r="J139" s="11" t="n">
        <v>2025</v>
      </c>
      <c r="K139" s="10" t="n">
        <v>46117</v>
      </c>
      <c r="L139" s="11" t="n">
        <v>4</v>
      </c>
      <c r="M139" s="8">
        <f>L139*G139</f>
        <v/>
      </c>
      <c r="P139" s="9" t="n"/>
    </row>
    <row r="140">
      <c r="A140" s="11" t="inlineStr">
        <is>
          <t>Hill Gigas / Gigas das Colinas</t>
        </is>
      </c>
      <c r="B140" s="11" t="inlineStr">
        <is>
          <t>Criatura — Gigante</t>
        </is>
      </c>
      <c r="C140" s="11" t="inlineStr">
        <is>
          <t>Comum</t>
        </is>
      </c>
      <c r="D140" s="11" t="inlineStr">
        <is>
          <t>Atropelar, ímpeto. Reciclar montanha {2} ({2}, Descarte este card: Procure em seu grimório por um card de Montanha, revele-o e coloque-o em sua mão. Depois, embaralhe seu grimório.)</t>
        </is>
      </c>
      <c r="E140" s="11" t="inlineStr">
        <is>
          <t>4RR</t>
        </is>
      </c>
      <c r="F140" s="11" t="inlineStr">
        <is>
          <t>Vermelho</t>
        </is>
      </c>
      <c r="G140" s="8" t="n">
        <v>0.35</v>
      </c>
      <c r="H140" s="11" t="inlineStr">
        <is>
          <t>Final Fantasy</t>
        </is>
      </c>
      <c r="I140" s="11" t="inlineStr">
        <is>
          <t>Sim</t>
        </is>
      </c>
      <c r="J140" s="11" t="n">
        <v>2025</v>
      </c>
      <c r="K140" s="10" t="n">
        <v>46117</v>
      </c>
      <c r="L140" s="11" t="n">
        <v>1</v>
      </c>
      <c r="M140" s="8">
        <f>L140*G140</f>
        <v/>
      </c>
      <c r="P140" s="9" t="n"/>
    </row>
    <row r="141">
      <c r="A141" s="11" t="inlineStr">
        <is>
          <t>Warrior's Sword / Espada do Guerreiro</t>
        </is>
      </c>
      <c r="B141" s="11" t="inlineStr">
        <is>
          <t>Artefato — Equipamento</t>
        </is>
      </c>
      <c r="C141" s="11" t="inlineStr">
        <is>
          <t>Comum</t>
        </is>
      </c>
      <c r="D141" s="11"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41" s="11" t="inlineStr">
        <is>
          <t>3R</t>
        </is>
      </c>
      <c r="F141" s="11" t="inlineStr">
        <is>
          <t>Vermelho</t>
        </is>
      </c>
      <c r="G141" s="8" t="n">
        <v>0.1</v>
      </c>
      <c r="H141" s="11" t="inlineStr">
        <is>
          <t>Final Fantasy</t>
        </is>
      </c>
      <c r="I141" s="11" t="inlineStr">
        <is>
          <t>Não</t>
        </is>
      </c>
      <c r="J141" s="11" t="n">
        <v>2025</v>
      </c>
      <c r="L141" s="11" t="n">
        <v>2</v>
      </c>
      <c r="M141" s="8">
        <f>L141*G141</f>
        <v/>
      </c>
      <c r="P141" s="9" t="n"/>
    </row>
    <row r="142">
      <c r="A142" s="11" t="inlineStr">
        <is>
          <t>Barret Wallace / Barret Wallace</t>
        </is>
      </c>
      <c r="B142" s="11" t="inlineStr">
        <is>
          <t>Criatura Lendária — Humano Rebelde</t>
        </is>
      </c>
      <c r="C142" s="11" t="inlineStr">
        <is>
          <t>Incomum</t>
        </is>
      </c>
      <c r="D142" s="11" t="inlineStr">
        <is>
          <t>Alcance. Sempre que Barret Wallace atacar, ele causa dano igual ao número de criaturas equipadas que você controla ao jogador defensor.</t>
        </is>
      </c>
      <c r="E142" s="11" t="inlineStr">
        <is>
          <t>3R</t>
        </is>
      </c>
      <c r="F142" s="11" t="inlineStr">
        <is>
          <t>Vermelho</t>
        </is>
      </c>
      <c r="G142" s="8" t="n">
        <v>0.2</v>
      </c>
      <c r="H142" s="11" t="inlineStr">
        <is>
          <t>Final Fantasy</t>
        </is>
      </c>
      <c r="I142" s="11" t="inlineStr">
        <is>
          <t>Não</t>
        </is>
      </c>
      <c r="J142" s="11" t="n">
        <v>2025</v>
      </c>
      <c r="K142" s="10" t="n">
        <v>46116</v>
      </c>
      <c r="L142" s="11" t="n">
        <v>2</v>
      </c>
      <c r="M142" s="8">
        <f>L142*G142</f>
        <v/>
      </c>
      <c r="P142" s="9" t="n"/>
    </row>
    <row r="143">
      <c r="A143" s="11" t="inlineStr">
        <is>
          <t>Prompto Argentum / Prompto Argentum</t>
        </is>
      </c>
      <c r="B143" s="11" t="inlineStr">
        <is>
          <t>Criatura Lendária — Humano Batedor</t>
        </is>
      </c>
      <c r="C143" s="11" t="inlineStr">
        <is>
          <t>Incomum</t>
        </is>
      </c>
      <c r="D143" s="11" t="inlineStr">
        <is>
          <t>Ímpeto. Foto de Selfie — Sempre que você conjurar uma mágica que não seja de criatura, se pelo menos quatro manas tiverem sido gastos para conjurá-la, crie uma ficha de Tesouro.</t>
        </is>
      </c>
      <c r="E143" s="11" t="inlineStr">
        <is>
          <t>1R</t>
        </is>
      </c>
      <c r="F143" s="11" t="inlineStr">
        <is>
          <t>Vermelho</t>
        </is>
      </c>
      <c r="G143" s="8" t="n">
        <v>0.25</v>
      </c>
      <c r="H143" s="11" t="inlineStr">
        <is>
          <t>Final Fantasy</t>
        </is>
      </c>
      <c r="I143" s="11" t="inlineStr">
        <is>
          <t>Não</t>
        </is>
      </c>
      <c r="J143" s="11" t="n">
        <v>2025</v>
      </c>
      <c r="K143" s="10" t="n">
        <v>46055</v>
      </c>
      <c r="L143" s="11" t="n">
        <v>3</v>
      </c>
      <c r="M143" s="8">
        <f>L143*G143</f>
        <v/>
      </c>
      <c r="P143" s="9" t="n"/>
    </row>
    <row r="144">
      <c r="A144" s="11" t="inlineStr">
        <is>
          <t>Mysidian Elder / Ancião de Mysidia</t>
        </is>
      </c>
      <c r="B144" s="11" t="inlineStr">
        <is>
          <t>Criatura — Humano Mago</t>
        </is>
      </c>
      <c r="C144" s="11" t="inlineStr">
        <is>
          <t>Comum</t>
        </is>
      </c>
      <c r="D144" s="11" t="inlineStr">
        <is>
          <t>Quando esta criatura entrar, crie uma ficha de criatura Mago preta 0/1 com "Sempre que você conjurar uma mágica que não seja de criatura, esta ficha causará 1 de dano a cada oponente."</t>
        </is>
      </c>
      <c r="E144" s="11" t="inlineStr">
        <is>
          <t>2R</t>
        </is>
      </c>
      <c r="F144" s="11" t="inlineStr">
        <is>
          <t>Vermelho</t>
        </is>
      </c>
      <c r="G144" s="8" t="n">
        <v>0.19</v>
      </c>
      <c r="H144" s="11" t="inlineStr">
        <is>
          <t>Final Fantasy</t>
        </is>
      </c>
      <c r="I144" s="11" t="inlineStr">
        <is>
          <t>Não</t>
        </is>
      </c>
      <c r="J144" s="11" t="n">
        <v>2025</v>
      </c>
      <c r="K144" s="10" t="n">
        <v>46082</v>
      </c>
      <c r="L144" s="11" t="n">
        <v>10</v>
      </c>
      <c r="M144" s="8">
        <f>L144*G144</f>
        <v/>
      </c>
      <c r="P144" s="9" t="n"/>
    </row>
    <row r="145">
      <c r="A145" s="11" t="inlineStr">
        <is>
          <t>Mysidian Elder / Ancião de Mysidia</t>
        </is>
      </c>
      <c r="B145" s="11" t="inlineStr">
        <is>
          <t>Criatura — Humano Mago</t>
        </is>
      </c>
      <c r="C145" s="11" t="inlineStr">
        <is>
          <t>Comum</t>
        </is>
      </c>
      <c r="D145" s="11" t="inlineStr">
        <is>
          <t>Quando esta criatura entrar, crie uma ficha de criatura Mago preta 0/1 com "Sempre que você conjurar uma mágica que não seja de criatura, esta ficha causará 1 de dano a cada oponente."</t>
        </is>
      </c>
      <c r="E145" s="11" t="inlineStr">
        <is>
          <t>2R</t>
        </is>
      </c>
      <c r="F145" s="11" t="inlineStr">
        <is>
          <t>Vermelho</t>
        </is>
      </c>
      <c r="G145" s="8" t="n">
        <v>0.3</v>
      </c>
      <c r="H145" s="11" t="inlineStr">
        <is>
          <t>Final Fantasy</t>
        </is>
      </c>
      <c r="I145" s="11" t="inlineStr">
        <is>
          <t>Sim</t>
        </is>
      </c>
      <c r="J145" s="11" t="n">
        <v>2025</v>
      </c>
      <c r="K145" s="10" t="n">
        <v>46082</v>
      </c>
      <c r="L145" s="11" t="n">
        <v>1</v>
      </c>
      <c r="M145" s="8">
        <f>L145*G145</f>
        <v/>
      </c>
      <c r="P145" s="9" t="n"/>
    </row>
    <row r="146">
      <c r="A146" s="11" t="inlineStr">
        <is>
          <t>Item Shopkeep / Balconista de Itens</t>
        </is>
      </c>
      <c r="B146" s="11" t="inlineStr">
        <is>
          <t>Criatura — Humano Cidadão</t>
        </is>
      </c>
      <c r="C146" s="11" t="inlineStr">
        <is>
          <t>Comum</t>
        </is>
      </c>
      <c r="D146" s="11" t="inlineStr">
        <is>
          <t>Sempre que você atacar, a criatura equipada atacante alvo ganha ameaça até o final do turno. (Ela não pode ser bloqueada a não ser por duas ou mais criaturas.)</t>
        </is>
      </c>
      <c r="E146" s="11" t="inlineStr">
        <is>
          <t>1R</t>
        </is>
      </c>
      <c r="F146" s="11" t="inlineStr">
        <is>
          <t>Vermelho</t>
        </is>
      </c>
      <c r="G146" s="8" t="n">
        <v>0.07000000000000001</v>
      </c>
      <c r="H146" s="11" t="inlineStr">
        <is>
          <t>Final Fantasy</t>
        </is>
      </c>
      <c r="I146" s="11" t="inlineStr">
        <is>
          <t>Não</t>
        </is>
      </c>
      <c r="J146" s="11" t="n">
        <v>2025</v>
      </c>
      <c r="K146" s="10" t="n">
        <v>46055</v>
      </c>
      <c r="L146" s="11" t="n">
        <v>6</v>
      </c>
      <c r="M146" s="8">
        <f>L146*G146</f>
        <v/>
      </c>
      <c r="P146" s="9" t="n"/>
    </row>
    <row r="147">
      <c r="A147" s="11" t="inlineStr">
        <is>
          <t>Item Shopkeep / Balconista de Itens</t>
        </is>
      </c>
      <c r="B147" s="11" t="inlineStr">
        <is>
          <t>Criatura — Humano Cidadão</t>
        </is>
      </c>
      <c r="C147" s="11" t="inlineStr">
        <is>
          <t>Comum</t>
        </is>
      </c>
      <c r="D147" s="11" t="inlineStr">
        <is>
          <t>Sempre que você atacar, a criatura equipada atacante alvo ganha ameaça até o final do turno. (Ela não pode ser bloqueada a não ser por duas ou mais criaturas.)</t>
        </is>
      </c>
      <c r="E147" s="11" t="inlineStr">
        <is>
          <t>1R</t>
        </is>
      </c>
      <c r="F147" s="11" t="inlineStr">
        <is>
          <t>Vermelho</t>
        </is>
      </c>
      <c r="G147" s="8" t="n">
        <v>0.24</v>
      </c>
      <c r="H147" s="11" t="inlineStr">
        <is>
          <t>Final Fantasy</t>
        </is>
      </c>
      <c r="I147" s="11" t="inlineStr">
        <is>
          <t>Sim</t>
        </is>
      </c>
      <c r="J147" s="11" t="n">
        <v>2025</v>
      </c>
      <c r="K147" s="10" t="n">
        <v>46055</v>
      </c>
      <c r="L147" s="11" t="n">
        <v>1</v>
      </c>
      <c r="M147" s="8">
        <f>L147*G147</f>
        <v/>
      </c>
      <c r="P147" s="9" t="n"/>
    </row>
    <row r="148">
      <c r="A148" s="11" t="inlineStr">
        <is>
          <t>Sabotender</t>
        </is>
      </c>
      <c r="B148" s="11" t="inlineStr">
        <is>
          <t>Criatura — Planta</t>
        </is>
      </c>
      <c r="C148" s="11" t="inlineStr">
        <is>
          <t>Comum</t>
        </is>
      </c>
      <c r="D148" s="11" t="inlineStr">
        <is>
          <t>Alcance. Terrente — Sempre que um terreno entra sob o seu controle, esta criatura causa 1 de dano a cada oponente.</t>
        </is>
      </c>
      <c r="E148" s="11" t="inlineStr">
        <is>
          <t>1R</t>
        </is>
      </c>
      <c r="F148" s="11" t="inlineStr">
        <is>
          <t>Vermelho</t>
        </is>
      </c>
      <c r="G148" s="8" t="n">
        <v>0.17</v>
      </c>
      <c r="H148" s="11" t="inlineStr">
        <is>
          <t>Final Fantasy</t>
        </is>
      </c>
      <c r="I148" s="11" t="inlineStr">
        <is>
          <t>Não</t>
        </is>
      </c>
      <c r="J148" s="11" t="n">
        <v>2025</v>
      </c>
      <c r="K148" s="10" t="n">
        <v>46024</v>
      </c>
      <c r="L148" s="11" t="n">
        <v>10</v>
      </c>
      <c r="M148" s="8">
        <f>L148*G148</f>
        <v/>
      </c>
      <c r="P148" s="9" t="n"/>
    </row>
    <row r="149">
      <c r="A149" s="11" t="inlineStr">
        <is>
          <t>Sabotender</t>
        </is>
      </c>
      <c r="B149" s="11" t="inlineStr">
        <is>
          <t>Criatura — Planta</t>
        </is>
      </c>
      <c r="C149" s="11" t="inlineStr">
        <is>
          <t>Comum</t>
        </is>
      </c>
      <c r="D149" s="11" t="inlineStr">
        <is>
          <t>Alcance. Terrente — Sempre que um terreno entra sob o seu controle, esta criatura causa 1 de dano a cada oponente.</t>
        </is>
      </c>
      <c r="E149" s="11" t="inlineStr">
        <is>
          <t>1R</t>
        </is>
      </c>
      <c r="F149" s="11" t="inlineStr">
        <is>
          <t>Vermelho</t>
        </is>
      </c>
      <c r="G149" s="8" t="n">
        <v>0.24</v>
      </c>
      <c r="H149" s="11" t="inlineStr">
        <is>
          <t>Final Fantasy</t>
        </is>
      </c>
      <c r="I149" s="11" t="inlineStr">
        <is>
          <t>Sim</t>
        </is>
      </c>
      <c r="J149" s="11" t="n">
        <v>2025</v>
      </c>
      <c r="K149" s="10" t="n">
        <v>46024</v>
      </c>
      <c r="L149" s="11" t="n">
        <v>1</v>
      </c>
      <c r="M149" s="8">
        <f>L149*G149</f>
        <v/>
      </c>
      <c r="P149" s="9" t="n"/>
    </row>
    <row r="150">
      <c r="A150" s="11" t="inlineStr">
        <is>
          <t>Suplex / Suplex</t>
        </is>
      </c>
      <c r="B150" s="11" t="inlineStr">
        <is>
          <t>Feitiço</t>
        </is>
      </c>
      <c r="C150" s="11" t="inlineStr">
        <is>
          <t>Comum</t>
        </is>
      </c>
      <c r="D150" s="11" t="inlineStr">
        <is>
          <t>Escolha um — • Suplex causa 3 de dano à criatura alvo. Se aquela criatura fosse morrer este turno, em vez disso, exile-a. • Exile o artefato alvo.</t>
        </is>
      </c>
      <c r="E150" s="11" t="inlineStr">
        <is>
          <t>1R</t>
        </is>
      </c>
      <c r="F150" s="11" t="inlineStr">
        <is>
          <t>Vermelho</t>
        </is>
      </c>
      <c r="G150" s="8" t="n">
        <v>0.2</v>
      </c>
      <c r="H150" s="11" t="inlineStr">
        <is>
          <t>Final Fantasy</t>
        </is>
      </c>
      <c r="I150" s="11" t="inlineStr">
        <is>
          <t>Não</t>
        </is>
      </c>
      <c r="J150" s="11" t="n">
        <v>2025</v>
      </c>
      <c r="L150" s="11" t="n">
        <v>3</v>
      </c>
      <c r="M150" s="8">
        <f>L150*G150</f>
        <v/>
      </c>
      <c r="P150" s="9" t="n"/>
    </row>
    <row r="151">
      <c r="A151" s="11" t="inlineStr">
        <is>
          <t>Laughing Mad / Loucura Risonha</t>
        </is>
      </c>
      <c r="B151" s="11" t="inlineStr">
        <is>
          <t>Mágica Instantânea</t>
        </is>
      </c>
      <c r="C151" s="11" t="inlineStr">
        <is>
          <t>Comum</t>
        </is>
      </c>
      <c r="D151" s="11" t="inlineStr">
        <is>
          <t>Como custo adicional para conjurar esta mágica, descarte um card. Compre dois cards. Recapitular {3}{R} (Você pode conjurar este card de seu cemitério pagando seu custo de recapitular e quaisquer custos adicionais. Depois, exile-o.)</t>
        </is>
      </c>
      <c r="E151" s="11" t="inlineStr">
        <is>
          <t>2R</t>
        </is>
      </c>
      <c r="F151" s="11" t="inlineStr">
        <is>
          <t>Vermelho</t>
        </is>
      </c>
      <c r="G151" s="8" t="n">
        <v>0.1</v>
      </c>
      <c r="H151" s="11" t="inlineStr">
        <is>
          <t>Final Fantasy</t>
        </is>
      </c>
      <c r="I151" s="11" t="inlineStr">
        <is>
          <t>Não</t>
        </is>
      </c>
      <c r="J151" s="11" t="n">
        <v>2025</v>
      </c>
      <c r="L151" s="11" t="n">
        <v>7</v>
      </c>
      <c r="M151" s="8">
        <f>L151*G151</f>
        <v/>
      </c>
      <c r="P151" s="9" t="n"/>
    </row>
    <row r="152">
      <c r="A152" s="11" t="inlineStr">
        <is>
          <t>Blazing Bomb / Bomba Flamejante</t>
        </is>
      </c>
      <c r="B152" s="11" t="inlineStr">
        <is>
          <t>Criatura — Elemental</t>
        </is>
      </c>
      <c r="C152" s="11" t="inlineStr">
        <is>
          <t>Comum</t>
        </is>
      </c>
      <c r="D152" s="11"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2" s="11" t="inlineStr">
        <is>
          <t>R</t>
        </is>
      </c>
      <c r="F152" s="11" t="inlineStr">
        <is>
          <t>Vermelho</t>
        </is>
      </c>
      <c r="G152" s="8" t="n">
        <v>0.1</v>
      </c>
      <c r="H152" s="11" t="inlineStr">
        <is>
          <t>Final Fantasy</t>
        </is>
      </c>
      <c r="I152" s="11" t="inlineStr">
        <is>
          <t>Não</t>
        </is>
      </c>
      <c r="J152" s="11" t="n">
        <v>2025</v>
      </c>
      <c r="K152" s="10" t="n">
        <v>46023</v>
      </c>
      <c r="L152" s="11" t="n">
        <v>6</v>
      </c>
      <c r="M152" s="8">
        <f>L152*G152</f>
        <v/>
      </c>
      <c r="P152" s="9" t="n"/>
    </row>
    <row r="153">
      <c r="A153" s="11" t="inlineStr">
        <is>
          <t>Raubahn, Bull of Ala Mhigo / Raubahn, Touro de Ala Mhigo</t>
        </is>
      </c>
      <c r="B153" s="11" t="inlineStr">
        <is>
          <t>Criatura Lendária — Humano Guerreiro</t>
        </is>
      </c>
      <c r="C153" s="11" t="inlineStr">
        <is>
          <t>Rara</t>
        </is>
      </c>
      <c r="D153" s="11" t="inlineStr">
        <is>
          <t>Salvaguarda — Pague uma quantidade de vida igual ao poder de Raubahn. Sempre que Raubahn atacar, anexe até um Equipamento alvo que você controla à criatura atacante alvo.</t>
        </is>
      </c>
      <c r="E153" s="11" t="inlineStr">
        <is>
          <t>1R</t>
        </is>
      </c>
      <c r="F153" s="11" t="inlineStr">
        <is>
          <t>Vermelho</t>
        </is>
      </c>
      <c r="G153" s="8" t="n">
        <v>1.7</v>
      </c>
      <c r="H153" s="11" t="inlineStr">
        <is>
          <t>Final Fantasy</t>
        </is>
      </c>
      <c r="I153" s="11" t="inlineStr">
        <is>
          <t>Não</t>
        </is>
      </c>
      <c r="J153" s="11" t="n">
        <v>2025</v>
      </c>
      <c r="K153" s="10" t="n">
        <v>46055</v>
      </c>
      <c r="L153" s="11" t="n">
        <v>1</v>
      </c>
      <c r="M153" s="8">
        <f>L153*G153</f>
        <v/>
      </c>
      <c r="P153" s="9" t="n"/>
    </row>
    <row r="154">
      <c r="A154" s="11" t="inlineStr">
        <is>
          <t>Gilgamesh, Master-at-Arms / Gilgamesh, Mestre de Armas</t>
        </is>
      </c>
      <c r="B154" s="11" t="inlineStr">
        <is>
          <t>Criatura Lendária — Humano Samurai</t>
        </is>
      </c>
      <c r="C154" s="11" t="inlineStr">
        <is>
          <t>Rara</t>
        </is>
      </c>
      <c r="D154" s="11"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4" s="11" t="inlineStr">
        <is>
          <t>4RR</t>
        </is>
      </c>
      <c r="F154" s="11" t="inlineStr">
        <is>
          <t>Vermelho</t>
        </is>
      </c>
      <c r="G154" s="8" t="n">
        <v>1.8</v>
      </c>
      <c r="H154" s="11" t="inlineStr">
        <is>
          <t>Final Fantasy</t>
        </is>
      </c>
      <c r="I154" s="11" t="inlineStr">
        <is>
          <t>Não</t>
        </is>
      </c>
      <c r="J154" s="11" t="n">
        <v>2025</v>
      </c>
      <c r="K154" s="10" t="n">
        <v>46179</v>
      </c>
      <c r="L154" s="11" t="n">
        <v>1</v>
      </c>
      <c r="M154" s="8">
        <f>L154*G154</f>
        <v/>
      </c>
      <c r="P154" s="9" t="n"/>
    </row>
    <row r="155">
      <c r="A155" s="11" t="inlineStr">
        <is>
          <t>Triple Triad / Tríade Tripla</t>
        </is>
      </c>
      <c r="B155" s="11" t="inlineStr">
        <is>
          <t>Encantamento</t>
        </is>
      </c>
      <c r="C155" s="11" t="inlineStr">
        <is>
          <t>Rara</t>
        </is>
      </c>
      <c r="D155" s="11"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5" s="11" t="inlineStr">
        <is>
          <t>3RRR</t>
        </is>
      </c>
      <c r="F155" s="11" t="inlineStr">
        <is>
          <t>Vermelho</t>
        </is>
      </c>
      <c r="G155" s="8" t="n">
        <v>2.66</v>
      </c>
      <c r="H155" s="11" t="inlineStr">
        <is>
          <t>Final Fantasy</t>
        </is>
      </c>
      <c r="I155" s="11" t="inlineStr">
        <is>
          <t>Não</t>
        </is>
      </c>
      <c r="J155" s="11" t="n">
        <v>2025</v>
      </c>
      <c r="L155" s="11" t="n">
        <v>1</v>
      </c>
      <c r="M155" s="8">
        <f>L155*G155</f>
        <v/>
      </c>
      <c r="P155" s="9" t="n"/>
    </row>
    <row r="156">
      <c r="A156" s="11" t="inlineStr">
        <is>
          <t>Thrum of the Vestige / Rumor do Vestígio</t>
        </is>
      </c>
      <c r="B156" s="11" t="inlineStr">
        <is>
          <t>Mágica Instantânea</t>
        </is>
      </c>
      <c r="C156" s="11" t="inlineStr">
        <is>
          <t>Incomum</t>
        </is>
      </c>
      <c r="D156" s="11" t="inlineStr">
        <is>
          <t>Rumor do Vestígio causa 3 de dano a qualquer alvo.</t>
        </is>
      </c>
      <c r="E156" s="11" t="inlineStr">
        <is>
          <t>R</t>
        </is>
      </c>
      <c r="F156" s="11" t="inlineStr">
        <is>
          <t>Vermelho</t>
        </is>
      </c>
      <c r="G156" s="8" t="n">
        <v>8.5</v>
      </c>
      <c r="H156" s="11" t="inlineStr">
        <is>
          <t>Final Fantasy</t>
        </is>
      </c>
      <c r="I156" s="11" t="inlineStr">
        <is>
          <t>Não</t>
        </is>
      </c>
      <c r="J156" s="11" t="n">
        <v>2025</v>
      </c>
      <c r="L156" s="11" t="n">
        <v>1</v>
      </c>
      <c r="M156" s="8">
        <f>L156*G156</f>
        <v/>
      </c>
      <c r="P156" s="9" t="n"/>
    </row>
    <row r="157">
      <c r="A157" s="11" t="inlineStr">
        <is>
          <t>Sidequest: Play Blitzball / Missão Secundária: Jogar Blitzball</t>
        </is>
      </c>
      <c r="B157" s="11" t="inlineStr">
        <is>
          <t>Encantamento</t>
        </is>
      </c>
      <c r="C157" s="11" t="inlineStr">
        <is>
          <t>Incomum</t>
        </is>
      </c>
      <c r="D157" s="11"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7" s="11" t="inlineStr">
        <is>
          <t>2R</t>
        </is>
      </c>
      <c r="F157" s="11" t="inlineStr">
        <is>
          <t>Vermelho</t>
        </is>
      </c>
      <c r="G157" s="8" t="n">
        <v>0.1</v>
      </c>
      <c r="H157" s="11" t="inlineStr">
        <is>
          <t>Final Fantasy</t>
        </is>
      </c>
      <c r="I157" s="11" t="inlineStr">
        <is>
          <t>Não</t>
        </is>
      </c>
      <c r="J157" s="11" t="n">
        <v>2025</v>
      </c>
      <c r="L157" s="11" t="n">
        <v>1</v>
      </c>
      <c r="M157" s="8">
        <f>L157*G157</f>
        <v/>
      </c>
      <c r="P157" s="9" t="n"/>
    </row>
    <row r="158">
      <c r="A158" s="11" t="inlineStr">
        <is>
          <t>Samurai's Katana / Katana do Samurai</t>
        </is>
      </c>
      <c r="B158" s="11" t="inlineStr">
        <is>
          <t>Artefato — Equipamento</t>
        </is>
      </c>
      <c r="C158" s="11" t="inlineStr">
        <is>
          <t>Incomum</t>
        </is>
      </c>
      <c r="D158" s="11" t="inlineStr">
        <is>
          <t>Seleção de classe (Quando este Equipamento entrar, crie uma ficha de criatura Herói incolor 1/1 e depois anexe isto a ela.) A criatura equipada recebe +2/+2, tem atropelar e ímpeto, e é um Samurai além de seus outros tipos. Murasame — Equipar {5}</t>
        </is>
      </c>
      <c r="E158" s="11" t="inlineStr">
        <is>
          <t>2R</t>
        </is>
      </c>
      <c r="F158" s="11" t="inlineStr">
        <is>
          <t>Vermelho</t>
        </is>
      </c>
      <c r="G158" s="8" t="n">
        <v>0.2</v>
      </c>
      <c r="H158" s="11" t="inlineStr">
        <is>
          <t>Final Fantasy</t>
        </is>
      </c>
      <c r="I158" s="11" t="inlineStr">
        <is>
          <t>Não</t>
        </is>
      </c>
      <c r="J158" s="11" t="n">
        <v>2025</v>
      </c>
      <c r="L158" s="11" t="n">
        <v>1</v>
      </c>
      <c r="M158" s="8">
        <f>L158*G158</f>
        <v/>
      </c>
      <c r="P158" s="9" t="n"/>
    </row>
    <row r="159">
      <c r="A159" s="11" t="inlineStr">
        <is>
          <t>Thunder Magic / Magia de Trovão</t>
        </is>
      </c>
      <c r="B159" s="11" t="inlineStr">
        <is>
          <t>Mágica Instantânea</t>
        </is>
      </c>
      <c r="C159" s="11" t="inlineStr">
        <is>
          <t>Comum</t>
        </is>
      </c>
      <c r="D159" s="11" t="inlineStr">
        <is>
          <t>Em camadas (Escolha um custo adicional.) • Thunder — {0} — Magia de Trovão causa 2 de dano à criatura alvo. • Thundara — {3} — Magia de Trovão causa 4 de dano à criatura alvo. • Thundaga — {5}{R} — Magia de Trovão causa 8 de dano à criatura alvo.</t>
        </is>
      </c>
      <c r="E159" s="11" t="inlineStr">
        <is>
          <t>R</t>
        </is>
      </c>
      <c r="F159" s="11" t="inlineStr">
        <is>
          <t>Vermelho</t>
        </is>
      </c>
      <c r="G159" s="8" t="n">
        <v>0.15</v>
      </c>
      <c r="H159" s="11" t="inlineStr">
        <is>
          <t>Final Fantasy</t>
        </is>
      </c>
      <c r="I159" s="11" t="inlineStr">
        <is>
          <t>Não</t>
        </is>
      </c>
      <c r="J159" s="11" t="n">
        <v>2025</v>
      </c>
      <c r="L159" s="11" t="n">
        <v>3</v>
      </c>
      <c r="M159" s="8">
        <f>L159*G159</f>
        <v/>
      </c>
      <c r="P159" s="9" t="n"/>
    </row>
    <row r="160">
      <c r="A160" s="11" t="inlineStr">
        <is>
          <t>Thunder Magic / Magia de Trovão</t>
        </is>
      </c>
      <c r="B160" s="11" t="inlineStr">
        <is>
          <t>Mágica Instantânea</t>
        </is>
      </c>
      <c r="C160" s="11" t="inlineStr">
        <is>
          <t>Comum</t>
        </is>
      </c>
      <c r="D160" s="11" t="inlineStr">
        <is>
          <t>Em camadas (Escolha um custo adicional.) • Thunder — {0} — Magia de Trovão causa 2 de dano à criatura alvo. • Thundara — {3} — Magia de Trovão causa 4 de dano à criatura alvo. • Thundaga — {5}{R} — Magia de Trovão causa 8 de dano à criatura alvo.</t>
        </is>
      </c>
      <c r="E160" s="11" t="inlineStr">
        <is>
          <t>R</t>
        </is>
      </c>
      <c r="F160" s="11" t="inlineStr">
        <is>
          <t>Vermelho</t>
        </is>
      </c>
      <c r="G160" s="8" t="n">
        <v>0.45</v>
      </c>
      <c r="H160" s="11" t="inlineStr">
        <is>
          <t>Final Fantasy</t>
        </is>
      </c>
      <c r="I160" s="11" t="inlineStr">
        <is>
          <t>Sim</t>
        </is>
      </c>
      <c r="J160" s="11" t="n">
        <v>2025</v>
      </c>
      <c r="L160" s="11" t="n">
        <v>1</v>
      </c>
      <c r="M160" s="8">
        <f>L160*G160</f>
        <v/>
      </c>
      <c r="P160" s="9" t="n"/>
    </row>
    <row r="161">
      <c r="A161" s="11" t="inlineStr">
        <is>
          <t>Light of Judgment / Luz do Julgamento</t>
        </is>
      </c>
      <c r="B161" s="11" t="inlineStr">
        <is>
          <t>Mágica Instantânea</t>
        </is>
      </c>
      <c r="C161" s="11" t="inlineStr">
        <is>
          <t>Comum</t>
        </is>
      </c>
      <c r="D161" s="11" t="inlineStr">
        <is>
          <t>Luz do Julgamento causa 6 de dano à criatura alvo. Destrua até um Equipamento anexado àquela criatura.</t>
        </is>
      </c>
      <c r="E161" s="11" t="inlineStr">
        <is>
          <t>4R</t>
        </is>
      </c>
      <c r="F161" s="11" t="inlineStr">
        <is>
          <t>Vermelho</t>
        </is>
      </c>
      <c r="G161" s="8" t="n">
        <v>0.05</v>
      </c>
      <c r="H161" s="11" t="inlineStr">
        <is>
          <t>Final Fantasy</t>
        </is>
      </c>
      <c r="I161" s="11" t="inlineStr">
        <is>
          <t>Não</t>
        </is>
      </c>
      <c r="J161" s="11" t="n">
        <v>2025</v>
      </c>
      <c r="L161" s="11" t="n">
        <v>11</v>
      </c>
      <c r="M161" s="8">
        <f>L161*G161</f>
        <v/>
      </c>
      <c r="P161" s="9" t="n"/>
    </row>
    <row r="162">
      <c r="A162" s="11" t="inlineStr">
        <is>
          <t>Unexpected Request / Pedido Inesperado</t>
        </is>
      </c>
      <c r="B162" s="11" t="inlineStr">
        <is>
          <t>Feitiço</t>
        </is>
      </c>
      <c r="C162" s="11" t="inlineStr">
        <is>
          <t>Incomum</t>
        </is>
      </c>
      <c r="D162" s="11" t="inlineStr">
        <is>
          <t>Ganhe o controle da criatura alvo até o final do turno. Desvire aquela criatura. Ela ganha ímpeto até o final do turno. Você pode anexar um Equipamento que você controla àquela criatura. Se fizer isso, desanexe-o no início da próxima etapa final.</t>
        </is>
      </c>
      <c r="E162" s="11" t="inlineStr">
        <is>
          <t>2R</t>
        </is>
      </c>
      <c r="F162" s="11" t="inlineStr">
        <is>
          <t>Vermelho</t>
        </is>
      </c>
      <c r="G162" s="8" t="n">
        <v>0.15</v>
      </c>
      <c r="H162" s="11" t="inlineStr">
        <is>
          <t>Final Fantasy</t>
        </is>
      </c>
      <c r="I162" s="11" t="inlineStr">
        <is>
          <t>Não</t>
        </is>
      </c>
      <c r="J162" s="11" t="n">
        <v>2025</v>
      </c>
      <c r="L162" s="11" t="n">
        <v>2</v>
      </c>
      <c r="M162" s="8">
        <f>L162*G162</f>
        <v/>
      </c>
      <c r="P162" s="9" t="n"/>
    </row>
    <row r="163">
      <c r="A163" s="11" t="inlineStr">
        <is>
          <t>Unexpected Request / Pedido Inesperado</t>
        </is>
      </c>
      <c r="B163" s="11" t="inlineStr">
        <is>
          <t>Feitiço</t>
        </is>
      </c>
      <c r="C163" s="11" t="inlineStr">
        <is>
          <t>Incomum</t>
        </is>
      </c>
      <c r="D163" s="11" t="inlineStr">
        <is>
          <t>Ganhe o controle da criatura alvo até o final do turno. Desvire aquela criatura. Ela ganha ímpeto até o final do turno. Você pode anexar um Equipamento que você controla àquela criatura. Se fizer isso, desanexe-o no início da próxima etapa final.</t>
        </is>
      </c>
      <c r="E163" s="11" t="inlineStr">
        <is>
          <t>2R</t>
        </is>
      </c>
      <c r="F163" s="11" t="inlineStr">
        <is>
          <t>Vermelho</t>
        </is>
      </c>
      <c r="G163" s="8" t="n">
        <v>0.25</v>
      </c>
      <c r="H163" s="11" t="inlineStr">
        <is>
          <t>Final Fantasy</t>
        </is>
      </c>
      <c r="I163" s="11" t="inlineStr">
        <is>
          <t>Sim</t>
        </is>
      </c>
      <c r="J163" s="11" t="n">
        <v>2025</v>
      </c>
      <c r="L163" s="11" t="n">
        <v>1</v>
      </c>
      <c r="M163" s="8">
        <f>L163*G163</f>
        <v/>
      </c>
      <c r="P163" s="9" t="n"/>
    </row>
    <row r="164">
      <c r="A164" s="11" t="inlineStr">
        <is>
          <t>Queen Brahne / Rainha Brahne</t>
        </is>
      </c>
      <c r="B164" s="11" t="inlineStr">
        <is>
          <t>Criatura Lendária — Humano Nobre</t>
        </is>
      </c>
      <c r="C164" s="11" t="inlineStr">
        <is>
          <t>Incomum</t>
        </is>
      </c>
      <c r="D164" s="11"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4" s="11" t="inlineStr">
        <is>
          <t>2R</t>
        </is>
      </c>
      <c r="F164" s="11" t="inlineStr">
        <is>
          <t>Vermelho</t>
        </is>
      </c>
      <c r="G164" s="8" t="n">
        <v>0.25</v>
      </c>
      <c r="H164" s="11" t="inlineStr">
        <is>
          <t>Final Fantasy</t>
        </is>
      </c>
      <c r="I164" s="11" t="inlineStr">
        <is>
          <t>Não</t>
        </is>
      </c>
      <c r="J164" s="11" t="n">
        <v>2025</v>
      </c>
      <c r="K164" s="10" t="n">
        <v>46024</v>
      </c>
      <c r="L164" s="11" t="n">
        <v>3</v>
      </c>
      <c r="M164" s="8">
        <f>L164*G164</f>
        <v/>
      </c>
      <c r="P164" s="9" t="n"/>
    </row>
    <row r="165">
      <c r="A165" s="11" t="inlineStr">
        <is>
          <t>Zidane, Tantalus Thief / Zidane, Ladrão do Tantalus</t>
        </is>
      </c>
      <c r="B165" s="11" t="inlineStr">
        <is>
          <t>Criatura Lendária — Humano Mutante Batedor</t>
        </is>
      </c>
      <c r="C165" s="11" t="inlineStr">
        <is>
          <t>Incomum</t>
        </is>
      </c>
      <c r="D165"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11" t="inlineStr">
        <is>
          <t>3RW</t>
        </is>
      </c>
      <c r="F165" s="11" t="inlineStr">
        <is>
          <t>Vermelho e Branco</t>
        </is>
      </c>
      <c r="G165" s="8" t="n">
        <v>31.9</v>
      </c>
      <c r="H165" s="11" t="inlineStr">
        <is>
          <t>Final Fantasy</t>
        </is>
      </c>
      <c r="I165" s="11" t="inlineStr">
        <is>
          <t>Não</t>
        </is>
      </c>
      <c r="J165" s="11" t="n">
        <v>2025</v>
      </c>
      <c r="K165" s="10" t="n">
        <v>46084</v>
      </c>
      <c r="L165" s="11" t="n">
        <v>1</v>
      </c>
      <c r="M165" s="8">
        <f>L165*G165</f>
        <v/>
      </c>
      <c r="P165" s="9" t="n"/>
    </row>
    <row r="166">
      <c r="A166" s="11" t="inlineStr">
        <is>
          <t>Zidane, Tantalus Thief / Zidane, Ladrão do Tantalus</t>
        </is>
      </c>
      <c r="B166" s="11" t="inlineStr">
        <is>
          <t>Criatura Lendária — Humano Mutante Batedor</t>
        </is>
      </c>
      <c r="C166" s="11" t="inlineStr">
        <is>
          <t>Incomum</t>
        </is>
      </c>
      <c r="D166"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6" s="11" t="inlineStr">
        <is>
          <t>3RW</t>
        </is>
      </c>
      <c r="F166" s="11" t="inlineStr">
        <is>
          <t>Vermelho e Branco</t>
        </is>
      </c>
      <c r="G166" s="8" t="n">
        <v>1</v>
      </c>
      <c r="H166" s="11" t="inlineStr">
        <is>
          <t>Final Fantasy</t>
        </is>
      </c>
      <c r="I166" s="11" t="inlineStr">
        <is>
          <t>Sim</t>
        </is>
      </c>
      <c r="J166" s="11" t="n">
        <v>2025</v>
      </c>
      <c r="K166" s="10" t="n">
        <v>46084</v>
      </c>
      <c r="L166" s="11" t="n">
        <v>1</v>
      </c>
      <c r="M166" s="8">
        <f>L166*G166</f>
        <v/>
      </c>
      <c r="P166" s="9" t="n"/>
    </row>
    <row r="167">
      <c r="A167" s="11" t="inlineStr">
        <is>
          <t>Zidane, Tantalus Thief / Zidane, Ladrão do Tantalus</t>
        </is>
      </c>
      <c r="B167" s="11" t="inlineStr">
        <is>
          <t>Criatura Lendária — Humano Mutante Batedor</t>
        </is>
      </c>
      <c r="C167" s="11" t="inlineStr">
        <is>
          <t>Incomum</t>
        </is>
      </c>
      <c r="D167" s="11"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7" s="11" t="inlineStr">
        <is>
          <t>3RW</t>
        </is>
      </c>
      <c r="F167" s="11" t="inlineStr">
        <is>
          <t>Vermelho e Branco</t>
        </is>
      </c>
      <c r="G167" s="8" t="n">
        <v>0.27</v>
      </c>
      <c r="H167" s="11" t="inlineStr">
        <is>
          <t>Final Fantasy</t>
        </is>
      </c>
      <c r="I167" s="11" t="inlineStr">
        <is>
          <t>Não</t>
        </is>
      </c>
      <c r="J167" s="11" t="n">
        <v>2025</v>
      </c>
      <c r="K167" s="10" t="n">
        <v>46084</v>
      </c>
      <c r="L167" s="11" t="n">
        <v>1</v>
      </c>
      <c r="M167" s="8">
        <f>L167*G167</f>
        <v/>
      </c>
      <c r="P167" s="9" t="n"/>
    </row>
    <row r="168">
      <c r="A168" s="11" t="inlineStr">
        <is>
          <t>Giott, King of the Dwarves</t>
        </is>
      </c>
      <c r="B168" s="11" t="inlineStr">
        <is>
          <t>Legendary Creature — Dwarf Noble</t>
        </is>
      </c>
      <c r="C168" s="11" t="inlineStr">
        <is>
          <t>Incomum</t>
        </is>
      </c>
      <c r="D168" s="11" t="inlineStr">
        <is>
          <t>Double strike Whenever Giott or another Dwarf you control enters and whenever an Equipment you control enters, you may discard a card. If you do, draw a card.</t>
        </is>
      </c>
      <c r="E168" s="11" t="inlineStr">
        <is>
          <t>RW</t>
        </is>
      </c>
      <c r="F168" s="11" t="inlineStr">
        <is>
          <t>Vermelha e Branca</t>
        </is>
      </c>
      <c r="G168" s="8" t="n">
        <v>0.19</v>
      </c>
      <c r="H168" s="11" t="inlineStr">
        <is>
          <t>Final Fantasy (FFIV)</t>
        </is>
      </c>
      <c r="I168" s="11" t="inlineStr">
        <is>
          <t>Não</t>
        </is>
      </c>
      <c r="J168" s="11" t="n">
        <v>2025</v>
      </c>
      <c r="K168" s="10" t="n">
        <v>46023</v>
      </c>
      <c r="L168" s="11" t="n">
        <v>1</v>
      </c>
      <c r="M168" s="8">
        <f>L168*G168</f>
        <v/>
      </c>
      <c r="P168" s="9" t="n"/>
    </row>
    <row r="169">
      <c r="A169" s="11" t="inlineStr">
        <is>
          <t>Sin, Spira's Punishment / Sin, O Castigo de Spira</t>
        </is>
      </c>
      <c r="B169" s="11" t="inlineStr">
        <is>
          <t>Criatura Lendária — Leviatã Avatar</t>
        </is>
      </c>
      <c r="C169" s="11" t="inlineStr">
        <is>
          <t>Rara</t>
        </is>
      </c>
      <c r="D169" s="11" t="inlineStr">
        <is>
          <t>Voar. Sempre que Sin entrar ou atacar, exile um card de permanente aleatório de seu cemitério e depois crie uma ficha virada que seja uma cópia daquele card. Se o card exilado for um card de terreno, repita este processo.</t>
        </is>
      </c>
      <c r="E169" s="11" t="inlineStr">
        <is>
          <t>4BGU</t>
        </is>
      </c>
      <c r="F169" s="11" t="inlineStr">
        <is>
          <t>Preto, Verde e Azul</t>
        </is>
      </c>
      <c r="G169" s="8" t="n">
        <v>0.99</v>
      </c>
      <c r="H169" s="11" t="inlineStr">
        <is>
          <t>Final Fantasy</t>
        </is>
      </c>
      <c r="I169" s="11" t="inlineStr">
        <is>
          <t>Não</t>
        </is>
      </c>
      <c r="J169" s="11" t="n">
        <v>2025</v>
      </c>
      <c r="K169" s="10" t="n">
        <v>46210</v>
      </c>
      <c r="L169" s="11" t="n">
        <v>1</v>
      </c>
      <c r="M169" s="8">
        <f>L169*G169</f>
        <v/>
      </c>
      <c r="P169" s="9" t="n"/>
    </row>
    <row r="170">
      <c r="A170" s="11" t="inlineStr">
        <is>
          <t>The Wandering Minstrel / O Menestrel Errante</t>
        </is>
      </c>
      <c r="B170" s="11" t="inlineStr">
        <is>
          <t>Criatura Lendária — Humano Bardo</t>
        </is>
      </c>
      <c r="C170" s="11" t="inlineStr">
        <is>
          <t>Rara</t>
        </is>
      </c>
      <c r="D170" s="11"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70" s="11" t="inlineStr">
        <is>
          <t>GU</t>
        </is>
      </c>
      <c r="F170" s="11" t="inlineStr">
        <is>
          <t>Verde e Azul</t>
        </is>
      </c>
      <c r="G170" s="8" t="n">
        <v>2.9</v>
      </c>
      <c r="H170" s="11" t="inlineStr">
        <is>
          <t>Final Fantasy</t>
        </is>
      </c>
      <c r="I170" s="11" t="inlineStr">
        <is>
          <t>Não</t>
        </is>
      </c>
      <c r="J170" s="11" t="n">
        <v>2025</v>
      </c>
      <c r="K170" s="10" t="n">
        <v>46082</v>
      </c>
      <c r="L170" s="11" t="n">
        <v>1</v>
      </c>
      <c r="M170" s="8">
        <f>L170*G170</f>
        <v/>
      </c>
      <c r="P170" s="9" t="n"/>
    </row>
    <row r="171">
      <c r="A171" s="11" t="inlineStr">
        <is>
          <t>Tellah, Great Sage / Tellah, Grande Sábio</t>
        </is>
      </c>
      <c r="B171" s="11" t="inlineStr">
        <is>
          <t>Criatura Lendária — Humano Mago</t>
        </is>
      </c>
      <c r="C171" s="11" t="inlineStr">
        <is>
          <t>Rara</t>
        </is>
      </c>
      <c r="D171" s="11"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71" s="11" t="inlineStr">
        <is>
          <t>3UR</t>
        </is>
      </c>
      <c r="F171" s="11" t="inlineStr">
        <is>
          <t>Azul e Vermelho</t>
        </is>
      </c>
      <c r="G171" s="8" t="n">
        <v>0.53</v>
      </c>
      <c r="H171" s="11" t="inlineStr">
        <is>
          <t>Final Fantasy</t>
        </is>
      </c>
      <c r="I171" s="11" t="inlineStr">
        <is>
          <t>Não</t>
        </is>
      </c>
      <c r="J171" s="11" t="n">
        <v>2025</v>
      </c>
      <c r="K171" s="10" t="n">
        <v>46084</v>
      </c>
      <c r="L171" s="11" t="n">
        <v>1</v>
      </c>
      <c r="M171" s="8">
        <f>L171*G171</f>
        <v/>
      </c>
      <c r="P171" s="9" t="n"/>
    </row>
    <row r="172">
      <c r="A172" s="11" t="inlineStr">
        <is>
          <t>Noctis, Prince of Lucis / Noctis, Príncipe de Lucis</t>
        </is>
      </c>
      <c r="B172" s="11" t="inlineStr">
        <is>
          <t>Criatura Lendária — Humano Nobre</t>
        </is>
      </c>
      <c r="C172" s="11" t="inlineStr">
        <is>
          <t>Rara</t>
        </is>
      </c>
      <c r="D172" s="11" t="inlineStr">
        <is>
          <t>Vínculo com a vida. Você pode conjurar mágicas de artefato de seu cemitério pagando 3 de vida além de pagar seus outros custos. Se você conjurar uma mágica deste modo, aquele artefato entra com um marcador de finalidade.</t>
        </is>
      </c>
      <c r="E172" s="11" t="inlineStr">
        <is>
          <t>1WUB</t>
        </is>
      </c>
      <c r="F172" s="11" t="inlineStr">
        <is>
          <t>Branco, Azul e Preto</t>
        </is>
      </c>
      <c r="G172" s="8" t="n">
        <v>2.79</v>
      </c>
      <c r="H172" s="11" t="inlineStr">
        <is>
          <t>Final Fantasy</t>
        </is>
      </c>
      <c r="I172" s="11" t="inlineStr">
        <is>
          <t>Não</t>
        </is>
      </c>
      <c r="J172" s="11" t="n">
        <v>2025</v>
      </c>
      <c r="K172" s="10" t="n">
        <v>46085</v>
      </c>
      <c r="L172" s="11" t="n">
        <v>1</v>
      </c>
      <c r="M172" s="8">
        <f>L172*G172</f>
        <v/>
      </c>
      <c r="P172" s="9" t="n"/>
    </row>
    <row r="173">
      <c r="A173" s="11" t="inlineStr">
        <is>
          <t>Preto Waltz No. 3 / Valsa Negra N.º 3</t>
        </is>
      </c>
      <c r="B173" s="11" t="inlineStr">
        <is>
          <t>Criatura Lendária — Mago</t>
        </is>
      </c>
      <c r="C173" s="11" t="inlineStr">
        <is>
          <t>Incomum</t>
        </is>
      </c>
      <c r="D173" s="11" t="inlineStr">
        <is>
          <t>Voar, toque mortífero. Sempre que você conjurar uma mágica que não seja de criatura, Valsa Negra N.º 3 causa 2 de dano a cada oponente.</t>
        </is>
      </c>
      <c r="E173" s="11" t="inlineStr">
        <is>
          <t>2BR</t>
        </is>
      </c>
      <c r="F173" s="11" t="inlineStr">
        <is>
          <t>Preto e Vermelho</t>
        </is>
      </c>
      <c r="G173" s="8" t="n">
        <v>2.99</v>
      </c>
      <c r="H173" s="11" t="inlineStr">
        <is>
          <t>Final Fantasy</t>
        </is>
      </c>
      <c r="I173" s="11" t="inlineStr">
        <is>
          <t>Sim</t>
        </is>
      </c>
      <c r="J173" s="11" t="n">
        <v>2025</v>
      </c>
      <c r="K173" s="10" t="n">
        <v>46055</v>
      </c>
      <c r="L173" s="11" t="n">
        <v>1</v>
      </c>
      <c r="M173" s="8">
        <f>L173*G173</f>
        <v/>
      </c>
      <c r="P173" s="9" t="n"/>
    </row>
    <row r="174">
      <c r="A174" s="11" t="inlineStr">
        <is>
          <t>Rydia, Summoner of Mist / Rydia, Invocadora de Névoa</t>
        </is>
      </c>
      <c r="B174" s="11" t="inlineStr">
        <is>
          <t>Criatura Lendária — Humano Xamã</t>
        </is>
      </c>
      <c r="C174" s="11" t="inlineStr">
        <is>
          <t>Incomum</t>
        </is>
      </c>
      <c r="D174" s="11"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4" s="11" t="inlineStr">
        <is>
          <t>RG</t>
        </is>
      </c>
      <c r="F174" s="11" t="inlineStr">
        <is>
          <t>Vermelho e Verde</t>
        </is>
      </c>
      <c r="G174" s="8" t="n">
        <v>0.15</v>
      </c>
      <c r="H174" s="11" t="inlineStr">
        <is>
          <t>Final Fantasy</t>
        </is>
      </c>
      <c r="I174" s="11" t="inlineStr">
        <is>
          <t>Não</t>
        </is>
      </c>
      <c r="J174" s="11" t="n">
        <v>2025</v>
      </c>
      <c r="K174" s="10" t="n">
        <v>46054</v>
      </c>
      <c r="L174" s="11" t="n">
        <v>2</v>
      </c>
      <c r="M174" s="8">
        <f>L174*G174</f>
        <v/>
      </c>
      <c r="P174" s="9" t="n"/>
    </row>
    <row r="175">
      <c r="A175" s="11" t="inlineStr">
        <is>
          <t>Locke Cole / Locke Cole</t>
        </is>
      </c>
      <c r="B175" s="11" t="inlineStr">
        <is>
          <t>Criatura Lendária — Humano Ladino</t>
        </is>
      </c>
      <c r="C175" s="11" t="inlineStr">
        <is>
          <t>Incomum</t>
        </is>
      </c>
      <c r="D175" s="11" t="inlineStr">
        <is>
          <t>Toque mortífero, vínculo com a vida. Sempre que Locke Cole causar dano de combate a um jogador, compre um card e depois descarte um card.</t>
        </is>
      </c>
      <c r="E175" s="11" t="inlineStr">
        <is>
          <t>1UB</t>
        </is>
      </c>
      <c r="F175" s="11" t="inlineStr">
        <is>
          <t>Azul e Preto</t>
        </is>
      </c>
      <c r="G175" s="8" t="n">
        <v>0.23</v>
      </c>
      <c r="H175" s="11" t="inlineStr">
        <is>
          <t>Final Fantasy</t>
        </is>
      </c>
      <c r="I175" s="11" t="inlineStr">
        <is>
          <t>Não</t>
        </is>
      </c>
      <c r="J175" s="11" t="n">
        <v>2025</v>
      </c>
      <c r="K175" s="10" t="n">
        <v>46083</v>
      </c>
      <c r="L175" s="11" t="n">
        <v>4</v>
      </c>
      <c r="M175" s="8">
        <f>L175*G175</f>
        <v/>
      </c>
      <c r="P175" s="9" t="n"/>
    </row>
    <row r="176">
      <c r="A176" s="11" t="inlineStr">
        <is>
          <t>Rinoa Heartilly</t>
        </is>
      </c>
      <c r="B176" s="11" t="inlineStr">
        <is>
          <t>Legendary Creature — Human Rebel Warlock</t>
        </is>
      </c>
      <c r="C176" s="11" t="inlineStr">
        <is>
          <t>Incomum</t>
        </is>
      </c>
      <c r="D176" s="11" t="inlineStr">
        <is>
          <t>When Rinoa Heartilly enters, create Angelo, a legendary 1/1 green and white Dog creature token. Angelo Cannon — Whenever Rinoa Heartilly attacks, another target creature you control gets +1/+1 until end of turn for each creature you control.</t>
        </is>
      </c>
      <c r="E176" s="11" t="inlineStr">
        <is>
          <t>3GW</t>
        </is>
      </c>
      <c r="F176" s="11" t="inlineStr">
        <is>
          <t>Verde e Branca</t>
        </is>
      </c>
      <c r="G176" s="8" t="n">
        <v>0.2</v>
      </c>
      <c r="H176" s="11" t="inlineStr">
        <is>
          <t>Final Fantasy (FFVIII)</t>
        </is>
      </c>
      <c r="I176" s="11" t="inlineStr">
        <is>
          <t>Não</t>
        </is>
      </c>
      <c r="J176" s="11" t="n">
        <v>2025</v>
      </c>
      <c r="K176" s="10" t="n">
        <v>46116</v>
      </c>
      <c r="L176" s="11" t="n">
        <v>2</v>
      </c>
      <c r="M176" s="8">
        <f>L176*G176</f>
        <v/>
      </c>
      <c r="P176" s="9" t="n"/>
    </row>
    <row r="177">
      <c r="A177" s="11" t="inlineStr">
        <is>
          <t>Rufus Shinra / Rufus Shinra</t>
        </is>
      </c>
      <c r="B177" s="11" t="inlineStr">
        <is>
          <t>Criatura Lendária — Humano Nobre</t>
        </is>
      </c>
      <c r="C177" s="11" t="inlineStr">
        <is>
          <t>Incomum</t>
        </is>
      </c>
      <c r="D177" s="11" t="inlineStr">
        <is>
          <t>Sempre que Rufus Shinra atacar, se você não controlar uma criatura chamada Darkstar, crie Darkstar, uma ficha de criatura lendária Cão branca e preta 2/2.</t>
        </is>
      </c>
      <c r="E177" s="11" t="inlineStr">
        <is>
          <t>1WB</t>
        </is>
      </c>
      <c r="F177" s="11" t="inlineStr">
        <is>
          <t>Branco e Preto</t>
        </is>
      </c>
      <c r="G177" s="8" t="n">
        <v>0.15</v>
      </c>
      <c r="H177" s="11" t="inlineStr">
        <is>
          <t>Final Fantasy</t>
        </is>
      </c>
      <c r="I177" s="11" t="inlineStr">
        <is>
          <t>Não</t>
        </is>
      </c>
      <c r="J177" s="11" t="n">
        <v>2025</v>
      </c>
      <c r="K177" s="10" t="n">
        <v>46114</v>
      </c>
      <c r="L177" s="11" t="n">
        <v>6</v>
      </c>
      <c r="M177" s="8">
        <f>L177*G177</f>
        <v/>
      </c>
      <c r="P177" s="9" t="n"/>
    </row>
    <row r="178">
      <c r="A178" s="11" t="inlineStr">
        <is>
          <t>Rufus Shinra / Rufus Shinra</t>
        </is>
      </c>
      <c r="B178" s="11" t="inlineStr">
        <is>
          <t>Criatura Lendária — Humano Nobre</t>
        </is>
      </c>
      <c r="C178" s="11" t="inlineStr">
        <is>
          <t>Incomum</t>
        </is>
      </c>
      <c r="D178" s="11" t="inlineStr">
        <is>
          <t>Sempre que Rufus Shinra atacar, se você não controlar uma criatura chamada Darkstar, crie Darkstar, uma ficha de criatura lendária Cão branca e preta 2/2.</t>
        </is>
      </c>
      <c r="E178" s="11" t="inlineStr">
        <is>
          <t>1WB</t>
        </is>
      </c>
      <c r="F178" s="11" t="inlineStr">
        <is>
          <t>Branco e Preto</t>
        </is>
      </c>
      <c r="G178" s="8" t="n">
        <v>0.4</v>
      </c>
      <c r="H178" s="11" t="inlineStr">
        <is>
          <t>Final Fantasy</t>
        </is>
      </c>
      <c r="I178" s="11" t="inlineStr">
        <is>
          <t>Sim</t>
        </is>
      </c>
      <c r="J178" s="11" t="n">
        <v>2025</v>
      </c>
      <c r="K178" s="10" t="n">
        <v>46114</v>
      </c>
      <c r="L178" s="11" t="n">
        <v>1</v>
      </c>
      <c r="M178" s="8">
        <f>L178*G178</f>
        <v/>
      </c>
      <c r="P178" s="9" t="n"/>
    </row>
    <row r="179">
      <c r="A179" s="11" t="inlineStr">
        <is>
          <t>Crossroads Village / Vilarejo da Encruzilhada</t>
        </is>
      </c>
      <c r="B179" s="11" t="inlineStr">
        <is>
          <t>Terreno — Vila</t>
        </is>
      </c>
      <c r="C179" s="11" t="inlineStr">
        <is>
          <t>Comum</t>
        </is>
      </c>
      <c r="D179" s="11" t="inlineStr">
        <is>
          <t>Este terreno entra virado. Conforme entra, escolha uma cor. {T}: Adicione um mana da cor escolhida.</t>
        </is>
      </c>
      <c r="E179" s="11" t="inlineStr">
        <is>
          <t>Não encontrado</t>
        </is>
      </c>
      <c r="F179" s="11" t="inlineStr">
        <is>
          <t>Incolor</t>
        </is>
      </c>
      <c r="G179" s="8" t="n">
        <v>0.14</v>
      </c>
      <c r="H179" s="11" t="inlineStr">
        <is>
          <t>Final Fantasy</t>
        </is>
      </c>
      <c r="I179" s="11" t="inlineStr">
        <is>
          <t>Não</t>
        </is>
      </c>
      <c r="J179" s="11" t="n">
        <v>2025</v>
      </c>
      <c r="L179" s="11" t="n">
        <v>7</v>
      </c>
      <c r="M179" s="8">
        <f>L179*G179</f>
        <v/>
      </c>
      <c r="P179" s="9" t="n"/>
    </row>
    <row r="180">
      <c r="A180" s="11" t="inlineStr">
        <is>
          <t>Sharlayan, Nation of Scholars / Sharlayan, Nação de Estudiosos</t>
        </is>
      </c>
      <c r="B180" s="11" t="inlineStr">
        <is>
          <t>Terreno — Vila</t>
        </is>
      </c>
      <c r="C180" s="11" t="inlineStr">
        <is>
          <t>Rara</t>
        </is>
      </c>
      <c r="D180" s="11" t="inlineStr">
        <is>
          <t>Este terreno entra virado. {T}: Adicione {W} ou {U}.</t>
        </is>
      </c>
      <c r="E180" s="11" t="inlineStr">
        <is>
          <t>Não encontrado</t>
        </is>
      </c>
      <c r="F180" s="11" t="inlineStr">
        <is>
          <t>Incolor</t>
        </is>
      </c>
      <c r="G180" s="8" t="n">
        <v>0.15</v>
      </c>
      <c r="H180" s="11" t="inlineStr">
        <is>
          <t>Final Fantasy</t>
        </is>
      </c>
      <c r="I180" s="11" t="inlineStr">
        <is>
          <t>Não</t>
        </is>
      </c>
      <c r="J180" s="11" t="n">
        <v>2025</v>
      </c>
      <c r="L180" s="11" t="n">
        <v>3</v>
      </c>
      <c r="M180" s="8">
        <f>L180*G180</f>
        <v/>
      </c>
      <c r="P180" s="9" t="n"/>
    </row>
    <row r="181">
      <c r="A181" s="11" t="inlineStr">
        <is>
          <t>Guadosalam, Farplane Gateway / Guadosalam, Portal do Além</t>
        </is>
      </c>
      <c r="B181" s="11" t="inlineStr">
        <is>
          <t>Terreno — Vila</t>
        </is>
      </c>
      <c r="C181" s="11" t="inlineStr">
        <is>
          <t>Rara</t>
        </is>
      </c>
      <c r="D181" s="11" t="inlineStr">
        <is>
          <t>Este terreno entra virado. {T}: Adicione {G} ou {U}.</t>
        </is>
      </c>
      <c r="E181" s="11" t="inlineStr">
        <is>
          <t>Não encontrado</t>
        </is>
      </c>
      <c r="F181" s="11" t="inlineStr">
        <is>
          <t>Incolor</t>
        </is>
      </c>
      <c r="G181" s="8" t="n">
        <v>0.15</v>
      </c>
      <c r="H181" s="11" t="inlineStr">
        <is>
          <t>Final Fantasy</t>
        </is>
      </c>
      <c r="I181" s="11" t="inlineStr">
        <is>
          <t>Não</t>
        </is>
      </c>
      <c r="J181" s="11" t="n">
        <v>2025</v>
      </c>
      <c r="L181" s="11" t="n">
        <v>3</v>
      </c>
      <c r="M181" s="8">
        <f>L181*G181</f>
        <v/>
      </c>
      <c r="P181" s="9" t="n"/>
    </row>
    <row r="182">
      <c r="A182" s="11" t="inlineStr">
        <is>
          <t>Vector, Imperial Capital / Vector, Capital Imperial</t>
        </is>
      </c>
      <c r="B182" s="11" t="inlineStr">
        <is>
          <t>Terreno — Vila</t>
        </is>
      </c>
      <c r="C182" s="11" t="inlineStr">
        <is>
          <t>Rara</t>
        </is>
      </c>
      <c r="D182" s="11" t="inlineStr">
        <is>
          <t>Este terreno entra virado. {T}: Adicione {B} ou {R}.</t>
        </is>
      </c>
      <c r="E182" s="11" t="inlineStr">
        <is>
          <t>Não encontrado</t>
        </is>
      </c>
      <c r="F182" s="11" t="inlineStr">
        <is>
          <t>Incolor</t>
        </is>
      </c>
      <c r="G182" s="8" t="n">
        <v>0.15</v>
      </c>
      <c r="H182" s="11" t="inlineStr">
        <is>
          <t>Final Fantasy</t>
        </is>
      </c>
      <c r="I182" s="11" t="inlineStr">
        <is>
          <t>Não</t>
        </is>
      </c>
      <c r="J182" s="11" t="n">
        <v>2025</v>
      </c>
      <c r="L182" s="11" t="n">
        <v>2</v>
      </c>
      <c r="M182" s="8">
        <f>L182*G182</f>
        <v/>
      </c>
      <c r="P182" s="9" t="n"/>
    </row>
    <row r="183">
      <c r="A183" s="11" t="inlineStr">
        <is>
          <t>Windurst, Federation Center / Windurst, Centro da Federação</t>
        </is>
      </c>
      <c r="B183" s="11" t="inlineStr">
        <is>
          <t>Terreno — Vila</t>
        </is>
      </c>
      <c r="C183" s="11" t="inlineStr">
        <is>
          <t>Rara</t>
        </is>
      </c>
      <c r="D183" s="11" t="inlineStr">
        <is>
          <t>Este terreno entra virado. {T}: Adicione {G} ou {W}.</t>
        </is>
      </c>
      <c r="E183" s="11" t="inlineStr">
        <is>
          <t>Não encontrado</t>
        </is>
      </c>
      <c r="F183" s="11" t="inlineStr">
        <is>
          <t>Incolor</t>
        </is>
      </c>
      <c r="G183" s="8" t="n">
        <v>0.2</v>
      </c>
      <c r="H183" s="11" t="inlineStr">
        <is>
          <t>Final Fantasy</t>
        </is>
      </c>
      <c r="I183" s="11" t="inlineStr">
        <is>
          <t>Não</t>
        </is>
      </c>
      <c r="J183" s="11" t="n">
        <v>2025</v>
      </c>
      <c r="L183" s="11" t="n">
        <v>4</v>
      </c>
      <c r="M183" s="8">
        <f>L183*G183</f>
        <v/>
      </c>
      <c r="P183" s="9" t="n"/>
    </row>
    <row r="184">
      <c r="A184" s="11" t="inlineStr">
        <is>
          <t>Gohn, Town of Ruin / Gohn, Vila das Ruínas</t>
        </is>
      </c>
      <c r="B184" s="11" t="inlineStr">
        <is>
          <t>Terreno — Vila</t>
        </is>
      </c>
      <c r="C184" s="11" t="inlineStr">
        <is>
          <t>Rara</t>
        </is>
      </c>
      <c r="D184" s="11" t="inlineStr">
        <is>
          <t>Este terreno entra virado. {T}: Adicione {B} ou {G}.</t>
        </is>
      </c>
      <c r="E184" s="11" t="inlineStr">
        <is>
          <t>Não encontrado</t>
        </is>
      </c>
      <c r="F184" s="11" t="inlineStr">
        <is>
          <t>Incolor</t>
        </is>
      </c>
      <c r="G184" s="8" t="n">
        <v>0.19</v>
      </c>
      <c r="H184" s="11" t="inlineStr">
        <is>
          <t>Final Fantasy</t>
        </is>
      </c>
      <c r="I184" s="11" t="inlineStr">
        <is>
          <t>Não</t>
        </is>
      </c>
      <c r="J184" s="11" t="n">
        <v>2025</v>
      </c>
      <c r="L184" s="11" t="n">
        <v>2</v>
      </c>
      <c r="M184" s="8">
        <f>L184*G184</f>
        <v/>
      </c>
      <c r="P184" s="9" t="n"/>
    </row>
    <row r="185">
      <c r="A185" s="11" t="inlineStr">
        <is>
          <t>Treno, Dark City / Treno, Cidade Sombria</t>
        </is>
      </c>
      <c r="B185" s="11" t="inlineStr">
        <is>
          <t>Terreno — Vila</t>
        </is>
      </c>
      <c r="C185" s="11" t="inlineStr">
        <is>
          <t>Rara</t>
        </is>
      </c>
      <c r="D185" s="11" t="inlineStr">
        <is>
          <t>Este terreno entra virado. {T}: Adicione {U} ou {B}.</t>
        </is>
      </c>
      <c r="E185" s="11" t="inlineStr">
        <is>
          <t>Não encontrado</t>
        </is>
      </c>
      <c r="F185" s="11" t="inlineStr">
        <is>
          <t>Incolor</t>
        </is>
      </c>
      <c r="G185" s="8" t="n">
        <v>0.15</v>
      </c>
      <c r="H185" s="11" t="inlineStr">
        <is>
          <t>Final Fantasy</t>
        </is>
      </c>
      <c r="I185" s="11" t="inlineStr">
        <is>
          <t>Não</t>
        </is>
      </c>
      <c r="J185" s="11" t="n">
        <v>2025</v>
      </c>
      <c r="L185" s="11" t="n">
        <v>2</v>
      </c>
      <c r="M185" s="8">
        <f>L185*G185</f>
        <v/>
      </c>
      <c r="P185" s="9" t="n"/>
    </row>
    <row r="186">
      <c r="A186" s="11" t="inlineStr">
        <is>
          <t>Insomnia, Crown City / Insomnia, Cidade da Coroa</t>
        </is>
      </c>
      <c r="B186" s="11" t="inlineStr">
        <is>
          <t>Terreno — Vila</t>
        </is>
      </c>
      <c r="C186" s="11" t="inlineStr">
        <is>
          <t>Rara</t>
        </is>
      </c>
      <c r="D186" s="11" t="inlineStr">
        <is>
          <t>Este terreno entra virado. {T}: Adicione {W} ou {B}.</t>
        </is>
      </c>
      <c r="E186" s="11" t="inlineStr">
        <is>
          <t>Não encontrado</t>
        </is>
      </c>
      <c r="F186" s="11" t="inlineStr">
        <is>
          <t>Incolor</t>
        </is>
      </c>
      <c r="G186" s="8" t="n">
        <v>0.2</v>
      </c>
      <c r="H186" s="11" t="inlineStr">
        <is>
          <t>Final Fantasy</t>
        </is>
      </c>
      <c r="I186" s="11" t="inlineStr">
        <is>
          <t>Não</t>
        </is>
      </c>
      <c r="J186" s="11" t="n">
        <v>2025</v>
      </c>
      <c r="L186" s="11" t="n">
        <v>3</v>
      </c>
      <c r="M186" s="8">
        <f>L186*G186</f>
        <v/>
      </c>
      <c r="P186" s="9" t="n"/>
    </row>
    <row r="187">
      <c r="A187" s="11" t="inlineStr">
        <is>
          <t>Gongaga, Reactor Town / Gongaga, Vila do Reator</t>
        </is>
      </c>
      <c r="B187" s="11" t="inlineStr">
        <is>
          <t>Terreno — Vila</t>
        </is>
      </c>
      <c r="C187" s="11" t="inlineStr">
        <is>
          <t>Rara</t>
        </is>
      </c>
      <c r="D187" s="11" t="inlineStr">
        <is>
          <t>Este terreno entra virado. {T}: Adicione {R} ou {G}.</t>
        </is>
      </c>
      <c r="E187" s="11" t="inlineStr">
        <is>
          <t>Não encontrado</t>
        </is>
      </c>
      <c r="F187" s="11" t="inlineStr">
        <is>
          <t>Incolor</t>
        </is>
      </c>
      <c r="G187" s="8" t="n">
        <v>0.18</v>
      </c>
      <c r="H187" s="11" t="inlineStr">
        <is>
          <t>Final Fantasy</t>
        </is>
      </c>
      <c r="I187" s="11" t="inlineStr">
        <is>
          <t>Não</t>
        </is>
      </c>
      <c r="J187" s="11" t="n">
        <v>2025</v>
      </c>
      <c r="L187" s="11" t="n">
        <v>3</v>
      </c>
      <c r="M187" s="8">
        <f>L187*G187</f>
        <v/>
      </c>
      <c r="P187" s="9" t="n"/>
    </row>
    <row r="188">
      <c r="A188" s="11" t="inlineStr">
        <is>
          <t>Baron, Airship Kingdom / Baron, Reino dos Navios Voladores</t>
        </is>
      </c>
      <c r="B188" s="11" t="inlineStr">
        <is>
          <t>Terreno — Vila</t>
        </is>
      </c>
      <c r="C188" s="11" t="inlineStr">
        <is>
          <t>Rara</t>
        </is>
      </c>
      <c r="D188" s="11" t="inlineStr">
        <is>
          <t>Este terreno entra virado. {T}: Adicione {U} ou {R}.</t>
        </is>
      </c>
      <c r="E188" s="11" t="inlineStr">
        <is>
          <t>Não encontrado</t>
        </is>
      </c>
      <c r="F188" s="11" t="inlineStr">
        <is>
          <t>Incolor</t>
        </is>
      </c>
      <c r="G188" s="8" t="n">
        <v>0.2</v>
      </c>
      <c r="H188" s="11" t="inlineStr">
        <is>
          <t>Final Fantasy</t>
        </is>
      </c>
      <c r="I188" s="11" t="inlineStr">
        <is>
          <t>Não</t>
        </is>
      </c>
      <c r="J188" s="11" t="n">
        <v>2025</v>
      </c>
      <c r="L188" s="11" t="n">
        <v>3</v>
      </c>
      <c r="M188" s="8">
        <f>L188*G188</f>
        <v/>
      </c>
      <c r="P188" s="9" t="n"/>
    </row>
    <row r="189">
      <c r="A189" s="11" t="inlineStr">
        <is>
          <t>Adventurer's Inn / Estalagem do Aventureiro</t>
        </is>
      </c>
      <c r="B189" s="11" t="inlineStr">
        <is>
          <t>Terreno — Vila</t>
        </is>
      </c>
      <c r="C189" s="11" t="inlineStr">
        <is>
          <t>Comum</t>
        </is>
      </c>
      <c r="D189" s="11" t="inlineStr">
        <is>
          <t>Quando este terreno entrar, você ganha 2 de vida. {T}: Adicione {C}.</t>
        </is>
      </c>
      <c r="E189" s="11" t="inlineStr">
        <is>
          <t>Não encontrado</t>
        </is>
      </c>
      <c r="F189" s="11" t="inlineStr">
        <is>
          <t>Incolor</t>
        </is>
      </c>
      <c r="G189" s="8" t="n">
        <v>0.25</v>
      </c>
      <c r="H189" s="11" t="inlineStr">
        <is>
          <t>Final Fantasy</t>
        </is>
      </c>
      <c r="I189" s="11" t="inlineStr">
        <is>
          <t>Não</t>
        </is>
      </c>
      <c r="J189" s="11" t="n">
        <v>2025</v>
      </c>
      <c r="L189" s="11" t="n">
        <v>5</v>
      </c>
      <c r="M189" s="8">
        <f>L189*G189</f>
        <v/>
      </c>
      <c r="P189" s="9" t="n"/>
    </row>
    <row r="190">
      <c r="A190" s="11" t="inlineStr">
        <is>
          <t>Rabanastre, Royal City / Rabanastre, Cidade Real</t>
        </is>
      </c>
      <c r="B190" s="11" t="inlineStr">
        <is>
          <t>Terreno — Vila</t>
        </is>
      </c>
      <c r="C190" s="11" t="inlineStr">
        <is>
          <t>Rara</t>
        </is>
      </c>
      <c r="D190" s="11" t="inlineStr">
        <is>
          <t>Este terreno entra virado. {T}: Adicione {R} ou {W}.</t>
        </is>
      </c>
      <c r="E190" s="11" t="inlineStr">
        <is>
          <t>Não encontrado</t>
        </is>
      </c>
      <c r="F190" s="11" t="inlineStr">
        <is>
          <t>Incolor</t>
        </is>
      </c>
      <c r="G190" s="8" t="n">
        <v>0.15</v>
      </c>
      <c r="H190" s="11" t="inlineStr">
        <is>
          <t>Final Fantasy</t>
        </is>
      </c>
      <c r="I190" s="11" t="inlineStr">
        <is>
          <t>Não</t>
        </is>
      </c>
      <c r="J190" s="11" t="n">
        <v>2025</v>
      </c>
      <c r="L190" s="11" t="n">
        <v>3</v>
      </c>
      <c r="M190" s="8">
        <f>L190*G190</f>
        <v/>
      </c>
      <c r="P190" s="9" t="n"/>
    </row>
    <row r="191">
      <c r="A191" s="11" t="inlineStr">
        <is>
          <t>Eden, Seat of the Sanctum / Éden, Sede do Sanctum</t>
        </is>
      </c>
      <c r="B191" s="11" t="inlineStr">
        <is>
          <t>Terreno — Vila</t>
        </is>
      </c>
      <c r="C191" s="11" t="inlineStr">
        <is>
          <t>Incomum</t>
        </is>
      </c>
      <c r="D191" s="11" t="inlineStr">
        <is>
          <t>{T}: Adicione {C}. {5}, {T}: Triture dois cards. Depois, você pode sacrificar este terreno. Quando fizer isso, devolva outro card de permanente alvo de seu cemitério para sua mão.</t>
        </is>
      </c>
      <c r="E191" s="11" t="inlineStr">
        <is>
          <t>Não encontrado</t>
        </is>
      </c>
      <c r="F191" s="11" t="inlineStr">
        <is>
          <t>Incolor</t>
        </is>
      </c>
      <c r="G191" s="8" t="n">
        <v>0.25</v>
      </c>
      <c r="H191" s="11" t="inlineStr">
        <is>
          <t>Final Fantasy</t>
        </is>
      </c>
      <c r="I191" s="11" t="inlineStr">
        <is>
          <t>Não</t>
        </is>
      </c>
      <c r="J191" s="11" t="n">
        <v>2025</v>
      </c>
      <c r="L191" s="11" t="n">
        <v>2</v>
      </c>
      <c r="M191" s="8">
        <f>L191*G191</f>
        <v/>
      </c>
      <c r="P191" s="9" t="n"/>
    </row>
    <row r="192">
      <c r="A192" s="11" t="inlineStr">
        <is>
          <t>The Gold Saucer / O Gold Saucer</t>
        </is>
      </c>
      <c r="B192" s="11" t="inlineStr">
        <is>
          <t>Terreno — Vila</t>
        </is>
      </c>
      <c r="C192" s="11" t="inlineStr">
        <is>
          <t>Incomum</t>
        </is>
      </c>
      <c r="D192" s="11" t="inlineStr">
        <is>
          <t>{T}: Adicione {C}. {2}, {T}: Jogue uma moeda. Se você ganhar na moeda, crie uma ficha de Tesouro. {3}, {T}, Sacrifique dois artefatos: Compre um card.</t>
        </is>
      </c>
      <c r="E192" s="11" t="inlineStr">
        <is>
          <t>Não encontrado</t>
        </is>
      </c>
      <c r="F192" s="11" t="inlineStr">
        <is>
          <t>Incolor</t>
        </is>
      </c>
      <c r="G192" s="8" t="n">
        <v>0.5</v>
      </c>
      <c r="H192" s="11" t="inlineStr">
        <is>
          <t>Final Fantasy</t>
        </is>
      </c>
      <c r="I192" s="11" t="inlineStr">
        <is>
          <t>Não</t>
        </is>
      </c>
      <c r="J192" s="11" t="n">
        <v>2025</v>
      </c>
      <c r="L192" s="11" t="n">
        <v>3</v>
      </c>
      <c r="M192" s="8">
        <f>L192*G192</f>
        <v/>
      </c>
      <c r="P192" s="9" t="n"/>
    </row>
    <row r="193">
      <c r="A193" s="11" t="inlineStr">
        <is>
          <t>Luka Stadium // Strixhaven Stadium / Estádio de Luka // Estádio de Strixhaven</t>
        </is>
      </c>
      <c r="B193" s="11" t="inlineStr">
        <is>
          <t>Artefato</t>
        </is>
      </c>
      <c r="C193" s="11" t="inlineStr">
        <is>
          <t>Incomum</t>
        </is>
      </c>
      <c r="D193" s="11"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3" s="11" t="n">
        <v>3</v>
      </c>
      <c r="F193" s="11" t="inlineStr">
        <is>
          <t>Incolor</t>
        </is>
      </c>
      <c r="G193" s="8" t="n">
        <v>0.85</v>
      </c>
      <c r="H193" s="11" t="inlineStr">
        <is>
          <t>Final Fantasy</t>
        </is>
      </c>
      <c r="I193" s="11" t="inlineStr">
        <is>
          <t>Não</t>
        </is>
      </c>
      <c r="J193" s="11" t="n">
        <v>2025</v>
      </c>
      <c r="L193" s="11" t="n">
        <v>1</v>
      </c>
      <c r="M193" s="8">
        <f>L193*G193</f>
        <v/>
      </c>
      <c r="P193" s="9" t="n"/>
    </row>
    <row r="194">
      <c r="A194" s="11" t="inlineStr">
        <is>
          <t>Ultima, Origin of Oblivion / Ultima, a Origem do Oblívio</t>
        </is>
      </c>
      <c r="B194" s="11" t="inlineStr">
        <is>
          <t>Criatura Lendária — Deus</t>
        </is>
      </c>
      <c r="C194" s="11" t="inlineStr">
        <is>
          <t>Rara</t>
        </is>
      </c>
      <c r="D194" s="11"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4" s="11" t="n">
        <v>5</v>
      </c>
      <c r="F194" s="11" t="inlineStr">
        <is>
          <t>Incolor</t>
        </is>
      </c>
      <c r="G194" s="8" t="n">
        <v>4.34</v>
      </c>
      <c r="H194" s="11" t="inlineStr">
        <is>
          <t>Final Fantasy</t>
        </is>
      </c>
      <c r="I194" s="11" t="inlineStr">
        <is>
          <t>Não</t>
        </is>
      </c>
      <c r="J194" s="11" t="n">
        <v>2025</v>
      </c>
      <c r="K194" s="10" t="n">
        <v>46116</v>
      </c>
      <c r="L194" s="11" t="n">
        <v>1</v>
      </c>
      <c r="M194" s="8">
        <f>L194*G194</f>
        <v/>
      </c>
      <c r="P194" s="9" t="n"/>
    </row>
    <row r="195">
      <c r="A195" s="11" t="inlineStr">
        <is>
          <t>The Masamune / A Masamune</t>
        </is>
      </c>
      <c r="B195" s="11" t="inlineStr">
        <is>
          <t>Artefato Lendário — Equipamento</t>
        </is>
      </c>
      <c r="C195" s="11" t="inlineStr">
        <is>
          <t>Rara</t>
        </is>
      </c>
      <c r="D195" s="11"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5" s="11" t="n">
        <v>3</v>
      </c>
      <c r="F195" s="11" t="inlineStr">
        <is>
          <t>Incolor</t>
        </is>
      </c>
      <c r="G195" s="8" t="n">
        <v>2.82</v>
      </c>
      <c r="H195" s="11" t="inlineStr">
        <is>
          <t>Final Fantasy</t>
        </is>
      </c>
      <c r="I195" s="11" t="inlineStr">
        <is>
          <t>Não</t>
        </is>
      </c>
      <c r="J195" s="11" t="n">
        <v>2025</v>
      </c>
      <c r="L195" s="11" t="n">
        <v>1</v>
      </c>
      <c r="M195" s="8">
        <f>L195*G195</f>
        <v/>
      </c>
      <c r="P195" s="9" t="n"/>
    </row>
    <row r="196">
      <c r="A196" s="11" t="inlineStr">
        <is>
          <t>The Regalia / O Regalia</t>
        </is>
      </c>
      <c r="B196" s="11" t="inlineStr">
        <is>
          <t>Artefato Lendário — Veículo</t>
        </is>
      </c>
      <c r="C196" s="11" t="inlineStr">
        <is>
          <t>Rara</t>
        </is>
      </c>
      <c r="D196" s="11" t="inlineStr">
        <is>
          <t>Ímpeto. Sempre que O Regalia atacar, revele cards do topo de seu grimório até revelar um card de terreno. Coloque aquele card no campo de batalha virado e o restante no fundo de seu grimório em uma ordem aleatória. Tripular 1</t>
        </is>
      </c>
      <c r="E196" s="11" t="n">
        <v>4</v>
      </c>
      <c r="F196" s="11" t="inlineStr">
        <is>
          <t>Incolor</t>
        </is>
      </c>
      <c r="G196" s="8" t="n">
        <v>4.95</v>
      </c>
      <c r="H196" s="11" t="inlineStr">
        <is>
          <t>Final Fantasy</t>
        </is>
      </c>
      <c r="I196" s="11" t="inlineStr">
        <is>
          <t>Não</t>
        </is>
      </c>
      <c r="J196" s="11" t="n">
        <v>2025</v>
      </c>
      <c r="K196" s="10" t="n">
        <v>46116</v>
      </c>
      <c r="L196" s="11" t="n">
        <v>1</v>
      </c>
      <c r="M196" s="8">
        <f>L196*G196</f>
        <v/>
      </c>
      <c r="P196" s="9" t="n"/>
    </row>
    <row r="197">
      <c r="A197" s="11" t="inlineStr">
        <is>
          <t>Iron Giant</t>
        </is>
      </c>
      <c r="B197" s="11" t="inlineStr">
        <is>
          <t>Artifact Creature — Demon</t>
        </is>
      </c>
      <c r="C197" s="11" t="inlineStr">
        <is>
          <t>Comum</t>
        </is>
      </c>
      <c r="D197" s="11" t="inlineStr">
        <is>
          <t>Vigilance, reach, trample</t>
        </is>
      </c>
      <c r="E197" s="11" t="n">
        <v>7</v>
      </c>
      <c r="F197" s="11" t="inlineStr">
        <is>
          <t>Incolor</t>
        </is>
      </c>
      <c r="G197" s="8" t="n">
        <v>0.05</v>
      </c>
      <c r="H197" s="11" t="inlineStr">
        <is>
          <t>Final Fantasy (FFXV)</t>
        </is>
      </c>
      <c r="I197" s="11" t="inlineStr">
        <is>
          <t>Não</t>
        </is>
      </c>
      <c r="J197" s="11" t="n">
        <v>2025</v>
      </c>
      <c r="K197" s="10" t="n">
        <v>46179</v>
      </c>
      <c r="L197" s="11" t="n">
        <v>7</v>
      </c>
      <c r="M197" s="8">
        <f>L197*G197</f>
        <v/>
      </c>
      <c r="P197" s="9" t="n"/>
    </row>
    <row r="198">
      <c r="A198" s="11" t="inlineStr">
        <is>
          <t>Demon Wall / Parede Demoníaca</t>
        </is>
      </c>
      <c r="B198" s="11" t="inlineStr">
        <is>
          <t>Criatura Artefato — Demônio Parede</t>
        </is>
      </c>
      <c r="C198" s="11" t="inlineStr">
        <is>
          <t>Incomum</t>
        </is>
      </c>
      <c r="D198" s="11" t="inlineStr">
        <is>
          <t>Defensor. Ameaça (Esta criatura não pode ser bloqueada a não ser por duas ou mais criaturas.) Enquanto esta criatura tiver um marcador nela, ela poderá atacar como se não tivesse defensor. {5}{B}: Coloque dois marcadores +1/+1 nesta criatura.</t>
        </is>
      </c>
      <c r="E198" s="11" t="inlineStr">
        <is>
          <t>1{B}</t>
        </is>
      </c>
      <c r="F198" s="11" t="inlineStr">
        <is>
          <t>Preto</t>
        </is>
      </c>
      <c r="G198" s="8" t="n">
        <v>0.25</v>
      </c>
      <c r="H198" s="11" t="inlineStr">
        <is>
          <t>Final Fantasy</t>
        </is>
      </c>
      <c r="I198" s="11" t="inlineStr">
        <is>
          <t>Não</t>
        </is>
      </c>
      <c r="J198" s="11" t="n">
        <v>2025</v>
      </c>
      <c r="K198" s="10" t="n">
        <v>46084</v>
      </c>
      <c r="L198" s="11" t="n">
        <v>1</v>
      </c>
      <c r="M198" s="8">
        <f>L198*G198</f>
        <v/>
      </c>
      <c r="P198" s="9" t="n"/>
    </row>
    <row r="199">
      <c r="A199" s="11" t="inlineStr">
        <is>
          <t>World Map</t>
        </is>
      </c>
      <c r="B199" s="11" t="inlineStr">
        <is>
          <t>Artifact</t>
        </is>
      </c>
      <c r="C199" s="11" t="inlineStr">
        <is>
          <t>Comum</t>
        </is>
      </c>
      <c r="D199" s="11" t="inlineStr">
        <is>
          <t>1, T, Sacrifice this artifact: Search your library for a basic land card, reveal it, put it into your hand, then shuffle. 3, T, Sacrifice this artifact: Search your library for a land card, reveal it, put it into your hand, then shuffle.</t>
        </is>
      </c>
      <c r="E199" s="11" t="n">
        <v>1</v>
      </c>
      <c r="F199" s="11" t="inlineStr">
        <is>
          <t>Incolor</t>
        </is>
      </c>
      <c r="G199" s="8" t="n">
        <v>0.05</v>
      </c>
      <c r="H199" s="11" t="inlineStr">
        <is>
          <t>Final Fantasy (FFI)</t>
        </is>
      </c>
      <c r="I199" s="11" t="inlineStr">
        <is>
          <t>Não</t>
        </is>
      </c>
      <c r="J199" s="11" t="n">
        <v>2025</v>
      </c>
      <c r="L199" s="11" t="n">
        <v>8</v>
      </c>
      <c r="M199" s="8">
        <f>L199*G199</f>
        <v/>
      </c>
      <c r="P199" s="9" t="n"/>
    </row>
    <row r="200">
      <c r="A200" s="11" t="inlineStr">
        <is>
          <t>World Map</t>
        </is>
      </c>
      <c r="B200" s="11" t="inlineStr">
        <is>
          <t>Artifact</t>
        </is>
      </c>
      <c r="C200" s="11" t="inlineStr">
        <is>
          <t>Comum</t>
        </is>
      </c>
      <c r="D200" s="11" t="inlineStr">
        <is>
          <t>1, T, Sacrifice this artifact: Search your library for a basic land card, reveal it, put it into your hand, then shuffle. 3, T, Sacrifice this artifact: Search your library for a land card, reveal it, put it into your hand, then shuffle.</t>
        </is>
      </c>
      <c r="E200" s="11" t="n">
        <v>1</v>
      </c>
      <c r="F200" s="11" t="inlineStr">
        <is>
          <t>Incolor</t>
        </is>
      </c>
      <c r="G200" s="8" t="n">
        <v>1</v>
      </c>
      <c r="H200" s="11" t="inlineStr">
        <is>
          <t>Final Fantasy (FFI)</t>
        </is>
      </c>
      <c r="I200" s="11" t="inlineStr">
        <is>
          <t>Sim</t>
        </is>
      </c>
      <c r="J200" s="11" t="n">
        <v>2025</v>
      </c>
      <c r="L200" s="11" t="n">
        <v>2</v>
      </c>
      <c r="M200" s="8">
        <f>L200*G200</f>
        <v/>
      </c>
      <c r="P200" s="9" t="n"/>
    </row>
    <row r="201">
      <c r="A201" s="11" t="inlineStr">
        <is>
          <t>Elixir</t>
        </is>
      </c>
      <c r="B201" s="11" t="inlineStr">
        <is>
          <t>Artifact</t>
        </is>
      </c>
      <c r="C201" s="11" t="inlineStr">
        <is>
          <t>Incomum</t>
        </is>
      </c>
      <c r="D201" s="11" t="inlineStr">
        <is>
          <t>This artifact enters tapped. 5, T, Exile this artifact: Shuffle all nonland cards from your graveyard into your library. You gain life equal to the number of cards shuffled into your library this way.</t>
        </is>
      </c>
      <c r="E201" s="11" t="n">
        <v>1</v>
      </c>
      <c r="F201" s="11" t="inlineStr">
        <is>
          <t>Incolor</t>
        </is>
      </c>
      <c r="G201" s="8" t="n">
        <v>0.25</v>
      </c>
      <c r="H201" s="11" t="inlineStr">
        <is>
          <t>Final Fantasy (FFIV)</t>
        </is>
      </c>
      <c r="I201" s="11" t="inlineStr">
        <is>
          <t>Não</t>
        </is>
      </c>
      <c r="J201" s="11" t="n">
        <v>2025</v>
      </c>
      <c r="L201" s="11" t="n">
        <v>1</v>
      </c>
      <c r="M201" s="8">
        <f>L201*G201</f>
        <v/>
      </c>
      <c r="P201" s="9" t="n"/>
    </row>
    <row r="202">
      <c r="A202" s="11" t="inlineStr">
        <is>
          <t>Elixir</t>
        </is>
      </c>
      <c r="B202" s="11" t="inlineStr">
        <is>
          <t>Artifact</t>
        </is>
      </c>
      <c r="C202" s="11" t="inlineStr">
        <is>
          <t>Incomum</t>
        </is>
      </c>
      <c r="D202" s="11" t="inlineStr">
        <is>
          <t>This artifact enters tapped. 5, T, Exile this artifact: Shuffle all nonland cards from your graveyard into your library. You gain life equal to the number of cards shuffled into your library this way.</t>
        </is>
      </c>
      <c r="E202" s="11" t="n">
        <v>1</v>
      </c>
      <c r="F202" s="11" t="inlineStr">
        <is>
          <t>Incolor</t>
        </is>
      </c>
      <c r="G202" s="8" t="n">
        <v>0.24</v>
      </c>
      <c r="H202" s="11" t="inlineStr">
        <is>
          <t>Final Fantasy (FFIV)</t>
        </is>
      </c>
      <c r="I202" s="11" t="inlineStr">
        <is>
          <t>Sim</t>
        </is>
      </c>
      <c r="J202" s="11" t="n">
        <v>2025</v>
      </c>
      <c r="L202" s="11" t="n">
        <v>1</v>
      </c>
      <c r="M202" s="8">
        <f>L202*G202</f>
        <v/>
      </c>
      <c r="P202" s="9" t="n"/>
    </row>
    <row r="203">
      <c r="A203" s="11" t="inlineStr">
        <is>
          <t>Lion Heart / Coração de Leão</t>
        </is>
      </c>
      <c r="B203" s="11" t="inlineStr">
        <is>
          <t>Artefato — Equipamento</t>
        </is>
      </c>
      <c r="C203" s="11" t="inlineStr">
        <is>
          <t>Incomum</t>
        </is>
      </c>
      <c r="D203" s="11" t="inlineStr">
        <is>
          <t>Quando este Equipamento entrar, ele causará 2 de dano a qualquer alvo. A criatura equipada recebe +2/+1. Equipar {2}</t>
        </is>
      </c>
      <c r="E203" s="11" t="n">
        <v>4</v>
      </c>
      <c r="F203" s="11" t="inlineStr">
        <is>
          <t>Incolor</t>
        </is>
      </c>
      <c r="G203" s="8" t="n">
        <v>0.15</v>
      </c>
      <c r="H203" s="11" t="inlineStr">
        <is>
          <t>Final Fantasy</t>
        </is>
      </c>
      <c r="I203" s="11" t="inlineStr">
        <is>
          <t>Não</t>
        </is>
      </c>
      <c r="J203" s="11" t="n">
        <v>2025</v>
      </c>
      <c r="L203" s="11" t="n">
        <v>1</v>
      </c>
      <c r="M203" s="8">
        <f>L203*G203</f>
        <v/>
      </c>
      <c r="P203" s="9" t="n"/>
    </row>
    <row r="204">
      <c r="A204" s="11" t="inlineStr">
        <is>
          <t>PuPu UFO / OVNI de PuPu</t>
        </is>
      </c>
      <c r="B204" s="11" t="inlineStr">
        <is>
          <t>Criatura Artefato — Construto Alienígena</t>
        </is>
      </c>
      <c r="C204" s="11" t="inlineStr">
        <is>
          <t>Incomum</t>
        </is>
      </c>
      <c r="D204" s="11" t="inlineStr">
        <is>
          <t>Voar. {T}: Você pode colocar um card de terreno de sua mão no campo de batalha. {3}: Até o final do turno, o poder de base desta criatura torna-se igual ao número de Vilas que você controla.</t>
        </is>
      </c>
      <c r="E204" s="11" t="n">
        <v>2</v>
      </c>
      <c r="F204" s="11" t="inlineStr">
        <is>
          <t>Incolor</t>
        </is>
      </c>
      <c r="G204" s="8" t="n">
        <v>0.23</v>
      </c>
      <c r="H204" s="11" t="inlineStr">
        <is>
          <t>Final Fantasy</t>
        </is>
      </c>
      <c r="I204" s="11" t="inlineStr">
        <is>
          <t>Não</t>
        </is>
      </c>
      <c r="J204" s="11" t="n">
        <v>2025</v>
      </c>
      <c r="K204" s="11" t="inlineStr">
        <is>
          <t>0/4</t>
        </is>
      </c>
      <c r="L204" s="11" t="n">
        <v>1</v>
      </c>
      <c r="M204" s="8">
        <f>L204*G204</f>
        <v/>
      </c>
      <c r="P204" s="9" t="n"/>
    </row>
    <row r="205">
      <c r="A205" s="11" t="inlineStr">
        <is>
          <t>Ring of the Lucii / Anel dos Lucii</t>
        </is>
      </c>
      <c r="B205" s="11" t="inlineStr">
        <is>
          <t>Artefato Lendário</t>
        </is>
      </c>
      <c r="C205" s="11" t="inlineStr">
        <is>
          <t>Incomum</t>
        </is>
      </c>
      <c r="D205" s="11" t="inlineStr">
        <is>
          <t>{T}: Adicione {C}{C}. {2}, {T}, Pague 1 de vida: Vire a permanente alvo que não seja um terreno.</t>
        </is>
      </c>
      <c r="E205" s="11" t="n">
        <v>4</v>
      </c>
      <c r="F205" s="11" t="inlineStr">
        <is>
          <t>Incolor</t>
        </is>
      </c>
      <c r="G205" s="8" t="n">
        <v>0.25</v>
      </c>
      <c r="H205" s="11" t="inlineStr">
        <is>
          <t>Final Fantasy</t>
        </is>
      </c>
      <c r="I205" s="11" t="inlineStr">
        <is>
          <t>Não</t>
        </is>
      </c>
      <c r="J205" s="11" t="n">
        <v>2025</v>
      </c>
      <c r="L205" s="11" t="n">
        <v>1</v>
      </c>
      <c r="M205" s="8">
        <f>L205*G205</f>
        <v/>
      </c>
      <c r="P205" s="9" t="n"/>
    </row>
    <row r="206">
      <c r="A206" s="11" t="inlineStr">
        <is>
          <t>Ring of the Lucii / Anel dos Lucii</t>
        </is>
      </c>
      <c r="B206" s="11" t="inlineStr">
        <is>
          <t>Artefato Lendário</t>
        </is>
      </c>
      <c r="C206" s="11" t="inlineStr">
        <is>
          <t>Incomum</t>
        </is>
      </c>
      <c r="D206" s="11" t="inlineStr">
        <is>
          <t>{T}: Adicione {C}{C}. {2}, {T}, Pague 1 de vida: Vire a permanente alvo que não seja um terreno.</t>
        </is>
      </c>
      <c r="E206" s="11" t="n">
        <v>4</v>
      </c>
      <c r="F206" s="11" t="inlineStr">
        <is>
          <t>Incolor</t>
        </is>
      </c>
      <c r="G206" s="8" t="n">
        <v>0.89</v>
      </c>
      <c r="H206" s="11" t="inlineStr">
        <is>
          <t>Final Fantasy</t>
        </is>
      </c>
      <c r="I206" s="11" t="inlineStr">
        <is>
          <t>Sim</t>
        </is>
      </c>
      <c r="J206" s="11" t="n">
        <v>2025</v>
      </c>
      <c r="L206" s="11" t="n">
        <v>1</v>
      </c>
      <c r="M206" s="8">
        <f>L206*G206</f>
        <v/>
      </c>
      <c r="P206" s="9" t="n"/>
    </row>
    <row r="207">
      <c r="A207" s="11" t="inlineStr">
        <is>
          <t>Adventurer's Airship / Navio Voador do Aventureiro</t>
        </is>
      </c>
      <c r="B207" s="11" t="inlineStr">
        <is>
          <t>Artefato — Veículo</t>
        </is>
      </c>
      <c r="C207" s="11" t="inlineStr">
        <is>
          <t>Comum</t>
        </is>
      </c>
      <c r="D207" s="11" t="inlineStr">
        <is>
          <t>Voar. Sempre que este Veículo atacar, compre um card e depois descarte um card. Tripular 2 (Vire qualquer número de criaturas que você controla com poder total igual ou superior a 2: Este Veículo se torna uma criatura artefato até o final do turno.)</t>
        </is>
      </c>
      <c r="E207" s="11" t="n">
        <v>3</v>
      </c>
      <c r="F207" s="11" t="inlineStr">
        <is>
          <t>Incolor</t>
        </is>
      </c>
      <c r="G207" s="8" t="n">
        <v>0.05</v>
      </c>
      <c r="H207" s="11" t="inlineStr">
        <is>
          <t>Final Fantasy</t>
        </is>
      </c>
      <c r="I207" s="11" t="inlineStr">
        <is>
          <t>Não</t>
        </is>
      </c>
      <c r="J207" s="11" t="n">
        <v>2025</v>
      </c>
      <c r="K207" s="10" t="n">
        <v>46056</v>
      </c>
      <c r="L207" s="11" t="n">
        <v>7</v>
      </c>
      <c r="M207" s="8">
        <f>L207*G207</f>
        <v/>
      </c>
      <c r="P207" s="9" t="n"/>
    </row>
    <row r="208">
      <c r="A208" s="11" t="inlineStr">
        <is>
          <t>Magic Pot / Pote Mágico</t>
        </is>
      </c>
      <c r="B208" s="11" t="inlineStr">
        <is>
          <t>Criatura Artefato — Golem Goblin</t>
        </is>
      </c>
      <c r="C208" s="11" t="inlineStr">
        <is>
          <t>Comum</t>
        </is>
      </c>
      <c r="D208" s="11" t="inlineStr">
        <is>
          <t>Quando esta criatura morrer, crie uma ficha de Tesouro. (Ela é um artefato com "{T}, Sacrifique esta ficha: Adicione um mana de qualquer cor.") {2}, {T}: Exile o card alvo de um cemitério.</t>
        </is>
      </c>
      <c r="E208" s="11" t="n">
        <v>3</v>
      </c>
      <c r="F208" s="11" t="inlineStr">
        <is>
          <t>Incolor</t>
        </is>
      </c>
      <c r="G208" s="8" t="n">
        <v>0.03</v>
      </c>
      <c r="H208" s="11" t="inlineStr">
        <is>
          <t>Final Fantasy</t>
        </is>
      </c>
      <c r="I208" s="11" t="inlineStr">
        <is>
          <t>Não</t>
        </is>
      </c>
      <c r="J208" s="11" t="n">
        <v>2025</v>
      </c>
      <c r="K208" s="10" t="n">
        <v>46113</v>
      </c>
      <c r="L208" s="11" t="n">
        <v>10</v>
      </c>
      <c r="M208" s="8">
        <f>L208*G208</f>
        <v/>
      </c>
      <c r="P208" s="9" t="n"/>
    </row>
    <row r="209">
      <c r="A209" s="11" t="inlineStr">
        <is>
          <t>Instant Ramen / Lámen Instantâneo</t>
        </is>
      </c>
      <c r="B209" s="11" t="inlineStr">
        <is>
          <t>Artefato — Comida</t>
        </is>
      </c>
      <c r="C209" s="11" t="inlineStr">
        <is>
          <t>Comum</t>
        </is>
      </c>
      <c r="D209" s="11" t="inlineStr">
        <is>
          <t>Lampejo. Quando este artefato entrar, compre um card. {2}, {T}, Sacrifique este artefato: Você ganha 3 de vida.</t>
        </is>
      </c>
      <c r="E209" s="11" t="n">
        <v>2</v>
      </c>
      <c r="F209" s="11" t="inlineStr">
        <is>
          <t>Incolor</t>
        </is>
      </c>
      <c r="G209" s="8" t="n">
        <v>0.15</v>
      </c>
      <c r="H209" s="11" t="inlineStr">
        <is>
          <t>Final Fantasy</t>
        </is>
      </c>
      <c r="I209" s="11" t="inlineStr">
        <is>
          <t>Não</t>
        </is>
      </c>
      <c r="J209" s="11" t="n">
        <v>2025</v>
      </c>
      <c r="L209" s="11" t="n">
        <v>11</v>
      </c>
      <c r="M209" s="8">
        <f>L209*G209</f>
        <v/>
      </c>
      <c r="P209" s="9" t="n"/>
    </row>
    <row r="210">
      <c r="A210" s="11" t="inlineStr">
        <is>
          <t>Lunatic Pandora / Pandora Lunática</t>
        </is>
      </c>
      <c r="B210" s="11" t="inlineStr">
        <is>
          <t>Artefato Lendário</t>
        </is>
      </c>
      <c r="C210" s="11" t="inlineStr">
        <is>
          <t>Comum</t>
        </is>
      </c>
      <c r="D210" s="11" t="inlineStr">
        <is>
          <t>{2}, {T}: Vigie 1. (Olhe o card do topo de seu grimório. Você pode colocá-lo em seu cemitério.) {6}, {T}, Sacrifique Pandora Lunática: Destrua a permanente alvo que não seja um terreno.</t>
        </is>
      </c>
      <c r="E210" s="11" t="n">
        <v>1</v>
      </c>
      <c r="F210" s="11" t="inlineStr">
        <is>
          <t>Incolor</t>
        </is>
      </c>
      <c r="G210" s="8" t="n">
        <v>0.1</v>
      </c>
      <c r="H210" s="11" t="inlineStr">
        <is>
          <t>Final Fantasy</t>
        </is>
      </c>
      <c r="I210" s="11" t="inlineStr">
        <is>
          <t>Não</t>
        </is>
      </c>
      <c r="J210" s="11" t="n">
        <v>2025</v>
      </c>
      <c r="L210" s="11" t="n">
        <v>12</v>
      </c>
      <c r="M210" s="8">
        <f>L210*G210</f>
        <v/>
      </c>
      <c r="P210" s="9" t="n"/>
    </row>
    <row r="211">
      <c r="A211" s="11" t="inlineStr">
        <is>
          <t>Lunatic Pandora / Pandora Lunática</t>
        </is>
      </c>
      <c r="B211" s="11" t="inlineStr">
        <is>
          <t>Artefato Lendário</t>
        </is>
      </c>
      <c r="C211" s="11" t="inlineStr">
        <is>
          <t>Comum</t>
        </is>
      </c>
      <c r="D211" s="11" t="inlineStr">
        <is>
          <t>{2}, {T}: Vigie 1. (Olhe o card do topo de seu grimório. Você pode colocá-lo em seu cemitério.) {6}, {T}, Sacrifique Pandora Lunática: Destrua a permanente alvo que não seja um terreno.</t>
        </is>
      </c>
      <c r="E211" s="11" t="n">
        <v>1</v>
      </c>
      <c r="F211" s="11" t="inlineStr">
        <is>
          <t>Incolor</t>
        </is>
      </c>
      <c r="G211" s="8" t="n">
        <v>0.4</v>
      </c>
      <c r="H211" s="11" t="inlineStr">
        <is>
          <t>Final Fantasy</t>
        </is>
      </c>
      <c r="I211" s="11" t="inlineStr">
        <is>
          <t>Sim</t>
        </is>
      </c>
      <c r="J211" s="11" t="n">
        <v>2025</v>
      </c>
      <c r="L211" s="11" t="n">
        <v>8</v>
      </c>
      <c r="M211" s="8">
        <f>L211*G211</f>
        <v/>
      </c>
      <c r="P211" s="9" t="n"/>
    </row>
    <row r="212">
      <c r="A212" s="11" t="inlineStr">
        <is>
          <t>Relentless X-ATM092 / X-ATM092 Implacável</t>
        </is>
      </c>
      <c r="B212" s="11" t="inlineStr">
        <is>
          <t>Criatura Artefato — Robô Aranha</t>
        </is>
      </c>
      <c r="C212" s="11" t="inlineStr">
        <is>
          <t>Incomum</t>
        </is>
      </c>
      <c r="D212" s="11"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2" s="11" t="n">
        <v>6</v>
      </c>
      <c r="F212" s="11" t="inlineStr">
        <is>
          <t>Incolor</t>
        </is>
      </c>
      <c r="G212" s="8" t="n">
        <v>0.4</v>
      </c>
      <c r="H212" s="11" t="inlineStr">
        <is>
          <t>Final Fantasy</t>
        </is>
      </c>
      <c r="I212" s="11" t="inlineStr">
        <is>
          <t>Sim</t>
        </is>
      </c>
      <c r="J212" s="11" t="n">
        <v>2025</v>
      </c>
      <c r="K212" s="10" t="n">
        <v>46148</v>
      </c>
      <c r="L212" s="11" t="n">
        <v>1</v>
      </c>
      <c r="M212" s="8">
        <f>L212*G212</f>
        <v/>
      </c>
      <c r="P212" s="9" t="n"/>
    </row>
    <row r="213">
      <c r="A213" s="11" t="inlineStr">
        <is>
          <t>Relentless X-ATM092 / X-ATM092 Implacável</t>
        </is>
      </c>
      <c r="B213" s="11" t="inlineStr">
        <is>
          <t>Criatura Artefato — Robô Aranha</t>
        </is>
      </c>
      <c r="C213" s="11" t="inlineStr">
        <is>
          <t>Incomum</t>
        </is>
      </c>
      <c r="D213" s="11"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3" s="11" t="n">
        <v>6</v>
      </c>
      <c r="F213" s="11" t="inlineStr">
        <is>
          <t>Incolor</t>
        </is>
      </c>
      <c r="G213" s="8" t="n">
        <v>0.18</v>
      </c>
      <c r="H213" s="11" t="inlineStr">
        <is>
          <t>Final Fantasy</t>
        </is>
      </c>
      <c r="I213" s="11" t="inlineStr">
        <is>
          <t>Não</t>
        </is>
      </c>
      <c r="J213" s="11" t="n">
        <v>2025</v>
      </c>
      <c r="K213" s="10" t="n">
        <v>46148</v>
      </c>
      <c r="L213" s="11" t="n">
        <v>1</v>
      </c>
      <c r="M213" s="8">
        <f>L213*G213</f>
        <v/>
      </c>
      <c r="P213" s="9" t="n"/>
    </row>
    <row r="214">
      <c r="A214" s="11" t="inlineStr">
        <is>
          <t>Blitzball / Blitzball</t>
        </is>
      </c>
      <c r="B214" s="11" t="inlineStr">
        <is>
          <t>Artefato</t>
        </is>
      </c>
      <c r="C214" s="11" t="inlineStr">
        <is>
          <t>Comum</t>
        </is>
      </c>
      <c r="D214" s="11" t="inlineStr">
        <is>
          <t>{T}: Adicione um mana de qualquer cor. GOLOOOOOOO! — {T}, Sacrifique este artefato: Compre dois cards. Ative somente se um oponente tiver sofrido dano de combate por uma criatura lendária neste turno.</t>
        </is>
      </c>
      <c r="E214" s="11" t="n">
        <v>3</v>
      </c>
      <c r="F214" s="11" t="inlineStr">
        <is>
          <t>Incolor</t>
        </is>
      </c>
      <c r="G214" s="8" t="n">
        <v>0.14</v>
      </c>
      <c r="H214" s="11" t="inlineStr">
        <is>
          <t>Final Fantasy</t>
        </is>
      </c>
      <c r="I214" s="11" t="inlineStr">
        <is>
          <t>Não</t>
        </is>
      </c>
      <c r="J214" s="11" t="n">
        <v>2025</v>
      </c>
      <c r="L214" s="11" t="n">
        <v>5</v>
      </c>
      <c r="M214" s="8">
        <f>L214*G214</f>
        <v/>
      </c>
      <c r="P214" s="9" t="n"/>
    </row>
    <row r="215">
      <c r="A215" s="11" t="inlineStr">
        <is>
          <t>Monk's Fist / Punho do Monge</t>
        </is>
      </c>
      <c r="B215" s="11" t="inlineStr">
        <is>
          <t>Artefato — Equipamento</t>
        </is>
      </c>
      <c r="C215" s="11" t="inlineStr">
        <is>
          <t>Comum</t>
        </is>
      </c>
      <c r="D215" s="11" t="inlineStr">
        <is>
          <t>Seleção de classe (Quando este Equipamento entrar, crie uma ficha de criatura Herói incolor 1/1 e depois anexe isto a ela.) A criatura equipada recebe +1/+0 e é um Monge além de seus outros tipos. Equipar {2}</t>
        </is>
      </c>
      <c r="E215" s="11" t="n">
        <v>2</v>
      </c>
      <c r="F215" s="11" t="inlineStr">
        <is>
          <t>Incolor</t>
        </is>
      </c>
      <c r="G215" s="8" t="n">
        <v>0.04</v>
      </c>
      <c r="H215" s="11" t="inlineStr">
        <is>
          <t>Final Fantasy</t>
        </is>
      </c>
      <c r="I215" s="11" t="inlineStr">
        <is>
          <t>Não</t>
        </is>
      </c>
      <c r="J215" s="11" t="n">
        <v>2025</v>
      </c>
      <c r="L215" s="11" t="n">
        <v>7</v>
      </c>
      <c r="M215" s="8">
        <f>L215*G215</f>
        <v/>
      </c>
      <c r="P215" s="9" t="n"/>
    </row>
    <row r="216">
      <c r="A216" s="11" t="inlineStr">
        <is>
          <t>Monk's Fist / Punho do Monge</t>
        </is>
      </c>
      <c r="B216" s="11" t="inlineStr">
        <is>
          <t>Artefato — Equipamento</t>
        </is>
      </c>
      <c r="C216" s="11" t="inlineStr">
        <is>
          <t>Comum</t>
        </is>
      </c>
      <c r="D216" s="11" t="inlineStr">
        <is>
          <t>Seleção de classe (Quando este Equipamento entrar, crie uma ficha de criatura Herói incolor 1/1 e depois anexe isto a ela.) A criatura equipada recebe +1/+0 e é um Monge além de seus outros tipos. Equipar {2}</t>
        </is>
      </c>
      <c r="E216" s="11" t="n">
        <v>2</v>
      </c>
      <c r="F216" s="11" t="inlineStr">
        <is>
          <t>Incolor</t>
        </is>
      </c>
      <c r="G216" s="8" t="n">
        <v>0.3</v>
      </c>
      <c r="H216" s="11" t="inlineStr">
        <is>
          <t>Final Fantasy</t>
        </is>
      </c>
      <c r="I216" s="11" t="inlineStr">
        <is>
          <t>Sim</t>
        </is>
      </c>
      <c r="J216" s="11" t="n">
        <v>2025</v>
      </c>
      <c r="L216" s="11" t="n">
        <v>1</v>
      </c>
      <c r="M216" s="8">
        <f>L216*G216</f>
        <v/>
      </c>
      <c r="P216" s="9" t="n"/>
    </row>
    <row r="217">
      <c r="A217" s="11" t="inlineStr">
        <is>
          <t>Reno and Rude</t>
        </is>
      </c>
      <c r="B217" s="11" t="inlineStr">
        <is>
          <t>Legendary Creature - Human Assassin</t>
        </is>
      </c>
      <c r="C217" s="11" t="inlineStr">
        <is>
          <t>Incomum</t>
        </is>
      </c>
      <c r="D217" s="11" t="inlineStr">
        <is>
          <t>Menace. Whenever Reno and Rude deals combat damage to a player, exile the top card of that player's library. Then you may sacrifice another creature or artifact. If you do, you may play the exiled card this turn, and mana of any type can be spent to cast it.</t>
        </is>
      </c>
      <c r="E217" s="11" t="inlineStr">
        <is>
          <t>1B</t>
        </is>
      </c>
      <c r="F217" s="11" t="inlineStr">
        <is>
          <t>Preto</t>
        </is>
      </c>
      <c r="G217" s="8" t="n">
        <v>0.21</v>
      </c>
      <c r="H217" s="11" t="inlineStr">
        <is>
          <t>Final Fantasy</t>
        </is>
      </c>
      <c r="I217" s="11" t="inlineStr">
        <is>
          <t>Não</t>
        </is>
      </c>
      <c r="J217" s="11" t="n">
        <v>2025</v>
      </c>
      <c r="K217" s="10" t="n">
        <v>46024</v>
      </c>
      <c r="L217" s="11" t="n">
        <v>2</v>
      </c>
      <c r="M217" s="8">
        <f>L217*G217</f>
        <v/>
      </c>
      <c r="P217" s="9" t="n"/>
    </row>
    <row r="218">
      <c r="A218" s="11" t="inlineStr">
        <is>
          <t>Shinra Reinforcements</t>
        </is>
      </c>
      <c r="B218" s="11" t="inlineStr">
        <is>
          <t>Creature — Human Soldier</t>
        </is>
      </c>
      <c r="C218" s="11" t="inlineStr">
        <is>
          <t>Comum</t>
        </is>
      </c>
      <c r="D218" s="11" t="inlineStr">
        <is>
          <t>When this creature enters, mill three cards and you gain 3 life. (To mill three cards, put the top three cards of your library into your graveyard.)</t>
        </is>
      </c>
      <c r="E218" s="11" t="inlineStr">
        <is>
          <t>2B</t>
        </is>
      </c>
      <c r="F218" s="11" t="inlineStr">
        <is>
          <t>Preta</t>
        </is>
      </c>
      <c r="G218" s="8" t="n">
        <v>0.05</v>
      </c>
      <c r="H218" s="11" t="inlineStr">
        <is>
          <t>Final Fantasy (FFVII)</t>
        </is>
      </c>
      <c r="I218" s="11" t="inlineStr">
        <is>
          <t>Não</t>
        </is>
      </c>
      <c r="J218" s="11" t="n">
        <v>2025</v>
      </c>
      <c r="K218" s="10" t="n">
        <v>46083</v>
      </c>
      <c r="L218" s="11" t="n">
        <v>13</v>
      </c>
      <c r="M218" s="8">
        <f>L218*G218</f>
        <v/>
      </c>
      <c r="P218" s="9" t="n"/>
    </row>
    <row r="219">
      <c r="A219" s="11" t="inlineStr">
        <is>
          <t>Shinra Reinforcements</t>
        </is>
      </c>
      <c r="B219" s="11" t="inlineStr">
        <is>
          <t>Creature — Human Soldier</t>
        </is>
      </c>
      <c r="C219" s="11" t="inlineStr">
        <is>
          <t>Comum</t>
        </is>
      </c>
      <c r="D219" s="11" t="inlineStr">
        <is>
          <t>When this creature enters, mill three cards and you gain 3 life. (To mill three cards, put the top three cards of your library into your graveyard.)</t>
        </is>
      </c>
      <c r="E219" s="11" t="inlineStr">
        <is>
          <t>2B</t>
        </is>
      </c>
      <c r="F219" s="11" t="inlineStr">
        <is>
          <t>Preta</t>
        </is>
      </c>
      <c r="G219" s="8" t="n">
        <v>0.05</v>
      </c>
      <c r="H219" s="11" t="inlineStr">
        <is>
          <t>Final Fantasy (FFVII)</t>
        </is>
      </c>
      <c r="I219" s="11" t="inlineStr">
        <is>
          <t>Sim</t>
        </is>
      </c>
      <c r="J219" s="11" t="n">
        <v>2025</v>
      </c>
      <c r="K219" s="10" t="n">
        <v>46083</v>
      </c>
      <c r="L219" s="11" t="n">
        <v>1</v>
      </c>
      <c r="M219" s="8">
        <f>L219*G219</f>
        <v/>
      </c>
      <c r="P219" s="9" t="n"/>
    </row>
    <row r="220">
      <c r="A220" s="11" t="inlineStr">
        <is>
          <t>Gaius van Baelsar</t>
        </is>
      </c>
      <c r="B220" s="11" t="inlineStr">
        <is>
          <t>Legendary Creature — Human Soldier</t>
        </is>
      </c>
      <c r="C220" s="11" t="inlineStr">
        <is>
          <t>Incomum</t>
        </is>
      </c>
      <c r="D220" s="11" t="inlineStr">
        <is>
          <t>When Gaius van Baelsar enters, choose one — • Each player sacrifices a creature token of their choice. • Each player sacrifices a nontoken creature of their choice. • Each player sacrifices an enchantment of their choice.</t>
        </is>
      </c>
      <c r="E220" s="11" t="inlineStr">
        <is>
          <t>2BB</t>
        </is>
      </c>
      <c r="F220" s="11" t="inlineStr">
        <is>
          <t>Preta</t>
        </is>
      </c>
      <c r="G220" s="8" t="n">
        <v>0.25</v>
      </c>
      <c r="H220" s="11" t="inlineStr">
        <is>
          <t>Final Fantasy (FFXIV)</t>
        </is>
      </c>
      <c r="I220" s="11" t="inlineStr">
        <is>
          <t>Não</t>
        </is>
      </c>
      <c r="J220" s="11" t="n">
        <v>2025</v>
      </c>
      <c r="K220" s="10" t="n">
        <v>46056</v>
      </c>
      <c r="L220" s="11" t="n">
        <v>2</v>
      </c>
      <c r="M220" s="8">
        <f>L220*G220</f>
        <v/>
      </c>
      <c r="P220" s="9" t="n"/>
    </row>
    <row r="221">
      <c r="A221" s="11" t="inlineStr">
        <is>
          <t>Resentful Revelation</t>
        </is>
      </c>
      <c r="B221" s="11" t="inlineStr">
        <is>
          <t>Sorcery</t>
        </is>
      </c>
      <c r="C221" s="11" t="inlineStr">
        <is>
          <t>Comum</t>
        </is>
      </c>
      <c r="D221" s="11" t="inlineStr">
        <is>
          <t>Look at the top three cards of your library. Put one of them into your hand and the rest into your graveyard. Flashback 6B (You may cast this card from your graveyard for its flashback cost. Then exile it.)</t>
        </is>
      </c>
      <c r="E221" s="11" t="inlineStr">
        <is>
          <t>1B</t>
        </is>
      </c>
      <c r="F221" s="11" t="inlineStr">
        <is>
          <t>Preta</t>
        </is>
      </c>
      <c r="G221" s="8" t="n">
        <v>0.1</v>
      </c>
      <c r="H221" s="11" t="inlineStr">
        <is>
          <t>Final Fantasy (FFVII)</t>
        </is>
      </c>
      <c r="I221" s="11" t="inlineStr">
        <is>
          <t>Não</t>
        </is>
      </c>
      <c r="J221" s="11" t="n">
        <v>2025</v>
      </c>
      <c r="L221" s="11" t="n">
        <v>3</v>
      </c>
      <c r="M221" s="8">
        <f>L221*G221</f>
        <v/>
      </c>
      <c r="P221" s="9" t="n"/>
    </row>
    <row r="222">
      <c r="A222" s="11" t="inlineStr">
        <is>
          <t>Cornered by Preto Mages</t>
        </is>
      </c>
      <c r="B222" s="11" t="inlineStr">
        <is>
          <t>Sorcery</t>
        </is>
      </c>
      <c r="C222" s="11" t="inlineStr">
        <is>
          <t>Comum</t>
        </is>
      </c>
      <c r="D222" s="11" t="inlineStr">
        <is>
          <t>Target opponent sacrifices a creature of their choice. Create a 0/1 Preto Wizard creature token with "Whenever you cast a noncreature spell, this token deals 1 damage to each opponent."</t>
        </is>
      </c>
      <c r="E222" s="11" t="inlineStr">
        <is>
          <t>1BB</t>
        </is>
      </c>
      <c r="F222" s="11" t="inlineStr">
        <is>
          <t>Preta</t>
        </is>
      </c>
      <c r="G222" s="8" t="n">
        <v>0.9</v>
      </c>
      <c r="H222" s="11" t="inlineStr">
        <is>
          <t>Final Fantasy (FFIX)</t>
        </is>
      </c>
      <c r="I222" s="11" t="inlineStr">
        <is>
          <t>Sim</t>
        </is>
      </c>
      <c r="J222" s="11" t="n">
        <v>2025</v>
      </c>
      <c r="L222" s="11" t="n">
        <v>1</v>
      </c>
      <c r="M222" s="8">
        <f>L222*G222</f>
        <v/>
      </c>
      <c r="P222" s="9" t="n"/>
    </row>
    <row r="223">
      <c r="A223" s="11" t="inlineStr">
        <is>
          <t>Cornered by Preto Mages</t>
        </is>
      </c>
      <c r="B223" s="11" t="inlineStr">
        <is>
          <t>Sorcery</t>
        </is>
      </c>
      <c r="C223" s="11" t="inlineStr">
        <is>
          <t>Comum</t>
        </is>
      </c>
      <c r="D223" s="11" t="inlineStr">
        <is>
          <t>Target opponent sacrifices a creature of their choice. Create a 0/1 Preto Wizard creature token with "Whenever you cast a noncreature spell, this token deals 1 damage to each opponent."</t>
        </is>
      </c>
      <c r="E223" s="11" t="inlineStr">
        <is>
          <t>1BB</t>
        </is>
      </c>
      <c r="F223" s="11" t="inlineStr">
        <is>
          <t>Preta</t>
        </is>
      </c>
      <c r="G223" s="8" t="n">
        <v>0.2</v>
      </c>
      <c r="H223" s="11" t="inlineStr">
        <is>
          <t>Final Fantasy (FFIX)</t>
        </is>
      </c>
      <c r="I223" s="11" t="inlineStr">
        <is>
          <t>Não</t>
        </is>
      </c>
      <c r="J223" s="11" t="n">
        <v>2025</v>
      </c>
      <c r="L223" s="11" t="n">
        <v>14</v>
      </c>
      <c r="M223" s="8">
        <f>L223*G223</f>
        <v/>
      </c>
      <c r="P223" s="9" t="n"/>
    </row>
    <row r="224">
      <c r="A224" s="11" t="inlineStr">
        <is>
          <t>Hecteyes</t>
        </is>
      </c>
      <c r="B224" s="11" t="inlineStr">
        <is>
          <t>Creature — Ooze Horror</t>
        </is>
      </c>
      <c r="C224" s="11" t="inlineStr">
        <is>
          <t>Comum</t>
        </is>
      </c>
      <c r="D224" s="11" t="inlineStr">
        <is>
          <t>When this creature enters, each opponent discards a card.</t>
        </is>
      </c>
      <c r="E224" s="11" t="inlineStr">
        <is>
          <t>1B</t>
        </is>
      </c>
      <c r="F224" s="11" t="inlineStr">
        <is>
          <t>Preta</t>
        </is>
      </c>
      <c r="G224" s="8" t="n">
        <v>0.1</v>
      </c>
      <c r="H224" s="11" t="inlineStr">
        <is>
          <t>Final Fantasy (FFII)</t>
        </is>
      </c>
      <c r="I224" s="11" t="inlineStr">
        <is>
          <t>Não</t>
        </is>
      </c>
      <c r="J224" s="11" t="n">
        <v>2025</v>
      </c>
      <c r="K224" s="10" t="n">
        <v>46023</v>
      </c>
      <c r="L224" s="11" t="n">
        <v>6</v>
      </c>
      <c r="M224" s="8">
        <f>L224*G224</f>
        <v/>
      </c>
      <c r="P224" s="9" t="n"/>
    </row>
    <row r="225">
      <c r="A225" s="11" t="inlineStr">
        <is>
          <t>Hecteyes</t>
        </is>
      </c>
      <c r="B225" s="11" t="inlineStr">
        <is>
          <t>Creature — Ooze Horror</t>
        </is>
      </c>
      <c r="C225" s="11" t="inlineStr">
        <is>
          <t>Comum</t>
        </is>
      </c>
      <c r="D225" s="11" t="inlineStr">
        <is>
          <t>When this creature enters, each opponent discards a card.</t>
        </is>
      </c>
      <c r="E225" s="11" t="inlineStr">
        <is>
          <t>1B</t>
        </is>
      </c>
      <c r="F225" s="11" t="inlineStr">
        <is>
          <t>Preta</t>
        </is>
      </c>
      <c r="G225" s="8" t="n">
        <v>0.1</v>
      </c>
      <c r="H225" s="11" t="inlineStr">
        <is>
          <t>Final Fantasy (FFII)</t>
        </is>
      </c>
      <c r="I225" s="11" t="inlineStr">
        <is>
          <t>Sim</t>
        </is>
      </c>
      <c r="J225" s="11" t="n">
        <v>2025</v>
      </c>
      <c r="K225" s="10" t="n">
        <v>46023</v>
      </c>
      <c r="L225" s="11" t="n">
        <v>11</v>
      </c>
      <c r="M225" s="8">
        <f>L225*G225</f>
        <v/>
      </c>
      <c r="P225" s="9" t="n"/>
    </row>
    <row r="226">
      <c r="A226" s="11" t="inlineStr">
        <is>
          <t>Overkill</t>
        </is>
      </c>
      <c r="B226" s="11" t="inlineStr">
        <is>
          <t>Instant</t>
        </is>
      </c>
      <c r="C226" s="11" t="inlineStr">
        <is>
          <t>Incomum</t>
        </is>
      </c>
      <c r="D226" s="11" t="inlineStr">
        <is>
          <t>Target creature gets -0/-9999 until end of turn.</t>
        </is>
      </c>
      <c r="E226" s="11" t="inlineStr">
        <is>
          <t>2B</t>
        </is>
      </c>
      <c r="F226" s="11" t="inlineStr">
        <is>
          <t>Preta</t>
        </is>
      </c>
      <c r="G226" s="8" t="n">
        <v>0.21</v>
      </c>
      <c r="H226" s="11" t="inlineStr">
        <is>
          <t>Final Fantasy (FFX)</t>
        </is>
      </c>
      <c r="I226" s="11" t="inlineStr">
        <is>
          <t>Não</t>
        </is>
      </c>
      <c r="J226" s="11" t="n">
        <v>2025</v>
      </c>
      <c r="L226" s="11" t="n">
        <v>1</v>
      </c>
      <c r="M226" s="8">
        <f>L226*G226</f>
        <v/>
      </c>
      <c r="P226" s="9" t="n"/>
    </row>
    <row r="227">
      <c r="A227" s="11" t="inlineStr">
        <is>
          <t>Qutrub Forayer</t>
        </is>
      </c>
      <c r="B227" s="11" t="inlineStr">
        <is>
          <t>Creature — Zombie Horror</t>
        </is>
      </c>
      <c r="C227" s="11" t="inlineStr">
        <is>
          <t>Comum</t>
        </is>
      </c>
      <c r="D227" s="11" t="inlineStr">
        <is>
          <t>When this creature enters, choose one — • Destroy target creature that was dealt damage this turn. • Exile up to two target cards from a single graveyard.</t>
        </is>
      </c>
      <c r="E227" s="11" t="inlineStr">
        <is>
          <t>2B</t>
        </is>
      </c>
      <c r="F227" s="11" t="inlineStr">
        <is>
          <t>Preta</t>
        </is>
      </c>
      <c r="G227" s="8" t="n">
        <v>0.05</v>
      </c>
      <c r="H227" s="11" t="inlineStr">
        <is>
          <t>Final Fantasy (FFXI)</t>
        </is>
      </c>
      <c r="I227" s="11" t="inlineStr">
        <is>
          <t>Não</t>
        </is>
      </c>
      <c r="J227" s="11" t="n">
        <v>2025</v>
      </c>
      <c r="K227" s="10" t="n">
        <v>46056</v>
      </c>
      <c r="L227" s="11" t="n">
        <v>13</v>
      </c>
      <c r="M227" s="8">
        <f>L227*G227</f>
        <v/>
      </c>
      <c r="P227" s="9" t="n"/>
    </row>
    <row r="228">
      <c r="A228" s="11" t="inlineStr">
        <is>
          <t>Resentful Revelation</t>
        </is>
      </c>
      <c r="B228" s="11" t="inlineStr">
        <is>
          <t>Sorcery</t>
        </is>
      </c>
      <c r="C228" s="11" t="inlineStr">
        <is>
          <t>Comum</t>
        </is>
      </c>
      <c r="D228" s="11" t="inlineStr">
        <is>
          <t>Look at the top three cards of your library. Put one of them into your hand and the rest into your graveyard. Flashback 6B (You may cast this card from your graveyard for its flashback cost. Then exile it.)</t>
        </is>
      </c>
      <c r="E228" s="11" t="inlineStr">
        <is>
          <t>1B</t>
        </is>
      </c>
      <c r="F228" s="11" t="inlineStr">
        <is>
          <t>Preta</t>
        </is>
      </c>
      <c r="G228" s="8" t="n">
        <v>0.1</v>
      </c>
      <c r="H228" s="11" t="inlineStr">
        <is>
          <t>Final Fantasy (FFVII)</t>
        </is>
      </c>
      <c r="I228" s="11" t="inlineStr">
        <is>
          <t>Sim</t>
        </is>
      </c>
      <c r="J228" s="11" t="n">
        <v>2025</v>
      </c>
      <c r="L228" s="11" t="n">
        <v>10</v>
      </c>
      <c r="M228" s="8">
        <f>L228*G228</f>
        <v/>
      </c>
      <c r="P228" s="9" t="n"/>
    </row>
    <row r="229">
      <c r="A229" s="11" t="inlineStr">
        <is>
          <t>Shambling Cie'th / Cie'th Cambaleante</t>
        </is>
      </c>
      <c r="B229" s="11" t="inlineStr">
        <is>
          <t>Criatura — Mutante Horror</t>
        </is>
      </c>
      <c r="C229" s="11" t="inlineStr">
        <is>
          <t>Incomum</t>
        </is>
      </c>
      <c r="D229" s="11" t="inlineStr">
        <is>
          <t>Esta criatura entra virada. Sempre que você conjurar uma mágica que não seja de criatura, você pode pagar {B}. Se fizer isso, devolva este card de seu cemitério para sua mão.</t>
        </is>
      </c>
      <c r="E229" s="11" t="inlineStr">
        <is>
          <t>2{B}</t>
        </is>
      </c>
      <c r="F229" s="11" t="inlineStr">
        <is>
          <t>Preto</t>
        </is>
      </c>
      <c r="G229" s="8" t="n">
        <v>0.05</v>
      </c>
      <c r="H229" s="11" t="inlineStr">
        <is>
          <t>Final Fantasy</t>
        </is>
      </c>
      <c r="I229" s="11" t="inlineStr">
        <is>
          <t>Não</t>
        </is>
      </c>
      <c r="J229" s="11" t="n">
        <v>2025</v>
      </c>
      <c r="K229" s="10" t="n">
        <v>46084</v>
      </c>
      <c r="L229" s="11" t="n">
        <v>2</v>
      </c>
      <c r="M229" s="8">
        <f>L229*G229</f>
        <v/>
      </c>
      <c r="P229" s="9" t="n"/>
    </row>
    <row r="230">
      <c r="A230" s="11" t="inlineStr">
        <is>
          <t>Poison the Waters / Envenenar as Águas</t>
        </is>
      </c>
      <c r="B230" s="11" t="inlineStr">
        <is>
          <t>Feitiço</t>
        </is>
      </c>
      <c r="C230" s="11" t="inlineStr">
        <is>
          <t>Incomum</t>
        </is>
      </c>
      <c r="D230" s="11" t="inlineStr">
        <is>
          <t>Escolha um — • Todas as criaturas recebem -1/-1 até o final do turno. • O jogador alvo revela a própria mão. Você escolhe um card de criatura ou de artefato dela. Aquele jogador descarta aquele card.</t>
        </is>
      </c>
      <c r="E230" s="11" t="inlineStr">
        <is>
          <t>1{B}</t>
        </is>
      </c>
      <c r="F230" s="11" t="inlineStr">
        <is>
          <t>Preto</t>
        </is>
      </c>
      <c r="G230" s="8" t="n">
        <v>0.2</v>
      </c>
      <c r="H230" s="11" t="inlineStr">
        <is>
          <t>Final Fantasy</t>
        </is>
      </c>
      <c r="I230" s="11" t="inlineStr">
        <is>
          <t>Não</t>
        </is>
      </c>
      <c r="J230" s="11" t="n">
        <v>2025</v>
      </c>
      <c r="L230" s="11" t="n">
        <v>1</v>
      </c>
      <c r="M230" s="8">
        <f>L230*G230</f>
        <v/>
      </c>
      <c r="P230" s="9" t="n"/>
    </row>
    <row r="231">
      <c r="A231" s="11" t="inlineStr">
        <is>
          <t>Al Bhed Salvagers / Recicladores Al Bhed</t>
        </is>
      </c>
      <c r="B231" s="11" t="inlineStr">
        <is>
          <t>Criatura — Humano Artífice Guerreiro</t>
        </is>
      </c>
      <c r="C231" s="11" t="inlineStr">
        <is>
          <t>Incomum</t>
        </is>
      </c>
      <c r="D231" s="11" t="inlineStr">
        <is>
          <t>Sempre que esta criatura ou outra criatura ou artefato que você controla morrer, o oponente alvo perde 1 de vida e você ganha 1 de vida.</t>
        </is>
      </c>
      <c r="E231" s="11" t="inlineStr">
        <is>
          <t>2{B}</t>
        </is>
      </c>
      <c r="F231" s="11" t="inlineStr">
        <is>
          <t>Preto</t>
        </is>
      </c>
      <c r="G231" s="8" t="n">
        <v>0.2</v>
      </c>
      <c r="H231" s="11" t="inlineStr">
        <is>
          <t>Final Fantasy</t>
        </is>
      </c>
      <c r="I231" s="11" t="inlineStr">
        <is>
          <t>Não</t>
        </is>
      </c>
      <c r="J231" s="11" t="n">
        <v>2025</v>
      </c>
      <c r="K231" s="10" t="n">
        <v>46083</v>
      </c>
      <c r="L231" s="11" t="n">
        <v>2</v>
      </c>
      <c r="M231" s="8">
        <f>L231*G231</f>
        <v/>
      </c>
      <c r="P231" s="9" t="n"/>
    </row>
    <row r="232">
      <c r="A232" s="11" t="inlineStr">
        <is>
          <t>Al Bhed Salvagers / Recicladores Al Bhed</t>
        </is>
      </c>
      <c r="B232" s="11" t="inlineStr">
        <is>
          <t>Criatura — Humano Artífice Guerreiro</t>
        </is>
      </c>
      <c r="C232" s="11" t="inlineStr">
        <is>
          <t>Incomum</t>
        </is>
      </c>
      <c r="D232" s="11" t="inlineStr">
        <is>
          <t>Sempre que esta criatura ou outra criatura ou artefato que você controla morrer, o oponente alvo perde 1 de vida e você ganha 1 de vida.</t>
        </is>
      </c>
      <c r="E232" s="11" t="inlineStr">
        <is>
          <t>2{B}</t>
        </is>
      </c>
      <c r="F232" s="11" t="inlineStr">
        <is>
          <t>Preto</t>
        </is>
      </c>
      <c r="G232" s="8" t="n">
        <v>0.9</v>
      </c>
      <c r="H232" s="11" t="inlineStr">
        <is>
          <t>Final Fantasy</t>
        </is>
      </c>
      <c r="I232" s="11" t="inlineStr">
        <is>
          <t>Sim</t>
        </is>
      </c>
      <c r="J232" s="11" t="n">
        <v>2025</v>
      </c>
      <c r="K232" s="10" t="n">
        <v>46083</v>
      </c>
      <c r="L232" s="11" t="n">
        <v>1</v>
      </c>
      <c r="M232" s="8">
        <f>L232*G232</f>
        <v/>
      </c>
      <c r="P232" s="9" t="n"/>
    </row>
    <row r="233">
      <c r="A233" s="11" t="inlineStr">
        <is>
          <t>Tonberry / Tonberry</t>
        </is>
      </c>
      <c r="B233" s="11" t="inlineStr">
        <is>
          <t>Criatura — Salamandra Horror</t>
        </is>
      </c>
      <c r="C233" s="11" t="inlineStr">
        <is>
          <t>Incomum</t>
        </is>
      </c>
      <c r="D233" s="11" t="inlineStr">
        <is>
          <t>Esta criatura entra virada com um marcador de atordoamento nela. (Se ela fosse ser desvirada, em vez disso, remova um marcador de atordoamento dela.) Faca de Chef — Durante o seu turno, esta criatura tem iniciativa e toque mortífero.</t>
        </is>
      </c>
      <c r="E233" s="11" t="inlineStr">
        <is>
          <t>{B}</t>
        </is>
      </c>
      <c r="F233" s="11" t="inlineStr">
        <is>
          <t>Preto</t>
        </is>
      </c>
      <c r="G233" s="8" t="n">
        <v>0.2</v>
      </c>
      <c r="H233" s="11" t="inlineStr">
        <is>
          <t>Final Fantasy</t>
        </is>
      </c>
      <c r="I233" s="11" t="inlineStr">
        <is>
          <t>Não</t>
        </is>
      </c>
      <c r="J233" s="11" t="n">
        <v>2025</v>
      </c>
      <c r="K233" s="10" t="n">
        <v>46024</v>
      </c>
      <c r="L233" s="11" t="n">
        <v>1</v>
      </c>
      <c r="M233" s="8">
        <f>L233*G233</f>
        <v/>
      </c>
      <c r="P233" s="9" t="n"/>
    </row>
    <row r="234">
      <c r="A234" s="11" t="inlineStr">
        <is>
          <t>Undercity Dire Rat / Rato Atroz da Cidade Baixa</t>
        </is>
      </c>
      <c r="B234" s="11" t="inlineStr">
        <is>
          <t>Criatura — Rato</t>
        </is>
      </c>
      <c r="C234" s="11" t="inlineStr">
        <is>
          <t>Comum</t>
        </is>
      </c>
      <c r="D234" s="11" t="inlineStr">
        <is>
          <t>Rabo de Rato — Quando esta criatura morrer, crie uma ficha de Tesouro. (Ela é um artefato com "{T}, Sacrifique esta ficha: Adicione um mana de qualquer cor.")</t>
        </is>
      </c>
      <c r="E234" s="11" t="inlineStr">
        <is>
          <t>1{B}</t>
        </is>
      </c>
      <c r="F234" s="11" t="inlineStr">
        <is>
          <t>Preto</t>
        </is>
      </c>
      <c r="G234" s="8" t="n">
        <v>0.05</v>
      </c>
      <c r="H234" s="11" t="inlineStr">
        <is>
          <t>Final Fantasy</t>
        </is>
      </c>
      <c r="I234" s="11" t="inlineStr">
        <is>
          <t>Não</t>
        </is>
      </c>
      <c r="J234" s="11" t="n">
        <v>2025</v>
      </c>
      <c r="K234" s="10" t="n">
        <v>46055</v>
      </c>
      <c r="L234" s="11" t="n">
        <v>16</v>
      </c>
      <c r="M234" s="8">
        <f>L234*G234</f>
        <v/>
      </c>
      <c r="P234" s="9" t="n"/>
    </row>
    <row r="235">
      <c r="A235" s="11" t="inlineStr">
        <is>
          <t>Battle at the Big Bridge // Fatal Push / Batalha na Grande Ponte // Empurrão Fatal</t>
        </is>
      </c>
      <c r="B235" s="11" t="inlineStr">
        <is>
          <t>Mágica Instantânea</t>
        </is>
      </c>
      <c r="C235" s="11" t="inlineStr">
        <is>
          <t>Incomum</t>
        </is>
      </c>
      <c r="D235" s="11"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5" s="11" t="inlineStr">
        <is>
          <t>{B}</t>
        </is>
      </c>
      <c r="F235" s="11" t="inlineStr">
        <is>
          <t>Preto</t>
        </is>
      </c>
      <c r="G235" s="8" t="n">
        <v>3.8</v>
      </c>
      <c r="H235" s="11" t="inlineStr">
        <is>
          <t>Final Fantasy</t>
        </is>
      </c>
      <c r="I235" s="11" t="inlineStr">
        <is>
          <t>Não</t>
        </is>
      </c>
      <c r="J235" s="11" t="n">
        <v>2025</v>
      </c>
      <c r="L235" s="11" t="n">
        <v>1</v>
      </c>
      <c r="M235" s="8">
        <f>L235*G235</f>
        <v/>
      </c>
      <c r="P235" s="9" t="n"/>
    </row>
    <row r="236">
      <c r="A236" s="11" t="inlineStr">
        <is>
          <t>Golbez, Clad in Darkness // Syr Konrad, the Grim / Golbez, Trajado em Trevas // Syr Konrad, o Sombrio</t>
        </is>
      </c>
      <c r="B236" s="11" t="inlineStr">
        <is>
          <t>Criatura Lendária — Humano Cavaleiro</t>
        </is>
      </c>
      <c r="C236" s="11" t="inlineStr">
        <is>
          <t>Incomum</t>
        </is>
      </c>
      <c r="D236" s="11"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6" s="11" t="inlineStr">
        <is>
          <t>3{B}{B}</t>
        </is>
      </c>
      <c r="F236" s="11" t="inlineStr">
        <is>
          <t>Preto</t>
        </is>
      </c>
      <c r="G236" s="8" t="n">
        <v>3.24</v>
      </c>
      <c r="H236" s="11" t="inlineStr">
        <is>
          <t>Final Fantasy</t>
        </is>
      </c>
      <c r="I236" s="11" t="inlineStr">
        <is>
          <t>Não</t>
        </is>
      </c>
      <c r="J236" s="11" t="n">
        <v>2025</v>
      </c>
      <c r="K236" s="10" t="n">
        <v>46117</v>
      </c>
      <c r="L236" s="11" t="n">
        <v>1</v>
      </c>
      <c r="M236" s="8">
        <f>L236*G236</f>
        <v/>
      </c>
      <c r="P236" s="9" t="n"/>
    </row>
    <row r="237">
      <c r="A237" s="11" t="inlineStr">
        <is>
          <t>Kain, Traitorous Dragoon / Kain, Dragão Traidor</t>
        </is>
      </c>
      <c r="B237" s="11" t="inlineStr">
        <is>
          <t>Criatura Lendária — Humano Cavaleiro</t>
        </is>
      </c>
      <c r="C237" s="11" t="inlineStr">
        <is>
          <t>Rara</t>
        </is>
      </c>
      <c r="D237" s="11"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7" s="11" t="inlineStr">
        <is>
          <t>2{B}</t>
        </is>
      </c>
      <c r="F237" s="11" t="inlineStr">
        <is>
          <t>Preto</t>
        </is>
      </c>
      <c r="G237" s="8" t="n">
        <v>1.42</v>
      </c>
      <c r="H237" s="11" t="inlineStr">
        <is>
          <t>Final Fantasy</t>
        </is>
      </c>
      <c r="I237" s="11" t="inlineStr">
        <is>
          <t>Não</t>
        </is>
      </c>
      <c r="J237" s="11" t="n">
        <v>2025</v>
      </c>
      <c r="K237" s="10" t="n">
        <v>46114</v>
      </c>
      <c r="L237" s="11" t="n">
        <v>1</v>
      </c>
      <c r="M237" s="8">
        <f>L237*G237</f>
        <v/>
      </c>
      <c r="P237" s="9" t="n"/>
    </row>
    <row r="238">
      <c r="A238" s="11" t="inlineStr">
        <is>
          <t>Ardyn, the Usurper / Ardyn, o Usurpador</t>
        </is>
      </c>
      <c r="B238" s="11" t="inlineStr">
        <is>
          <t>Criatura Lendária — Ancião Humano Nobre</t>
        </is>
      </c>
      <c r="C238" s="11" t="inlineStr">
        <is>
          <t>Rara</t>
        </is>
      </c>
      <c r="D238" s="11"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8" s="11" t="inlineStr">
        <is>
          <t>5{B}{B}{B}</t>
        </is>
      </c>
      <c r="F238" s="11" t="inlineStr">
        <is>
          <t>Preto</t>
        </is>
      </c>
      <c r="G238" s="8" t="n">
        <v>4.79</v>
      </c>
      <c r="H238" s="11" t="inlineStr">
        <is>
          <t>Final Fantasy</t>
        </is>
      </c>
      <c r="I238" s="11" t="inlineStr">
        <is>
          <t>Não</t>
        </is>
      </c>
      <c r="J238" s="11" t="n">
        <v>2025</v>
      </c>
      <c r="K238" s="10" t="n">
        <v>46116</v>
      </c>
      <c r="L238" s="11" t="n">
        <v>1</v>
      </c>
      <c r="M238" s="8">
        <f>L238*G238</f>
        <v/>
      </c>
      <c r="P238" s="9" t="n"/>
    </row>
    <row r="239">
      <c r="A239" s="11" t="inlineStr">
        <is>
          <t>Vincent Valentine / Vincent Valentine</t>
        </is>
      </c>
      <c r="B239" s="11" t="inlineStr">
        <is>
          <t>Criatura Lendária — Assassino</t>
        </is>
      </c>
      <c r="C239" s="11" t="inlineStr">
        <is>
          <t>Rara</t>
        </is>
      </c>
      <c r="D239" s="11" t="inlineStr">
        <is>
          <t>Sempre que uma criatura que um oponente controla morrer, coloque em Vincent Valentine um número de marcadores +1/+1 igual ao poder daquela criatura. Sempre que Vincent Valentine atacar, você pode transformá-lo.</t>
        </is>
      </c>
      <c r="E239" s="11" t="inlineStr">
        <is>
          <t>2{B}{B}</t>
        </is>
      </c>
      <c r="F239" s="11" t="inlineStr">
        <is>
          <t>Preto</t>
        </is>
      </c>
      <c r="G239" s="8" t="n">
        <v>8.390000000000001</v>
      </c>
      <c r="H239" s="11" t="inlineStr">
        <is>
          <t>Final Fantasy</t>
        </is>
      </c>
      <c r="I239" s="11" t="inlineStr">
        <is>
          <t>Não</t>
        </is>
      </c>
      <c r="J239" s="11" t="n">
        <v>2025</v>
      </c>
      <c r="K239" s="10" t="n">
        <v>46055</v>
      </c>
      <c r="L239" s="11" t="n">
        <v>1</v>
      </c>
      <c r="M239" s="8">
        <f>L239*G239</f>
        <v/>
      </c>
      <c r="P239" s="9" t="n"/>
    </row>
    <row r="240">
      <c r="A240" s="11" t="inlineStr">
        <is>
          <t>Fight On! / Continuar Luta!</t>
        </is>
      </c>
      <c r="B240" s="11" t="inlineStr">
        <is>
          <t>Mágica Instantânea</t>
        </is>
      </c>
      <c r="C240" s="11" t="inlineStr">
        <is>
          <t>Comum</t>
        </is>
      </c>
      <c r="D240" s="11" t="inlineStr">
        <is>
          <t>Devolva até dois cards de criatura alvos de seu cemitério para sua mão.</t>
        </is>
      </c>
      <c r="E240" s="11" t="inlineStr">
        <is>
          <t>2{B}</t>
        </is>
      </c>
      <c r="F240" s="11" t="inlineStr">
        <is>
          <t>Preto</t>
        </is>
      </c>
      <c r="G240" s="8" t="n">
        <v>0.1</v>
      </c>
      <c r="H240" s="11" t="inlineStr">
        <is>
          <t>Final Fantasy</t>
        </is>
      </c>
      <c r="I240" s="11" t="inlineStr">
        <is>
          <t>Não</t>
        </is>
      </c>
      <c r="J240" s="11" t="n">
        <v>2025</v>
      </c>
      <c r="L240" s="11" t="n">
        <v>9</v>
      </c>
      <c r="M240" s="8">
        <f>L240*G240</f>
        <v/>
      </c>
      <c r="P240" s="9" t="n"/>
    </row>
    <row r="241">
      <c r="A241" s="11" t="inlineStr">
        <is>
          <t>Fight On! / Continuar Luta!</t>
        </is>
      </c>
      <c r="B241" s="11" t="inlineStr">
        <is>
          <t>Mágica Instantânea</t>
        </is>
      </c>
      <c r="C241" s="11" t="inlineStr">
        <is>
          <t>Comum</t>
        </is>
      </c>
      <c r="D241" s="11" t="inlineStr">
        <is>
          <t>Devolva até dois cards de criatura alvos de seu cemitério para sua mão.</t>
        </is>
      </c>
      <c r="E241" s="11" t="inlineStr">
        <is>
          <t>2{B}</t>
        </is>
      </c>
      <c r="F241" s="11" t="inlineStr">
        <is>
          <t>Preto</t>
        </is>
      </c>
      <c r="G241" s="8" t="n">
        <v>0.4</v>
      </c>
      <c r="H241" s="11" t="inlineStr">
        <is>
          <t>Final Fantasy</t>
        </is>
      </c>
      <c r="I241" s="11" t="inlineStr">
        <is>
          <t>Sim</t>
        </is>
      </c>
      <c r="J241" s="11" t="n">
        <v>2025</v>
      </c>
      <c r="L241" s="11" t="n">
        <v>1</v>
      </c>
      <c r="M241" s="8">
        <f>L241*G241</f>
        <v/>
      </c>
      <c r="P241" s="9" t="n"/>
    </row>
    <row r="242">
      <c r="A242" s="11" t="inlineStr">
        <is>
          <t>Malboro / Malboro</t>
        </is>
      </c>
      <c r="B242" s="11" t="inlineStr">
        <is>
          <t>Criatura — Planta Horror</t>
        </is>
      </c>
      <c r="C242" s="11" t="inlineStr">
        <is>
          <t>Comum</t>
        </is>
      </c>
      <c r="D242" s="11"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2" s="11" t="inlineStr">
        <is>
          <t>4{B}{B}</t>
        </is>
      </c>
      <c r="F242" s="11" t="inlineStr">
        <is>
          <t>Preto</t>
        </is>
      </c>
      <c r="G242" s="8" t="n">
        <v>0.1</v>
      </c>
      <c r="H242" s="11" t="inlineStr">
        <is>
          <t>Final Fantasy</t>
        </is>
      </c>
      <c r="I242" s="11" t="inlineStr">
        <is>
          <t>Não</t>
        </is>
      </c>
      <c r="J242" s="11" t="n">
        <v>2025</v>
      </c>
      <c r="K242" s="10" t="n">
        <v>46116</v>
      </c>
      <c r="L242" s="11" t="n">
        <v>13</v>
      </c>
      <c r="M242" s="8">
        <f>L242*G242</f>
        <v/>
      </c>
      <c r="P242" s="9" t="n"/>
    </row>
    <row r="243">
      <c r="A243" s="11" t="inlineStr">
        <is>
          <t>Namazu Trader / Comerciante Namazu</t>
        </is>
      </c>
      <c r="B243" s="11" t="inlineStr">
        <is>
          <t>Criatura — Peixe Cidadão</t>
        </is>
      </c>
      <c r="C243" s="11" t="inlineStr">
        <is>
          <t>Comum</t>
        </is>
      </c>
      <c r="D243" s="11"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3" s="11" t="inlineStr">
        <is>
          <t>3{B}</t>
        </is>
      </c>
      <c r="F243" s="11" t="inlineStr">
        <is>
          <t>Preto</t>
        </is>
      </c>
      <c r="G243" s="8" t="n">
        <v>0.08</v>
      </c>
      <c r="H243" s="11" t="inlineStr">
        <is>
          <t>Final Fantasy</t>
        </is>
      </c>
      <c r="I243" s="11" t="inlineStr">
        <is>
          <t>Não</t>
        </is>
      </c>
      <c r="J243" s="11" t="n">
        <v>2025</v>
      </c>
      <c r="K243" s="10" t="n">
        <v>46115</v>
      </c>
      <c r="L243" s="11" t="n">
        <v>10</v>
      </c>
      <c r="M243" s="8">
        <f>L243*G243</f>
        <v/>
      </c>
      <c r="P243" s="9" t="n"/>
    </row>
    <row r="244">
      <c r="A244" s="11" t="inlineStr">
        <is>
          <t>Namazu Trader / Comerciante Namazu</t>
        </is>
      </c>
      <c r="B244" s="11" t="inlineStr">
        <is>
          <t>Criatura — Peixe Cidadão</t>
        </is>
      </c>
      <c r="C244" s="11" t="inlineStr">
        <is>
          <t>Comum</t>
        </is>
      </c>
      <c r="D244" s="11"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4" s="11" t="inlineStr">
        <is>
          <t>3{B}</t>
        </is>
      </c>
      <c r="F244" s="11" t="inlineStr">
        <is>
          <t>Preto</t>
        </is>
      </c>
      <c r="G244" s="8" t="n">
        <v>0.35</v>
      </c>
      <c r="H244" s="11" t="inlineStr">
        <is>
          <t>Final Fantasy</t>
        </is>
      </c>
      <c r="I244" s="11" t="inlineStr">
        <is>
          <t>Sim</t>
        </is>
      </c>
      <c r="J244" s="11" t="n">
        <v>2025</v>
      </c>
      <c r="K244" s="10" t="n">
        <v>46115</v>
      </c>
      <c r="L244" s="11" t="n">
        <v>3</v>
      </c>
      <c r="M244" s="8">
        <f>L244*G244</f>
        <v/>
      </c>
      <c r="P244" s="9" t="n"/>
    </row>
    <row r="245">
      <c r="A245" s="11" t="inlineStr">
        <is>
          <t>Preto Mage's Rod / Bastão do Mago Negro</t>
        </is>
      </c>
      <c r="B245" s="11" t="inlineStr">
        <is>
          <t>Artefato — Equipamento</t>
        </is>
      </c>
      <c r="C245" s="11" t="inlineStr">
        <is>
          <t>Comum</t>
        </is>
      </c>
      <c r="D245" s="11"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5" s="11" t="inlineStr">
        <is>
          <t>1{B}</t>
        </is>
      </c>
      <c r="F245" s="11" t="inlineStr">
        <is>
          <t>Preto</t>
        </is>
      </c>
      <c r="G245" s="8" t="n">
        <v>0.75</v>
      </c>
      <c r="H245" s="11" t="inlineStr">
        <is>
          <t>Final Fantasy</t>
        </is>
      </c>
      <c r="I245" s="11" t="inlineStr">
        <is>
          <t>Não</t>
        </is>
      </c>
      <c r="J245" s="11" t="n">
        <v>2025</v>
      </c>
      <c r="L245" s="11" t="n">
        <v>11</v>
      </c>
      <c r="M245" s="8">
        <f>L245*G245</f>
        <v/>
      </c>
      <c r="P245" s="9" t="n"/>
    </row>
    <row r="246">
      <c r="A246" s="11" t="inlineStr">
        <is>
          <t>Sephiroth's Intervention / Intervenção de Sephiroth</t>
        </is>
      </c>
      <c r="B246" s="11" t="inlineStr">
        <is>
          <t>Mágica Instantânea</t>
        </is>
      </c>
      <c r="C246" s="11" t="inlineStr">
        <is>
          <t>Comum</t>
        </is>
      </c>
      <c r="D246" s="11" t="inlineStr">
        <is>
          <t>Destrua a criatura alvo. Você ganha 2 de vida.</t>
        </is>
      </c>
      <c r="E246" s="11" t="inlineStr">
        <is>
          <t>3{B}</t>
        </is>
      </c>
      <c r="F246" s="11" t="inlineStr">
        <is>
          <t>Preto</t>
        </is>
      </c>
      <c r="G246" s="8" t="n">
        <v>0.05</v>
      </c>
      <c r="H246" s="11" t="inlineStr">
        <is>
          <t>Final Fantasy</t>
        </is>
      </c>
      <c r="I246" s="11" t="inlineStr">
        <is>
          <t>Não</t>
        </is>
      </c>
      <c r="J246" s="11" t="n">
        <v>2025</v>
      </c>
      <c r="L246" s="11" t="n">
        <v>11</v>
      </c>
      <c r="M246" s="8">
        <f>L246*G246</f>
        <v/>
      </c>
      <c r="P246" s="9" t="n"/>
    </row>
    <row r="247">
      <c r="A247" s="11" t="inlineStr">
        <is>
          <t>Circle of Power / Círculo de Poder</t>
        </is>
      </c>
      <c r="B247" s="11" t="inlineStr">
        <is>
          <t>Feitiço</t>
        </is>
      </c>
      <c r="C247" s="11" t="inlineStr">
        <is>
          <t>Incomum</t>
        </is>
      </c>
      <c r="D247" s="11"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7" s="11" t="inlineStr">
        <is>
          <t>3{B}</t>
        </is>
      </c>
      <c r="F247" s="11" t="inlineStr">
        <is>
          <t>Preto</t>
        </is>
      </c>
      <c r="G247" s="8" t="n">
        <v>0.25</v>
      </c>
      <c r="H247" s="11" t="inlineStr">
        <is>
          <t>Final Fantasy</t>
        </is>
      </c>
      <c r="I247" s="11" t="inlineStr">
        <is>
          <t>Não</t>
        </is>
      </c>
      <c r="J247" s="11" t="n">
        <v>2025</v>
      </c>
      <c r="L247" s="11" t="n">
        <v>3</v>
      </c>
      <c r="M247" s="8">
        <f>L247*G247</f>
        <v/>
      </c>
      <c r="P247" s="9" t="n"/>
    </row>
    <row r="248">
      <c r="A248" s="11" t="inlineStr">
        <is>
          <t>Ahriman / Ahriman</t>
        </is>
      </c>
      <c r="B248" s="11" t="inlineStr">
        <is>
          <t>Criatura — Olho Horror</t>
        </is>
      </c>
      <c r="C248" s="11" t="inlineStr">
        <is>
          <t>Comum</t>
        </is>
      </c>
      <c r="D248" s="11" t="inlineStr">
        <is>
          <t>Voar, toque mortífero. {3}, Sacrifique outra criatura ou artefato: Compre um card.</t>
        </is>
      </c>
      <c r="E248" s="11" t="inlineStr">
        <is>
          <t>2{B}</t>
        </is>
      </c>
      <c r="F248" s="11" t="inlineStr">
        <is>
          <t>Preto</t>
        </is>
      </c>
      <c r="G248" s="8" t="n">
        <v>0.1</v>
      </c>
      <c r="H248" s="11" t="inlineStr">
        <is>
          <t>Final Fantasy</t>
        </is>
      </c>
      <c r="I248" s="11" t="inlineStr">
        <is>
          <t>Não</t>
        </is>
      </c>
      <c r="J248" s="11" t="n">
        <v>2025</v>
      </c>
      <c r="K248" s="10" t="n">
        <v>46055</v>
      </c>
      <c r="L248" s="11" t="n">
        <v>11</v>
      </c>
      <c r="M248" s="8">
        <f>L248*G248</f>
        <v/>
      </c>
      <c r="P248" s="9" t="n"/>
    </row>
    <row r="249">
      <c r="A249" s="11" t="inlineStr">
        <is>
          <t>Ahriman / Ahriman</t>
        </is>
      </c>
      <c r="B249" s="11" t="inlineStr">
        <is>
          <t>Criatura — Olho Horror</t>
        </is>
      </c>
      <c r="C249" s="11" t="inlineStr">
        <is>
          <t>Comum</t>
        </is>
      </c>
      <c r="D249" s="11" t="inlineStr">
        <is>
          <t>Voar, toque mortífero. {3}, Sacrifique outra criatura ou artefato: Compre um card.</t>
        </is>
      </c>
      <c r="E249" s="11" t="inlineStr">
        <is>
          <t>2{B}</t>
        </is>
      </c>
      <c r="F249" s="11" t="inlineStr">
        <is>
          <t>Preto</t>
        </is>
      </c>
      <c r="G249" s="8" t="n">
        <v>0.25</v>
      </c>
      <c r="H249" s="11" t="inlineStr">
        <is>
          <t>Final Fantasy</t>
        </is>
      </c>
      <c r="I249" s="11" t="inlineStr">
        <is>
          <t>Sim</t>
        </is>
      </c>
      <c r="J249" s="11" t="n">
        <v>2025</v>
      </c>
      <c r="K249" s="10" t="n">
        <v>46055</v>
      </c>
      <c r="L249" s="11" t="n">
        <v>1</v>
      </c>
      <c r="M249" s="8">
        <f>L249*G249</f>
        <v/>
      </c>
      <c r="P249" s="9" t="n"/>
    </row>
    <row r="250">
      <c r="A250" s="11" t="inlineStr">
        <is>
          <t>Vayne's Treachery / Traição de Vayne</t>
        </is>
      </c>
      <c r="B250" s="11" t="inlineStr">
        <is>
          <t>Mágica Instantânea</t>
        </is>
      </c>
      <c r="C250" s="11" t="inlineStr">
        <is>
          <t>Comum</t>
        </is>
      </c>
      <c r="D250" s="11"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0" s="11" t="inlineStr">
        <is>
          <t>1{B}</t>
        </is>
      </c>
      <c r="F250" s="11" t="inlineStr">
        <is>
          <t>Preto</t>
        </is>
      </c>
      <c r="G250" s="8" t="n">
        <v>0.1</v>
      </c>
      <c r="H250" s="11" t="inlineStr">
        <is>
          <t>Final Fantasy</t>
        </is>
      </c>
      <c r="I250" s="11" t="inlineStr">
        <is>
          <t>Não</t>
        </is>
      </c>
      <c r="J250" s="11" t="n">
        <v>2025</v>
      </c>
      <c r="L250" s="11" t="n">
        <v>10</v>
      </c>
      <c r="M250" s="8">
        <f>L250*G250</f>
        <v/>
      </c>
      <c r="P250" s="9" t="n"/>
    </row>
    <row r="251">
      <c r="A251" s="11" t="inlineStr">
        <is>
          <t>Vayne's Treachery / Traição de Vayne</t>
        </is>
      </c>
      <c r="B251" s="11" t="inlineStr">
        <is>
          <t>Mágica Instantânea</t>
        </is>
      </c>
      <c r="C251" s="11" t="inlineStr">
        <is>
          <t>Comum</t>
        </is>
      </c>
      <c r="D251" s="11"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1" s="11" t="inlineStr">
        <is>
          <t>1{B}</t>
        </is>
      </c>
      <c r="F251" s="11" t="inlineStr">
        <is>
          <t>Preto</t>
        </is>
      </c>
      <c r="G251" s="8" t="n">
        <v>0.3</v>
      </c>
      <c r="H251" s="11" t="inlineStr">
        <is>
          <t>Final Fantasy</t>
        </is>
      </c>
      <c r="I251" s="11" t="inlineStr">
        <is>
          <t>Sim</t>
        </is>
      </c>
      <c r="J251" s="11" t="n">
        <v>2025</v>
      </c>
      <c r="L251" s="11" t="n">
        <v>1</v>
      </c>
      <c r="M251" s="8">
        <f>L251*G251</f>
        <v/>
      </c>
      <c r="P251" s="9" t="n"/>
    </row>
    <row r="252">
      <c r="A252" s="11" t="inlineStr">
        <is>
          <t>The Final Days / Os Dias Finais</t>
        </is>
      </c>
      <c r="B252" s="11" t="inlineStr">
        <is>
          <t>Feitiço</t>
        </is>
      </c>
      <c r="C252" s="11" t="inlineStr">
        <is>
          <t>Incomum</t>
        </is>
      </c>
      <c r="D252" s="11"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2" s="11" t="inlineStr">
        <is>
          <t>2{B}{B}</t>
        </is>
      </c>
      <c r="F252" s="11" t="inlineStr">
        <is>
          <t>Preto</t>
        </is>
      </c>
      <c r="G252" s="8" t="n">
        <v>0.2</v>
      </c>
      <c r="H252" s="11" t="inlineStr">
        <is>
          <t>Final Fantasy</t>
        </is>
      </c>
      <c r="I252" s="11" t="inlineStr">
        <is>
          <t>Não</t>
        </is>
      </c>
      <c r="J252" s="11" t="n">
        <v>2025</v>
      </c>
      <c r="L252" s="11" t="n">
        <v>4</v>
      </c>
      <c r="M252" s="8">
        <f>L252*G252</f>
        <v/>
      </c>
      <c r="P252" s="9" t="n"/>
    </row>
    <row r="253">
      <c r="A253" s="11" t="inlineStr">
        <is>
          <t>Vincent's Limit Break / Limit Break de Vincent</t>
        </is>
      </c>
      <c r="B253" s="11" t="inlineStr">
        <is>
          <t>Mágica Instantânea</t>
        </is>
      </c>
      <c r="C253" s="11" t="inlineStr">
        <is>
          <t>Comum</t>
        </is>
      </c>
      <c r="D253" s="11"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3" s="11" t="inlineStr">
        <is>
          <t>1{B}</t>
        </is>
      </c>
      <c r="F253" s="11" t="inlineStr">
        <is>
          <t>Preto</t>
        </is>
      </c>
      <c r="G253" s="8" t="n">
        <v>0.15</v>
      </c>
      <c r="H253" s="11" t="inlineStr">
        <is>
          <t>Final Fantasy</t>
        </is>
      </c>
      <c r="I253" s="11" t="inlineStr">
        <is>
          <t>Não</t>
        </is>
      </c>
      <c r="J253" s="11" t="n">
        <v>2025</v>
      </c>
      <c r="L253" s="11" t="n">
        <v>15</v>
      </c>
      <c r="M253" s="8">
        <f>L253*G253</f>
        <v/>
      </c>
      <c r="P253" s="9" t="n"/>
    </row>
    <row r="254">
      <c r="A254" s="11" t="inlineStr">
        <is>
          <t>Paladin's Arms</t>
        </is>
      </c>
      <c r="B254" s="11" t="inlineStr">
        <is>
          <t>Artifact — Equipment</t>
        </is>
      </c>
      <c r="C254" s="11" t="inlineStr">
        <is>
          <t>Comum</t>
        </is>
      </c>
      <c r="D254" s="11" t="inlineStr">
        <is>
          <t>Job select (When this Equipment enters, create a 1/1 colorless Hero creature token, then attach this to it.) Equipped creature gets +2/+1, has ward 1, and is a Knight in addition to its other types. Lightbringer and Hero's Shield — Equip 4</t>
        </is>
      </c>
      <c r="E254" s="11" t="inlineStr">
        <is>
          <t>2W</t>
        </is>
      </c>
      <c r="F254" s="11" t="inlineStr">
        <is>
          <t>Branca</t>
        </is>
      </c>
      <c r="G254" s="8" t="n">
        <v>0.4</v>
      </c>
      <c r="H254" s="11" t="inlineStr">
        <is>
          <t>Final Fantasy (FFXIV)</t>
        </is>
      </c>
      <c r="I254" s="11" t="inlineStr">
        <is>
          <t>Sim</t>
        </is>
      </c>
      <c r="J254" s="11" t="n">
        <v>2025</v>
      </c>
      <c r="L254" s="11" t="n">
        <v>1</v>
      </c>
      <c r="M254" s="8">
        <f>L254*G254</f>
        <v/>
      </c>
      <c r="P254" s="9" t="n"/>
    </row>
    <row r="255">
      <c r="A255" s="11" t="inlineStr">
        <is>
          <t>Paladin's Arms</t>
        </is>
      </c>
      <c r="B255" s="11" t="inlineStr">
        <is>
          <t>Artifact — Equipment</t>
        </is>
      </c>
      <c r="C255" s="11" t="inlineStr">
        <is>
          <t>Comum</t>
        </is>
      </c>
      <c r="D255" s="11" t="inlineStr">
        <is>
          <t>Job select (When this Equipment enters, create a 1/1 colorless Hero creature token, then attach this to it.) Equipped creature gets +2/+1, has ward 1, and is a Knight in addition to its other types. Lightbringer and Hero's Shield — Equip 4</t>
        </is>
      </c>
      <c r="E255" s="11" t="inlineStr">
        <is>
          <t>2W</t>
        </is>
      </c>
      <c r="F255" s="11" t="inlineStr">
        <is>
          <t>Branca</t>
        </is>
      </c>
      <c r="G255" s="8" t="n">
        <v>0.05</v>
      </c>
      <c r="H255" s="11" t="inlineStr">
        <is>
          <t>Final Fantasy (FFXIV)</t>
        </is>
      </c>
      <c r="I255" s="11" t="inlineStr">
        <is>
          <t xml:space="preserve">Não </t>
        </is>
      </c>
      <c r="J255" s="11" t="n">
        <v>2025</v>
      </c>
      <c r="L255" s="11" t="n">
        <v>11</v>
      </c>
      <c r="M255" s="8">
        <f>L255*G255</f>
        <v/>
      </c>
      <c r="P255" s="9" t="n"/>
    </row>
    <row r="256">
      <c r="A256" s="11" t="inlineStr">
        <is>
          <t>Fate of the Sun-Cryst</t>
        </is>
      </c>
      <c r="B256" s="11" t="inlineStr">
        <is>
          <t>Instant</t>
        </is>
      </c>
      <c r="C256" s="11" t="inlineStr">
        <is>
          <t>Comum</t>
        </is>
      </c>
      <c r="D256" s="11" t="inlineStr">
        <is>
          <t>This spell costs 2 less to cast if it targets a tapped creature. Destroy target nonland permanent.</t>
        </is>
      </c>
      <c r="E256" s="11" t="inlineStr">
        <is>
          <t>4W</t>
        </is>
      </c>
      <c r="F256" s="11" t="inlineStr">
        <is>
          <t>Branca</t>
        </is>
      </c>
      <c r="G256" s="8" t="n">
        <v>0.04</v>
      </c>
      <c r="H256" s="11" t="inlineStr">
        <is>
          <t>Final Fantasy (FFXII)</t>
        </is>
      </c>
      <c r="I256" s="11" t="inlineStr">
        <is>
          <t>Não</t>
        </is>
      </c>
      <c r="J256" s="11" t="n">
        <v>2025</v>
      </c>
      <c r="L256" s="11" t="n">
        <v>6</v>
      </c>
      <c r="M256" s="8">
        <f>L256*G256</f>
        <v/>
      </c>
      <c r="P256" s="9" t="n"/>
    </row>
    <row r="257">
      <c r="A257" s="11" t="inlineStr">
        <is>
          <t>You're Not Alone</t>
        </is>
      </c>
      <c r="B257" s="11" t="inlineStr">
        <is>
          <t>Instant</t>
        </is>
      </c>
      <c r="C257" s="11" t="inlineStr">
        <is>
          <t>Comum</t>
        </is>
      </c>
      <c r="D257" s="11" t="inlineStr">
        <is>
          <t>Target creature gets +2/+2 until end of turn. If you control three or more creatures, it gets +4/+4 until end of turn instead.</t>
        </is>
      </c>
      <c r="E257" s="11" t="inlineStr">
        <is>
          <t>W</t>
        </is>
      </c>
      <c r="F257" s="11" t="inlineStr">
        <is>
          <t>Branca</t>
        </is>
      </c>
      <c r="G257" s="8" t="n">
        <v>0.1</v>
      </c>
      <c r="H257" s="11" t="inlineStr">
        <is>
          <t>Final Fantasy (FFIX)</t>
        </is>
      </c>
      <c r="I257" s="11" t="inlineStr">
        <is>
          <t>Não</t>
        </is>
      </c>
      <c r="J257" s="11" t="n">
        <v>2025</v>
      </c>
      <c r="L257" s="11" t="n">
        <v>8</v>
      </c>
      <c r="M257" s="8">
        <f>L257*G257</f>
        <v/>
      </c>
      <c r="P257" s="9" t="n"/>
    </row>
    <row r="258">
      <c r="A258" s="11" t="inlineStr">
        <is>
          <t>Summon: Choco/Mog</t>
        </is>
      </c>
      <c r="B258" s="11" t="inlineStr">
        <is>
          <t>Enchantment Creature — Saga Bird Moogle</t>
        </is>
      </c>
      <c r="C258" s="11" t="inlineStr">
        <is>
          <t>Comum</t>
        </is>
      </c>
      <c r="D258" s="11" t="inlineStr">
        <is>
          <t>(As this Saga enters and after your draw step, add a lore counter. Sacrifice after IV.) I, II, III, IV — Stampede! — Other creatures you control get +1/+0 until end of turn.</t>
        </is>
      </c>
      <c r="E258" s="11" t="inlineStr">
        <is>
          <t>2W</t>
        </is>
      </c>
      <c r="F258" s="11" t="inlineStr">
        <is>
          <t>Branca</t>
        </is>
      </c>
      <c r="G258" s="8" t="n">
        <v>0.91</v>
      </c>
      <c r="H258" s="11" t="inlineStr">
        <is>
          <t>Final Fantasy (FFVII)</t>
        </is>
      </c>
      <c r="I258" s="11" t="inlineStr">
        <is>
          <t>Sim</t>
        </is>
      </c>
      <c r="J258" s="11" t="n">
        <v>2025</v>
      </c>
      <c r="K258" s="10" t="n">
        <v>46084</v>
      </c>
      <c r="L258" s="11" t="n">
        <v>1</v>
      </c>
      <c r="M258" s="8">
        <f>L258*G258</f>
        <v/>
      </c>
      <c r="P258" s="9" t="n"/>
    </row>
    <row r="259">
      <c r="A259" s="11" t="inlineStr">
        <is>
          <t>Dwarven Castle Guard</t>
        </is>
      </c>
      <c r="B259" s="11" t="inlineStr">
        <is>
          <t>Creature — Dwarf Soldier</t>
        </is>
      </c>
      <c r="C259" s="11" t="inlineStr">
        <is>
          <t>Comum</t>
        </is>
      </c>
      <c r="D259" s="11" t="inlineStr">
        <is>
          <t>When this creature dies, create a 1/1 colorless Hero creature token.</t>
        </is>
      </c>
      <c r="E259" s="11" t="inlineStr">
        <is>
          <t>1W</t>
        </is>
      </c>
      <c r="F259" s="11" t="inlineStr">
        <is>
          <t>Branca</t>
        </is>
      </c>
      <c r="G259" s="8" t="n">
        <v>0.2</v>
      </c>
      <c r="H259" s="11" t="inlineStr">
        <is>
          <t>Final Fantasy (FFIV)</t>
        </is>
      </c>
      <c r="I259" s="11" t="inlineStr">
        <is>
          <t>Sim</t>
        </is>
      </c>
      <c r="J259" s="11" t="n">
        <v>2025</v>
      </c>
      <c r="K259" s="10" t="n">
        <v>46024</v>
      </c>
      <c r="L259" s="11" t="n">
        <v>1</v>
      </c>
      <c r="M259" s="8">
        <f>L259*G259</f>
        <v/>
      </c>
      <c r="P259" s="9" t="n"/>
    </row>
    <row r="260">
      <c r="A260" s="11" t="inlineStr">
        <is>
          <t>Dwarven Castle Guard</t>
        </is>
      </c>
      <c r="B260" s="11" t="inlineStr">
        <is>
          <t>Creature — Dwarf Soldier</t>
        </is>
      </c>
      <c r="C260" s="11" t="inlineStr">
        <is>
          <t>Comum</t>
        </is>
      </c>
      <c r="D260" s="11" t="inlineStr">
        <is>
          <t>When this creature dies, create a 1/1 colorless Hero creature token.</t>
        </is>
      </c>
      <c r="E260" s="11" t="inlineStr">
        <is>
          <t>1W</t>
        </is>
      </c>
      <c r="F260" s="11" t="inlineStr">
        <is>
          <t>Branca</t>
        </is>
      </c>
      <c r="G260" s="8" t="n">
        <v>0.05</v>
      </c>
      <c r="H260" s="11" t="inlineStr">
        <is>
          <t>Final Fantasy (FFIV)</t>
        </is>
      </c>
      <c r="I260" s="11" t="inlineStr">
        <is>
          <t>Não</t>
        </is>
      </c>
      <c r="J260" s="11" t="n">
        <v>2025</v>
      </c>
      <c r="K260" s="10" t="n">
        <v>46024</v>
      </c>
      <c r="L260" s="11" t="n">
        <v>12</v>
      </c>
      <c r="M260" s="8">
        <f>L260*G260</f>
        <v/>
      </c>
      <c r="P260" s="9" t="n"/>
    </row>
    <row r="261">
      <c r="A261" s="11" t="inlineStr">
        <is>
          <t>Summon: Choco/Mog</t>
        </is>
      </c>
      <c r="B261" s="11" t="inlineStr">
        <is>
          <t>Enchantment Creature — Saga Bird Moogle</t>
        </is>
      </c>
      <c r="C261" s="11" t="inlineStr">
        <is>
          <t>Comum</t>
        </is>
      </c>
      <c r="D261" s="11" t="inlineStr">
        <is>
          <t>(As this Saga enters and after your draw step, add a lore counter. Sacrifice after IV.) I, II, III, IV — Stampede! — Other creatures you control get +1/+0 until end of turn.</t>
        </is>
      </c>
      <c r="E261" s="11" t="inlineStr">
        <is>
          <t>2W</t>
        </is>
      </c>
      <c r="F261" s="11" t="inlineStr">
        <is>
          <t>Branca</t>
        </is>
      </c>
      <c r="G261" s="8" t="n">
        <v>0.14</v>
      </c>
      <c r="H261" s="11" t="inlineStr">
        <is>
          <t>Final Fantasy (FFVII)</t>
        </is>
      </c>
      <c r="I261" s="11" t="inlineStr">
        <is>
          <t xml:space="preserve">Não </t>
        </is>
      </c>
      <c r="J261" s="11" t="n">
        <v>2025</v>
      </c>
      <c r="K261" s="10" t="n">
        <v>46084</v>
      </c>
      <c r="L261" s="11" t="n">
        <v>10</v>
      </c>
      <c r="M261" s="8">
        <f>L261*G261</f>
        <v/>
      </c>
      <c r="P261" s="9" t="n"/>
    </row>
    <row r="262">
      <c r="A262" s="11" t="inlineStr">
        <is>
          <t>The Imperial City of Archades // Wall of Omens / A Cidade Imperial de Archades // Barreira de Augúrios</t>
        </is>
      </c>
      <c r="B262" s="11" t="inlineStr">
        <is>
          <t>Criatura — Barreira</t>
        </is>
      </c>
      <c r="C262" s="11" t="inlineStr">
        <is>
          <t>Incomum</t>
        </is>
      </c>
      <c r="D262" s="11" t="inlineStr">
        <is>
          <t>Defensor. Quando esta criatura entrar, compre um card.</t>
        </is>
      </c>
      <c r="E262" s="11" t="inlineStr">
        <is>
          <t>1{W}</t>
        </is>
      </c>
      <c r="F262" s="11" t="inlineStr">
        <is>
          <t>Branco</t>
        </is>
      </c>
      <c r="G262" s="8" t="n">
        <v>1.36</v>
      </c>
      <c r="H262" s="11" t="inlineStr">
        <is>
          <t>Final Fantasy</t>
        </is>
      </c>
      <c r="I262" s="11" t="inlineStr">
        <is>
          <t>Não</t>
        </is>
      </c>
      <c r="J262" s="11" t="n">
        <v>2025</v>
      </c>
      <c r="K262" s="11" t="inlineStr">
        <is>
          <t>0/4</t>
        </is>
      </c>
      <c r="L262" s="11" t="n">
        <v>1</v>
      </c>
      <c r="M262" s="8">
        <f>L262*G262</f>
        <v/>
      </c>
      <c r="P262" s="9" t="n"/>
    </row>
    <row r="263">
      <c r="A263" s="11" t="inlineStr">
        <is>
          <t>Squall Leonhart // Danitha Capashen, Paragon / Squall Leonhart // Danitha Capashen, Exemplar</t>
        </is>
      </c>
      <c r="B263" s="11" t="inlineStr">
        <is>
          <t>Criatura Lendária — Humano Cavaleiro</t>
        </is>
      </c>
      <c r="C263" s="11" t="inlineStr">
        <is>
          <t>Incomum</t>
        </is>
      </c>
      <c r="D263" s="11" t="inlineStr">
        <is>
          <t>Iniciativa, vigilância, vínculo com a vida. As mágicas de Aura e de Equipamento que você conjura custam {1} a menos para serem conjuradas.</t>
        </is>
      </c>
      <c r="E263" s="11" t="inlineStr">
        <is>
          <t>2{W}</t>
        </is>
      </c>
      <c r="F263" s="11" t="inlineStr">
        <is>
          <t>Branco</t>
        </is>
      </c>
      <c r="G263" s="8" t="n">
        <v>1.85</v>
      </c>
      <c r="H263" s="11" t="inlineStr">
        <is>
          <t>Final Fantasy</t>
        </is>
      </c>
      <c r="I263" s="11" t="inlineStr">
        <is>
          <t>Não</t>
        </is>
      </c>
      <c r="J263" s="11" t="n">
        <v>2025</v>
      </c>
      <c r="K263" s="10" t="n">
        <v>46055</v>
      </c>
      <c r="L263" s="11" t="n">
        <v>1</v>
      </c>
      <c r="M263" s="8">
        <f>L263*G263</f>
        <v/>
      </c>
      <c r="P263" s="9" t="n"/>
    </row>
    <row r="264">
      <c r="A264" s="11" t="inlineStr">
        <is>
          <t>From Father to Son / De Pai para Filho</t>
        </is>
      </c>
      <c r="B264" s="11" t="inlineStr">
        <is>
          <t>Feitiço</t>
        </is>
      </c>
      <c r="C264" s="11" t="inlineStr">
        <is>
          <t>Rara</t>
        </is>
      </c>
      <c r="D264" s="11"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4" s="11" t="inlineStr">
        <is>
          <t>1{W}</t>
        </is>
      </c>
      <c r="F264" s="11" t="inlineStr">
        <is>
          <t>Branco</t>
        </is>
      </c>
      <c r="G264" s="8" t="n">
        <v>0.74</v>
      </c>
      <c r="H264" s="11" t="inlineStr">
        <is>
          <t>Final Fantasy</t>
        </is>
      </c>
      <c r="I264" s="11" t="inlineStr">
        <is>
          <t>Não</t>
        </is>
      </c>
      <c r="J264" s="11" t="n">
        <v>2025</v>
      </c>
      <c r="L264" s="11" t="n">
        <v>1</v>
      </c>
      <c r="M264" s="8">
        <f>L264*G264</f>
        <v/>
      </c>
      <c r="P264" s="9" t="n"/>
    </row>
    <row r="265">
      <c r="A265" s="11" t="inlineStr">
        <is>
          <t>Machinist's Arsenal / Arsenal do Maquinista</t>
        </is>
      </c>
      <c r="B265" s="11" t="inlineStr">
        <is>
          <t>Artefato — Equipamento</t>
        </is>
      </c>
      <c r="C265" s="11" t="inlineStr">
        <is>
          <t>Rara</t>
        </is>
      </c>
      <c r="D265" s="11"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5" s="11" t="inlineStr">
        <is>
          <t>4{W}</t>
        </is>
      </c>
      <c r="F265" s="11" t="inlineStr">
        <is>
          <t>Branco</t>
        </is>
      </c>
      <c r="G265" s="8" t="n">
        <v>1</v>
      </c>
      <c r="H265" s="11" t="inlineStr">
        <is>
          <t>Final Fantasy</t>
        </is>
      </c>
      <c r="I265" s="11" t="inlineStr">
        <is>
          <t>Não</t>
        </is>
      </c>
      <c r="J265" s="11" t="n">
        <v>2025</v>
      </c>
      <c r="L265" s="11" t="n">
        <v>1</v>
      </c>
      <c r="M265" s="8">
        <f>L265*G265</f>
        <v/>
      </c>
      <c r="P265" s="9" t="n"/>
    </row>
    <row r="266">
      <c r="A266" s="11" t="inlineStr">
        <is>
          <t>Minwu, White Mage / Minwu, Mago Branco</t>
        </is>
      </c>
      <c r="B266" s="11" t="inlineStr">
        <is>
          <t>Criatura Lendária — Humano Clérigo</t>
        </is>
      </c>
      <c r="C266" s="11" t="inlineStr">
        <is>
          <t>Rara</t>
        </is>
      </c>
      <c r="D266" s="11" t="inlineStr">
        <is>
          <t>Vigilância, vínculo com a vida. Sempre que você ganhar vida, coloque um marcador +1/+1 em cada Clérigo que você controla.</t>
        </is>
      </c>
      <c r="E266" s="11" t="inlineStr">
        <is>
          <t>3{W}{W}</t>
        </is>
      </c>
      <c r="F266" s="11" t="inlineStr">
        <is>
          <t>Branco</t>
        </is>
      </c>
      <c r="G266" s="8" t="n">
        <v>0.66</v>
      </c>
      <c r="H266" s="11" t="inlineStr">
        <is>
          <t>Final Fantasy</t>
        </is>
      </c>
      <c r="I266" s="11" t="inlineStr">
        <is>
          <t>Não</t>
        </is>
      </c>
      <c r="J266" s="11" t="n">
        <v>2025</v>
      </c>
      <c r="K266" s="10" t="n">
        <v>46084</v>
      </c>
      <c r="L266" s="11" t="n">
        <v>3</v>
      </c>
      <c r="M266" s="8">
        <f>L266*G266</f>
        <v/>
      </c>
      <c r="P266" s="9" t="n"/>
    </row>
    <row r="267">
      <c r="A267" s="11" t="inlineStr">
        <is>
          <t>Minwu, White Mage / Minwu, Mago Branco</t>
        </is>
      </c>
      <c r="B267" s="11" t="inlineStr">
        <is>
          <t>Criatura Lendária — Humano Clérigo</t>
        </is>
      </c>
      <c r="C267" s="11" t="inlineStr">
        <is>
          <t>Rara</t>
        </is>
      </c>
      <c r="D267" s="11" t="inlineStr">
        <is>
          <t>Vigilância, vínculo com a vida. Sempre que você ganhar vida, coloque um marcador +1/+1 em cada Clérigo que você controla.</t>
        </is>
      </c>
      <c r="E267" s="11" t="inlineStr">
        <is>
          <t>3{W}{W}</t>
        </is>
      </c>
      <c r="F267" s="11" t="inlineStr">
        <is>
          <t>Branco</t>
        </is>
      </c>
      <c r="G267" s="8" t="n">
        <v>1.09</v>
      </c>
      <c r="H267" s="11" t="inlineStr">
        <is>
          <t>Final Fantasy</t>
        </is>
      </c>
      <c r="I267" s="11" t="inlineStr">
        <is>
          <t>Sim</t>
        </is>
      </c>
      <c r="J267" s="11" t="n">
        <v>2025</v>
      </c>
      <c r="K267" s="10" t="n">
        <v>46084</v>
      </c>
      <c r="L267" s="11" t="n">
        <v>1</v>
      </c>
      <c r="M267" s="8">
        <f>L267*G267</f>
        <v/>
      </c>
      <c r="P267" s="9" t="n"/>
    </row>
    <row r="268">
      <c r="A268" s="11" t="inlineStr">
        <is>
          <t>Venat, Heart of Hydaelyn / Venat, Coração de Hydaelyn</t>
        </is>
      </c>
      <c r="B268" s="11" t="inlineStr">
        <is>
          <t>Criatura Lendária — Ancião Mago</t>
        </is>
      </c>
      <c r="C268" s="11" t="inlineStr">
        <is>
          <t>Rara</t>
        </is>
      </c>
      <c r="D268" s="11" t="inlineStr">
        <is>
          <t>Sempre que você conjurar uma mágica lendária, compre um card. Esta habilidade é despoletada apenas uma vez a cada turno. Ruína do Herói — {7}, {T}: Exile a permanente alvo que não seja um terreno. Transforme Venat. Ative somente como um feitiço.</t>
        </is>
      </c>
      <c r="E268" s="11" t="inlineStr">
        <is>
          <t>1{W}{W}</t>
        </is>
      </c>
      <c r="F268" s="11" t="inlineStr">
        <is>
          <t>Branco</t>
        </is>
      </c>
      <c r="G268" s="8" t="n">
        <v>4</v>
      </c>
      <c r="H268" s="11" t="inlineStr">
        <is>
          <t>Final Fantasy</t>
        </is>
      </c>
      <c r="I268" s="11" t="inlineStr">
        <is>
          <t>Não</t>
        </is>
      </c>
      <c r="J268" s="11" t="n">
        <v>2025</v>
      </c>
      <c r="K268" s="10" t="n">
        <v>46084</v>
      </c>
      <c r="L268" s="11" t="n">
        <v>1</v>
      </c>
      <c r="M268" s="8">
        <f>L268*G268</f>
        <v/>
      </c>
      <c r="P268" s="9" t="n"/>
    </row>
    <row r="269">
      <c r="A269" s="11" t="inlineStr">
        <is>
          <t>Phoenix Down / Pluma de Fênix</t>
        </is>
      </c>
      <c r="B269" s="11" t="inlineStr">
        <is>
          <t>Artefato</t>
        </is>
      </c>
      <c r="C269" s="11" t="inlineStr">
        <is>
          <t>Incomum</t>
        </is>
      </c>
      <c r="D269" s="11" t="inlineStr">
        <is>
          <t>{1}{W}, {T}, Exile este artefato: Escolha um — • Devolva o card de criatura alvo com valor de mana igual ou inferior a 4 de seu cemitério para o campo de batalha virado. • Exile o Esqueleto, Espírito ou Zumbi alvo.</t>
        </is>
      </c>
      <c r="E269" s="11" t="inlineStr">
        <is>
          <t>{W}</t>
        </is>
      </c>
      <c r="F269" s="11" t="inlineStr">
        <is>
          <t>Branco</t>
        </is>
      </c>
      <c r="G269" s="8" t="n">
        <v>0.2</v>
      </c>
      <c r="H269" s="11" t="inlineStr">
        <is>
          <t>Final Fantasy</t>
        </is>
      </c>
      <c r="I269" s="11" t="inlineStr">
        <is>
          <t>Não</t>
        </is>
      </c>
      <c r="J269" s="11" t="n">
        <v>2025</v>
      </c>
      <c r="L269" s="11" t="n">
        <v>1</v>
      </c>
      <c r="M269" s="8">
        <f>L269*G269</f>
        <v/>
      </c>
      <c r="P269" s="9" t="n"/>
    </row>
    <row r="270">
      <c r="A270" s="11" t="inlineStr">
        <is>
          <t>Phoenix Down / Pluma de Fênix</t>
        </is>
      </c>
      <c r="B270" s="11" t="inlineStr">
        <is>
          <t>Artefato</t>
        </is>
      </c>
      <c r="C270" s="11" t="inlineStr">
        <is>
          <t>Incomum</t>
        </is>
      </c>
      <c r="D270" s="11" t="inlineStr">
        <is>
          <t>{1}{W}, {T}, Exile este artefato: Escolha um — • Devolva o card de criatura alvo com valor de mana igual ou inferior a 4 de seu cemitério para o campo de batalha virado. • Exile o Esqueleto, Espírito ou Zumbi alvo.</t>
        </is>
      </c>
      <c r="E270" s="11" t="inlineStr">
        <is>
          <t>{W}</t>
        </is>
      </c>
      <c r="F270" s="11" t="inlineStr">
        <is>
          <t>Branco</t>
        </is>
      </c>
      <c r="G270" s="8" t="n">
        <v>0.85</v>
      </c>
      <c r="H270" s="11" t="inlineStr">
        <is>
          <t>Final Fantasy</t>
        </is>
      </c>
      <c r="I270" s="11" t="inlineStr">
        <is>
          <t>Sim</t>
        </is>
      </c>
      <c r="J270" s="11" t="n">
        <v>2025</v>
      </c>
      <c r="L270" s="11" t="n">
        <v>1</v>
      </c>
      <c r="M270" s="8">
        <f>L270*G270</f>
        <v/>
      </c>
      <c r="P270" s="9" t="n"/>
    </row>
    <row r="271">
      <c r="A271" s="11" t="inlineStr">
        <is>
          <t>Snow Villiers / Snow Villiers</t>
        </is>
      </c>
      <c r="B271" s="11" t="inlineStr">
        <is>
          <t>Criatura Lendária — Humano Rebelde Monge</t>
        </is>
      </c>
      <c r="C271" s="11" t="inlineStr">
        <is>
          <t>Incomum</t>
        </is>
      </c>
      <c r="D271" s="11" t="inlineStr">
        <is>
          <t>Vigilância. O poder de Snow Villiers é igual ao número de criaturas que você controla.</t>
        </is>
      </c>
      <c r="E271" s="11" t="inlineStr">
        <is>
          <t>2{W}</t>
        </is>
      </c>
      <c r="F271" s="11" t="inlineStr">
        <is>
          <t>Branco</t>
        </is>
      </c>
      <c r="G271" s="8" t="n">
        <v>0.19</v>
      </c>
      <c r="H271" s="11" t="inlineStr">
        <is>
          <t>Final Fantasy</t>
        </is>
      </c>
      <c r="I271" s="11" t="inlineStr">
        <is>
          <t>Não</t>
        </is>
      </c>
      <c r="J271" s="11" t="n">
        <v>2025</v>
      </c>
      <c r="K271" s="11" t="inlineStr">
        <is>
          <t>*/3</t>
        </is>
      </c>
      <c r="L271" s="11" t="n">
        <v>2</v>
      </c>
      <c r="M271" s="8">
        <f>L271*G271</f>
        <v/>
      </c>
      <c r="P271" s="9" t="n"/>
    </row>
    <row r="272">
      <c r="A272" s="11" t="inlineStr">
        <is>
          <t>Delivery Moogle / Moogle das Entregas</t>
        </is>
      </c>
      <c r="B272" s="11" t="inlineStr">
        <is>
          <t>Criatura — Moogle</t>
        </is>
      </c>
      <c r="C272" s="11" t="inlineStr">
        <is>
          <t>Incomum</t>
        </is>
      </c>
      <c r="D272" s="11" t="inlineStr">
        <is>
          <t>Voar. Quando esta criatura entrar, procure em seu grimório e/ou cemitério por um card de artefato com valor de mana igual ou inferior a 2, revele-o e coloque-o em sua mão. Se procurar em seu grimório deste modo, embaralhe.</t>
        </is>
      </c>
      <c r="E272" s="11" t="inlineStr">
        <is>
          <t>3{W}</t>
        </is>
      </c>
      <c r="F272" s="11" t="inlineStr">
        <is>
          <t>Branco</t>
        </is>
      </c>
      <c r="G272" s="8" t="n">
        <v>0.24</v>
      </c>
      <c r="H272" s="11" t="inlineStr">
        <is>
          <t>Final Fantasy</t>
        </is>
      </c>
      <c r="I272" s="11" t="inlineStr">
        <is>
          <t>Não</t>
        </is>
      </c>
      <c r="J272" s="11" t="n">
        <v>2025</v>
      </c>
      <c r="K272" s="10" t="n">
        <v>46056</v>
      </c>
      <c r="L272" s="11" t="n">
        <v>4</v>
      </c>
      <c r="M272" s="8">
        <f>L272*G272</f>
        <v/>
      </c>
      <c r="P272" s="9" t="n"/>
    </row>
    <row r="273">
      <c r="A273" s="11" t="inlineStr">
        <is>
          <t>Ashe, Princess of Dalmasca / Ashe, Princesa de Dalmasca</t>
        </is>
      </c>
      <c r="B273" s="11" t="inlineStr">
        <is>
          <t>Criatura Lendária — Humano Rebelde Nobre</t>
        </is>
      </c>
      <c r="C273" s="11" t="inlineStr">
        <is>
          <t>Incomum</t>
        </is>
      </c>
      <c r="D273" s="11" t="inlineStr">
        <is>
          <t>Sempre que Ashe atacar, olhe os cinco cards do topo de seu grimório. Você pode revelar um card de artefato dentre eles e colocá-lo em sua mão. Coloque o restante no fundo de seu grimório em ordem aleatória.</t>
        </is>
      </c>
      <c r="E273" s="11" t="inlineStr">
        <is>
          <t>2{W}</t>
        </is>
      </c>
      <c r="F273" s="11" t="inlineStr">
        <is>
          <t>Branco</t>
        </is>
      </c>
      <c r="G273" s="8" t="n">
        <v>0.24</v>
      </c>
      <c r="H273" s="11" t="inlineStr">
        <is>
          <t>Final Fantasy</t>
        </is>
      </c>
      <c r="I273" s="11" t="inlineStr">
        <is>
          <t>Não</t>
        </is>
      </c>
      <c r="J273" s="11" t="n">
        <v>2025</v>
      </c>
      <c r="K273" s="10" t="n">
        <v>46056</v>
      </c>
      <c r="L273" s="11" t="n">
        <v>2</v>
      </c>
      <c r="M273" s="8">
        <f>L273*G273</f>
        <v/>
      </c>
      <c r="P273" s="9" t="n"/>
    </row>
    <row r="274">
      <c r="A274" s="11" t="inlineStr">
        <is>
          <t>Gaelicat / Gato Gaélico</t>
        </is>
      </c>
      <c r="B274" s="11" t="inlineStr">
        <is>
          <t>Criatura — Gato</t>
        </is>
      </c>
      <c r="C274" s="11" t="inlineStr">
        <is>
          <t>Comum</t>
        </is>
      </c>
      <c r="D274" s="11" t="inlineStr">
        <is>
          <t>Voar, vigilância. Enquanto você controlar dois ou mais artefatos, esta criatura receberá +2/+0.</t>
        </is>
      </c>
      <c r="E274" s="11" t="inlineStr">
        <is>
          <t>2{W}</t>
        </is>
      </c>
      <c r="F274" s="11" t="inlineStr">
        <is>
          <t>Branco</t>
        </is>
      </c>
      <c r="G274" s="8" t="n">
        <v>0.05</v>
      </c>
      <c r="H274" s="11" t="inlineStr">
        <is>
          <t>Final Fantasy</t>
        </is>
      </c>
      <c r="I274" s="11" t="inlineStr">
        <is>
          <t>Não</t>
        </is>
      </c>
      <c r="J274" s="11" t="n">
        <v>2025</v>
      </c>
      <c r="K274" s="10" t="n">
        <v>46082</v>
      </c>
      <c r="L274" s="11" t="n">
        <v>7</v>
      </c>
      <c r="M274" s="8">
        <f>L274*G274</f>
        <v/>
      </c>
      <c r="P274" s="9" t="n"/>
    </row>
    <row r="275">
      <c r="A275" s="11" t="inlineStr">
        <is>
          <t>Gaelicat / Gato Gaélico</t>
        </is>
      </c>
      <c r="B275" s="11" t="inlineStr">
        <is>
          <t>Criatura — Gato</t>
        </is>
      </c>
      <c r="C275" s="11" t="inlineStr">
        <is>
          <t>Comum</t>
        </is>
      </c>
      <c r="D275" s="11" t="inlineStr">
        <is>
          <t>Voar, vigilância. Enquanto você controlar dois ou mais artefatos, esta criatura receberá +2/+0.</t>
        </is>
      </c>
      <c r="E275" s="11" t="inlineStr">
        <is>
          <t>2{W}</t>
        </is>
      </c>
      <c r="F275" s="11" t="inlineStr">
        <is>
          <t>Branco</t>
        </is>
      </c>
      <c r="G275" s="8" t="n">
        <v>0.25</v>
      </c>
      <c r="H275" s="11" t="inlineStr">
        <is>
          <t>Final Fantasy</t>
        </is>
      </c>
      <c r="I275" s="11" t="inlineStr">
        <is>
          <t>Sim</t>
        </is>
      </c>
      <c r="J275" s="11" t="n">
        <v>2025</v>
      </c>
      <c r="K275" s="10" t="n">
        <v>46082</v>
      </c>
      <c r="L275" s="11" t="n">
        <v>2</v>
      </c>
      <c r="M275" s="8">
        <f>L275*G275</f>
        <v/>
      </c>
      <c r="P275" s="9" t="n"/>
    </row>
    <row r="276">
      <c r="A276" s="11" t="inlineStr">
        <is>
          <t>Magitek Infantry / Infantaria Magitek</t>
        </is>
      </c>
      <c r="B276" s="11" t="inlineStr">
        <is>
          <t>Criatura Artefato — Robô Soldado</t>
        </is>
      </c>
      <c r="C276" s="11" t="inlineStr">
        <is>
          <t>Comum</t>
        </is>
      </c>
      <c r="D276" s="11" t="inlineStr">
        <is>
          <t>Esta criatura recebe +1/+0 enquanto você controlar outro artefato. {2}{W}: Procure em seu grimório por um card chamado Infantaria Magitek, coloque-o no campo de batalha virado e depois embaralhe.</t>
        </is>
      </c>
      <c r="E276" s="11" t="inlineStr">
        <is>
          <t>{W}</t>
        </is>
      </c>
      <c r="F276" s="11" t="inlineStr">
        <is>
          <t>Branco</t>
        </is>
      </c>
      <c r="G276" s="8" t="n">
        <v>0.05</v>
      </c>
      <c r="H276" s="11" t="inlineStr">
        <is>
          <t>Final Fantasy</t>
        </is>
      </c>
      <c r="I276" s="11" t="inlineStr">
        <is>
          <t>Não</t>
        </is>
      </c>
      <c r="J276" s="11" t="n">
        <v>2025</v>
      </c>
      <c r="K276" s="10" t="n">
        <v>46023</v>
      </c>
      <c r="L276" s="11" t="n">
        <v>9</v>
      </c>
      <c r="M276" s="8">
        <f>L276*G276</f>
        <v/>
      </c>
      <c r="P276" s="9" t="n"/>
    </row>
    <row r="277">
      <c r="A277" s="11" t="inlineStr">
        <is>
          <t>Magitek Infantry / Infantaria Magitek</t>
        </is>
      </c>
      <c r="B277" s="11" t="inlineStr">
        <is>
          <t>Criatura Artefato — Robô Soldado</t>
        </is>
      </c>
      <c r="C277" s="11" t="inlineStr">
        <is>
          <t>Comum</t>
        </is>
      </c>
      <c r="D277" s="11" t="inlineStr">
        <is>
          <t>Esta criatura recebe +1/+0 enquanto você controlar outro artefato. {2}{W}: Procure em seu grimório por um card chamado Infantaria Magitek, coloque-o no campo de batalha virado e depois embaralhe.</t>
        </is>
      </c>
      <c r="E277" s="11" t="inlineStr">
        <is>
          <t>{W}</t>
        </is>
      </c>
      <c r="F277" s="11" t="inlineStr">
        <is>
          <t>Branco</t>
        </is>
      </c>
      <c r="G277" s="8" t="n">
        <v>0.4</v>
      </c>
      <c r="H277" s="11" t="inlineStr">
        <is>
          <t>Final Fantasy</t>
        </is>
      </c>
      <c r="I277" s="11" t="inlineStr">
        <is>
          <t>Sim</t>
        </is>
      </c>
      <c r="J277" s="11" t="n">
        <v>2025</v>
      </c>
      <c r="K277" s="10" t="n">
        <v>46023</v>
      </c>
      <c r="L277" s="11" t="n">
        <v>1</v>
      </c>
      <c r="M277" s="8">
        <f>L277*G277</f>
        <v/>
      </c>
      <c r="P277" s="9" t="n"/>
    </row>
    <row r="278">
      <c r="A278" s="11" t="inlineStr">
        <is>
          <t>White Auracite / Auracita Branca</t>
        </is>
      </c>
      <c r="B278" s="11" t="inlineStr">
        <is>
          <t>Artefato</t>
        </is>
      </c>
      <c r="C278" s="11" t="inlineStr">
        <is>
          <t>Comum</t>
        </is>
      </c>
      <c r="D278" s="11" t="inlineStr">
        <is>
          <t>Quando este artefato entrar, exile a permanente alvo que não seja um terreno que um oponente controla até que este artefato deixe o campo de batalha. {T}: Adicione {W}.</t>
        </is>
      </c>
      <c r="E278" s="11" t="inlineStr">
        <is>
          <t>2{W}{W}</t>
        </is>
      </c>
      <c r="F278" s="11" t="inlineStr">
        <is>
          <t>Branco</t>
        </is>
      </c>
      <c r="G278" s="8" t="n">
        <v>0.1</v>
      </c>
      <c r="H278" s="11" t="inlineStr">
        <is>
          <t>Final Fantasy</t>
        </is>
      </c>
      <c r="I278" s="11" t="inlineStr">
        <is>
          <t>Não</t>
        </is>
      </c>
      <c r="J278" s="11" t="n">
        <v>2025</v>
      </c>
      <c r="L278" s="11" t="n">
        <v>10</v>
      </c>
      <c r="M278" s="8">
        <f>L278*G278</f>
        <v/>
      </c>
      <c r="P278" s="9" t="n"/>
    </row>
    <row r="279">
      <c r="A279" s="11" t="inlineStr">
        <is>
          <t>White Auracite / Auracita Branca</t>
        </is>
      </c>
      <c r="B279" s="11" t="inlineStr">
        <is>
          <t>Artefato</t>
        </is>
      </c>
      <c r="C279" s="11" t="inlineStr">
        <is>
          <t>Comum</t>
        </is>
      </c>
      <c r="D279" s="11" t="inlineStr">
        <is>
          <t>Quando este artefato entrar, exile a permanente alvo que não seja um terreno que um oponente controla até que este artefato deixe o campo de batalha. {T}: Adicione {W}.</t>
        </is>
      </c>
      <c r="E279" s="11" t="inlineStr">
        <is>
          <t>2{W}{W}</t>
        </is>
      </c>
      <c r="F279" s="11" t="inlineStr">
        <is>
          <t>Branco</t>
        </is>
      </c>
      <c r="G279" s="8" t="n">
        <v>0.35</v>
      </c>
      <c r="H279" s="11" t="inlineStr">
        <is>
          <t>Final Fantasy</t>
        </is>
      </c>
      <c r="I279" s="11" t="inlineStr">
        <is>
          <t>Sim</t>
        </is>
      </c>
      <c r="J279" s="11" t="n">
        <v>2025</v>
      </c>
      <c r="L279" s="11" t="n">
        <v>1</v>
      </c>
      <c r="M279" s="8">
        <f>L279*G279</f>
        <v/>
      </c>
      <c r="P279" s="9" t="n"/>
    </row>
    <row r="280">
      <c r="A280" s="11" t="inlineStr">
        <is>
          <t>Weapons Vendor / Vendedor de Armas</t>
        </is>
      </c>
      <c r="B280" s="11" t="inlineStr">
        <is>
          <t>Criatura — Humano Artífice</t>
        </is>
      </c>
      <c r="C280" s="11" t="inlineStr">
        <is>
          <t>Comum</t>
        </is>
      </c>
      <c r="D280" s="11" t="inlineStr">
        <is>
          <t>Quando esta criatura entrar, compre um card. No início do combate no seu turno, se você controlar um Equipamento, você pode pagar {1}. Quando fizer isso, anexe o Equipamento alvo que você controla à criatura alvo que você controla.</t>
        </is>
      </c>
      <c r="E280" s="11" t="inlineStr">
        <is>
          <t>3{W}</t>
        </is>
      </c>
      <c r="F280" s="11" t="inlineStr">
        <is>
          <t>Branco</t>
        </is>
      </c>
      <c r="G280" s="8" t="n">
        <v>0.1</v>
      </c>
      <c r="H280" s="11" t="inlineStr">
        <is>
          <t>Final Fantasy</t>
        </is>
      </c>
      <c r="I280" s="11" t="inlineStr">
        <is>
          <t>Não</t>
        </is>
      </c>
      <c r="J280" s="11" t="n">
        <v>2025</v>
      </c>
      <c r="K280" s="10" t="n">
        <v>46055</v>
      </c>
      <c r="L280" s="11" t="n">
        <v>10</v>
      </c>
      <c r="M280" s="8">
        <f>L280*G280</f>
        <v/>
      </c>
      <c r="P280" s="9" t="n"/>
    </row>
    <row r="281">
      <c r="A281" s="11" t="inlineStr">
        <is>
          <t>Weapons Vendor / Vendedor de Armas</t>
        </is>
      </c>
      <c r="B281" s="11" t="inlineStr">
        <is>
          <t>Criatura — Humano Artífice</t>
        </is>
      </c>
      <c r="C281" s="11" t="inlineStr">
        <is>
          <t>Comum</t>
        </is>
      </c>
      <c r="D281" s="11" t="inlineStr">
        <is>
          <t>Quando esta criatura entrar, compre um card. No início do combate no seu turno, se você controlar um Equipamento, você pode pagar {1}. Quando fizer isso, anexe o Equipamento alvo que você controla à criatura alvo que você controla.</t>
        </is>
      </c>
      <c r="E281" s="11" t="inlineStr">
        <is>
          <t>3{W}</t>
        </is>
      </c>
      <c r="F281" s="11" t="inlineStr">
        <is>
          <t>Branco</t>
        </is>
      </c>
      <c r="G281" s="8" t="n">
        <v>0.25</v>
      </c>
      <c r="H281" s="11" t="inlineStr">
        <is>
          <t>Final Fantasy</t>
        </is>
      </c>
      <c r="I281" s="11" t="inlineStr">
        <is>
          <t>Sim</t>
        </is>
      </c>
      <c r="J281" s="11" t="n">
        <v>2025</v>
      </c>
      <c r="K281" s="10" t="n">
        <v>46055</v>
      </c>
      <c r="L281" s="11" t="n">
        <v>1</v>
      </c>
      <c r="M281" s="8">
        <f>L281*G281</f>
        <v/>
      </c>
      <c r="P281" s="9" t="n"/>
    </row>
    <row r="282">
      <c r="A282" s="11" t="inlineStr">
        <is>
          <t>Sidequest: Catch a Fish / Missão Secundária: Pegar um Peixe</t>
        </is>
      </c>
      <c r="B282" s="11" t="inlineStr">
        <is>
          <t>Encantamento</t>
        </is>
      </c>
      <c r="C282" s="11" t="inlineStr">
        <is>
          <t>Incomum</t>
        </is>
      </c>
      <c r="D282" s="11"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2" s="11" t="inlineStr">
        <is>
          <t>2{W}</t>
        </is>
      </c>
      <c r="F282" s="11" t="inlineStr">
        <is>
          <t>Branco</t>
        </is>
      </c>
      <c r="G282" s="8" t="n">
        <v>0.19</v>
      </c>
      <c r="H282" s="11" t="inlineStr">
        <is>
          <t>Final Fantasy</t>
        </is>
      </c>
      <c r="I282" s="11" t="inlineStr">
        <is>
          <t>Não</t>
        </is>
      </c>
      <c r="J282" s="11" t="n">
        <v>2025</v>
      </c>
      <c r="L282" s="11" t="n">
        <v>1</v>
      </c>
      <c r="M282" s="8">
        <f>L282*G282</f>
        <v/>
      </c>
      <c r="P282" s="9" t="n"/>
    </row>
    <row r="283">
      <c r="A283" s="11" t="inlineStr">
        <is>
          <t>Ambrosia Whiteheart / Ambrosia Coração-Branco</t>
        </is>
      </c>
      <c r="B283" s="11" t="inlineStr">
        <is>
          <t>Criatura Lendária — Ave</t>
        </is>
      </c>
      <c r="C283" s="11" t="inlineStr">
        <is>
          <t>Incomum</t>
        </is>
      </c>
      <c r="D283" s="11" t="inlineStr">
        <is>
          <t>Lampejo. Quando Ambrosia Coração-Branco entrar, você pode devolver outra permanente que você controla para a mão de seu dono. Aterragem — Sempre que um terreno que você controla entrar, Ambrosia Coração-Branco receberá +1/+0 até o final do turno.</t>
        </is>
      </c>
      <c r="E283" s="11" t="inlineStr">
        <is>
          <t>1{W}</t>
        </is>
      </c>
      <c r="F283" s="11" t="inlineStr">
        <is>
          <t>Branco</t>
        </is>
      </c>
      <c r="G283" s="8" t="n">
        <v>0.24</v>
      </c>
      <c r="H283" s="11" t="inlineStr">
        <is>
          <t>Final Fantasy</t>
        </is>
      </c>
      <c r="I283" s="11" t="inlineStr">
        <is>
          <t>Não</t>
        </is>
      </c>
      <c r="J283" s="11" t="n">
        <v>2025</v>
      </c>
      <c r="K283" s="10" t="n">
        <v>46055</v>
      </c>
      <c r="L283" s="11" t="n">
        <v>2</v>
      </c>
      <c r="M283" s="8">
        <f>L283*G283</f>
        <v/>
      </c>
      <c r="P283" s="9" t="n"/>
    </row>
    <row r="284">
      <c r="A284" s="11" t="inlineStr">
        <is>
          <t>Magitek Armor / Armadura Magitek</t>
        </is>
      </c>
      <c r="B284" s="11" t="inlineStr">
        <is>
          <t>Artefato — Veículo</t>
        </is>
      </c>
      <c r="C284" s="11" t="inlineStr">
        <is>
          <t>Incomum</t>
        </is>
      </c>
      <c r="D284" s="11" t="inlineStr">
        <is>
          <t>Quando este Veículo entrar, crie uma ficha de criatura Herói incolor 1/1. Tripular 1 (Vire qualquer número de criaturas que você controla com poder total igual ou superior a 1: Este Veículo se torna uma criatura artefato até o final do turno.)</t>
        </is>
      </c>
      <c r="E284" s="11" t="inlineStr">
        <is>
          <t>3{W}</t>
        </is>
      </c>
      <c r="F284" s="11" t="inlineStr">
        <is>
          <t>Branco</t>
        </is>
      </c>
      <c r="G284" s="8" t="n">
        <v>0.15</v>
      </c>
      <c r="H284" s="11" t="inlineStr">
        <is>
          <t>Final Fantasy</t>
        </is>
      </c>
      <c r="I284" s="11" t="inlineStr">
        <is>
          <t>Não</t>
        </is>
      </c>
      <c r="J284" s="11" t="n">
        <v>2025</v>
      </c>
      <c r="K284" s="10" t="n">
        <v>46116</v>
      </c>
      <c r="L284" s="11" t="n">
        <v>1</v>
      </c>
      <c r="M284" s="8">
        <f>L284*G284</f>
        <v/>
      </c>
      <c r="P284" s="9" t="n"/>
    </row>
    <row r="285">
      <c r="A285" s="11" t="inlineStr">
        <is>
          <t>Summon: Primal Garuda / Invocação: Garuda Primordial</t>
        </is>
      </c>
      <c r="B285" s="11" t="inlineStr">
        <is>
          <t>Encantamento Criatura — Saga Harpia</t>
        </is>
      </c>
      <c r="C285" s="11" t="inlineStr">
        <is>
          <t>Incomum</t>
        </is>
      </c>
      <c r="D285" s="11"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5" s="11" t="inlineStr">
        <is>
          <t>3{W}</t>
        </is>
      </c>
      <c r="F285" s="11" t="inlineStr">
        <is>
          <t>Branco</t>
        </is>
      </c>
      <c r="G285" s="8" t="n">
        <v>0.2</v>
      </c>
      <c r="H285" s="11" t="inlineStr">
        <is>
          <t>Final Fantasy</t>
        </is>
      </c>
      <c r="I285" s="11" t="inlineStr">
        <is>
          <t>Não</t>
        </is>
      </c>
      <c r="J285" s="11" t="n">
        <v>2025</v>
      </c>
      <c r="K285" s="10" t="n">
        <v>46084</v>
      </c>
      <c r="L285" s="11" t="n">
        <v>1</v>
      </c>
      <c r="M285" s="8">
        <f>L285*G285</f>
        <v/>
      </c>
      <c r="P285" s="9" t="n"/>
    </row>
    <row r="286">
      <c r="A286" s="11" t="inlineStr">
        <is>
          <t>Summon: Primal Garuda / Invocação: Garuda Primordial</t>
        </is>
      </c>
      <c r="B286" s="11" t="inlineStr">
        <is>
          <t>Encantamento Criatura — Saga Harpia</t>
        </is>
      </c>
      <c r="C286" s="11" t="inlineStr">
        <is>
          <t>Incomum</t>
        </is>
      </c>
      <c r="D286" s="11"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6" s="11" t="inlineStr">
        <is>
          <t>3{W}</t>
        </is>
      </c>
      <c r="F286" s="11" t="inlineStr">
        <is>
          <t>Branco</t>
        </is>
      </c>
      <c r="G286" s="8" t="n">
        <v>0.4</v>
      </c>
      <c r="H286" s="11" t="inlineStr">
        <is>
          <t>Final Fantasy</t>
        </is>
      </c>
      <c r="I286" s="11" t="inlineStr">
        <is>
          <t>Sim</t>
        </is>
      </c>
      <c r="J286" s="11" t="n">
        <v>2025</v>
      </c>
      <c r="K286" s="10" t="n">
        <v>46084</v>
      </c>
      <c r="L286" s="11" t="n">
        <v>1</v>
      </c>
      <c r="M286" s="8">
        <f>L286*G286</f>
        <v/>
      </c>
      <c r="P286" s="9" t="n"/>
    </row>
    <row r="287">
      <c r="A287" s="11" t="inlineStr">
        <is>
          <t>Zack Fair / Zack Fair</t>
        </is>
      </c>
      <c r="B287" s="11" t="inlineStr">
        <is>
          <t>Criatura Lendária — Humano Soldado</t>
        </is>
      </c>
      <c r="C287" s="11" t="inlineStr">
        <is>
          <t>Incomum</t>
        </is>
      </c>
      <c r="D287" s="11"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7" s="11" t="inlineStr">
        <is>
          <t>{W}</t>
        </is>
      </c>
      <c r="F287" s="11" t="inlineStr">
        <is>
          <t>Branco</t>
        </is>
      </c>
      <c r="G287" s="8" t="n">
        <v>0.45</v>
      </c>
      <c r="H287" s="11" t="inlineStr">
        <is>
          <t>Final Fantasy</t>
        </is>
      </c>
      <c r="I287" s="11" t="inlineStr">
        <is>
          <t>Não</t>
        </is>
      </c>
      <c r="J287" s="11" t="n">
        <v>2025</v>
      </c>
      <c r="K287" s="11" t="inlineStr">
        <is>
          <t>0/1</t>
        </is>
      </c>
      <c r="L287" s="11" t="n">
        <v>2</v>
      </c>
      <c r="M287" s="8">
        <f>L287*G287</f>
        <v/>
      </c>
      <c r="P287" s="9" t="n"/>
    </row>
    <row r="288">
      <c r="A288" s="11" t="inlineStr">
        <is>
          <t>Zack Fair / Zack Fair</t>
        </is>
      </c>
      <c r="B288" s="11" t="inlineStr">
        <is>
          <t>Criatura Lendária — Humano Soldado</t>
        </is>
      </c>
      <c r="C288" s="11" t="inlineStr">
        <is>
          <t>Incomum</t>
        </is>
      </c>
      <c r="D288" s="11"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8" s="11" t="inlineStr">
        <is>
          <t>{W}</t>
        </is>
      </c>
      <c r="F288" s="11" t="inlineStr">
        <is>
          <t>Branco</t>
        </is>
      </c>
      <c r="G288" s="8" t="n">
        <v>0.1</v>
      </c>
      <c r="H288" s="11" t="inlineStr">
        <is>
          <t>Final Fantasy</t>
        </is>
      </c>
      <c r="I288" s="11" t="inlineStr">
        <is>
          <t>Não</t>
        </is>
      </c>
      <c r="J288" s="11" t="n">
        <v>2025</v>
      </c>
      <c r="K288" s="11" t="inlineStr">
        <is>
          <t>0/1</t>
        </is>
      </c>
      <c r="L288" s="11" t="n">
        <v>4</v>
      </c>
      <c r="M288" s="8">
        <f>L288*G288</f>
        <v/>
      </c>
      <c r="P288" s="9" t="n"/>
    </row>
    <row r="289">
      <c r="A289" s="11" t="inlineStr">
        <is>
          <t>Aerith Rescue Mission / Missão de Resgate de Aerith</t>
        </is>
      </c>
      <c r="B289" s="11" t="inlineStr">
        <is>
          <t>Feitiço</t>
        </is>
      </c>
      <c r="C289" s="11" t="inlineStr">
        <is>
          <t>Comum</t>
        </is>
      </c>
      <c r="D289" s="11"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9" s="11" t="inlineStr">
        <is>
          <t>3{W}</t>
        </is>
      </c>
      <c r="F289" s="11" t="inlineStr">
        <is>
          <t>Branco</t>
        </is>
      </c>
      <c r="G289" s="8" t="n">
        <v>0.1</v>
      </c>
      <c r="H289" s="11" t="inlineStr">
        <is>
          <t>Final Fantasy</t>
        </is>
      </c>
      <c r="I289" s="11" t="inlineStr">
        <is>
          <t>Não</t>
        </is>
      </c>
      <c r="J289" s="11" t="n">
        <v>2025</v>
      </c>
      <c r="L289" s="11" t="n">
        <v>10</v>
      </c>
      <c r="M289" s="8">
        <f>L289*G289</f>
        <v/>
      </c>
      <c r="P289" s="9" t="n"/>
    </row>
    <row r="290">
      <c r="A290" s="11" t="inlineStr">
        <is>
          <t>Slash of Light / Golpe de Luz</t>
        </is>
      </c>
      <c r="B290" s="11" t="inlineStr">
        <is>
          <t>Mágica Instantânea</t>
        </is>
      </c>
      <c r="C290" s="11" t="inlineStr">
        <is>
          <t>Comum</t>
        </is>
      </c>
      <c r="D290" s="11" t="inlineStr">
        <is>
          <t>Golpe de Luz causa à criatura alvo uma quantidade de dano igual ao número de criaturas que você controla somado ao número de Equipamentos que você controla.</t>
        </is>
      </c>
      <c r="E290" s="11" t="inlineStr">
        <is>
          <t>1{W}</t>
        </is>
      </c>
      <c r="F290" s="11" t="inlineStr">
        <is>
          <t>Branco</t>
        </is>
      </c>
      <c r="G290" s="8" t="n">
        <v>0.05</v>
      </c>
      <c r="H290" s="11" t="inlineStr">
        <is>
          <t>Final Fantasy</t>
        </is>
      </c>
      <c r="I290" s="11" t="inlineStr">
        <is>
          <t>Não</t>
        </is>
      </c>
      <c r="J290" s="11" t="n">
        <v>2025</v>
      </c>
      <c r="L290" s="11" t="n">
        <v>10</v>
      </c>
      <c r="M290" s="8">
        <f>L290*G290</f>
        <v/>
      </c>
      <c r="P290" s="9" t="n"/>
    </row>
    <row r="291">
      <c r="A291" s="11" t="inlineStr">
        <is>
          <t>Slash of Light / Golpe de Luz</t>
        </is>
      </c>
      <c r="B291" s="11" t="inlineStr">
        <is>
          <t>Mágica Instantânea</t>
        </is>
      </c>
      <c r="C291" s="11" t="inlineStr">
        <is>
          <t>Comum</t>
        </is>
      </c>
      <c r="D291" s="11" t="inlineStr">
        <is>
          <t>Golpe de Luz causa à criatura alvo uma quantidade de dano igual ao número de criaturas que você controla somado ao número de Equipamentos que você controla.</t>
        </is>
      </c>
      <c r="E291" s="11" t="inlineStr">
        <is>
          <t>1{W}</t>
        </is>
      </c>
      <c r="F291" s="11" t="inlineStr">
        <is>
          <t>Branco</t>
        </is>
      </c>
      <c r="G291" s="8" t="n">
        <v>0.2</v>
      </c>
      <c r="H291" s="11" t="inlineStr">
        <is>
          <t>Final Fantasy</t>
        </is>
      </c>
      <c r="I291" s="11" t="inlineStr">
        <is>
          <t>Sim</t>
        </is>
      </c>
      <c r="J291" s="11" t="n">
        <v>2025</v>
      </c>
      <c r="L291" s="11" t="n">
        <v>1</v>
      </c>
      <c r="M291" s="8">
        <f>L291*G291</f>
        <v/>
      </c>
      <c r="P291" s="9" t="n"/>
    </row>
    <row r="292">
      <c r="A292" s="11" t="inlineStr">
        <is>
          <t>Coeurl / Coeurl</t>
        </is>
      </c>
      <c r="B292" s="11" t="inlineStr">
        <is>
          <t>Criatura — Gato Besta</t>
        </is>
      </c>
      <c r="C292" s="11" t="inlineStr">
        <is>
          <t>Comum</t>
        </is>
      </c>
      <c r="D292" s="11" t="inlineStr">
        <is>
          <t>{1}{W}, {T}: Vire a criatura alvo que não seja um encantamento.</t>
        </is>
      </c>
      <c r="E292" s="11" t="inlineStr">
        <is>
          <t>1{W}</t>
        </is>
      </c>
      <c r="F292" s="11" t="inlineStr">
        <is>
          <t>Branco</t>
        </is>
      </c>
      <c r="G292" s="8" t="n">
        <v>0.05</v>
      </c>
      <c r="H292" s="11" t="inlineStr">
        <is>
          <t>Final Fantasy</t>
        </is>
      </c>
      <c r="I292" s="11" t="inlineStr">
        <is>
          <t>Não</t>
        </is>
      </c>
      <c r="J292" s="11" t="n">
        <v>2025</v>
      </c>
      <c r="K292" s="10" t="n">
        <v>46055</v>
      </c>
      <c r="L292" s="11" t="n">
        <v>6</v>
      </c>
      <c r="M292" s="8">
        <f>L292*G292</f>
        <v/>
      </c>
      <c r="P292" s="9" t="n"/>
    </row>
    <row r="293">
      <c r="A293" s="11" t="inlineStr">
        <is>
          <t>Cloudbound Moogle / Moogle das Nuvens</t>
        </is>
      </c>
      <c r="B293" s="11" t="inlineStr">
        <is>
          <t>Criatura — Moogle</t>
        </is>
      </c>
      <c r="C293" s="11" t="inlineStr">
        <is>
          <t>Comum</t>
        </is>
      </c>
      <c r="D293" s="11" t="inlineStr">
        <is>
          <t>Voar. Quando esta criatura entrar, coloque um marcador +1/+1 na criatura alvo. Reciclar Planície {2} ({2}, Descarte este card: Procure em seu grimório por um card de Planície, revele-o, coloque-o em sua mão e depois embaralhe.)</t>
        </is>
      </c>
      <c r="E293" s="11" t="inlineStr">
        <is>
          <t>3{W}{W}</t>
        </is>
      </c>
      <c r="F293" s="11" t="inlineStr">
        <is>
          <t>Branco</t>
        </is>
      </c>
      <c r="G293" s="8" t="n">
        <v>0.09</v>
      </c>
      <c r="H293" s="11" t="inlineStr">
        <is>
          <t>Final Fantasy</t>
        </is>
      </c>
      <c r="I293" s="11" t="inlineStr">
        <is>
          <t>Não</t>
        </is>
      </c>
      <c r="J293" s="11" t="n">
        <v>2025</v>
      </c>
      <c r="K293" s="10" t="n">
        <v>46083</v>
      </c>
      <c r="L293" s="11" t="n">
        <v>8</v>
      </c>
      <c r="M293" s="8">
        <f>L293*G293</f>
        <v/>
      </c>
      <c r="P293" s="9" t="n"/>
    </row>
    <row r="294">
      <c r="A294" s="11" t="inlineStr">
        <is>
          <t>Bartz and Boko / Bartz e Boko</t>
        </is>
      </c>
      <c r="B294" s="11" t="inlineStr">
        <is>
          <t>Criatura Lendária — Humano Ave</t>
        </is>
      </c>
      <c r="C294" s="11" t="inlineStr">
        <is>
          <t>Rara</t>
        </is>
      </c>
      <c r="D294" s="11" t="inlineStr">
        <is>
          <t>Afinidade com Aves (Esta mágica custa {1} a menos para ser conjurada para cada Ave que você controla.) Quando Bartz e Boko entrar, cada outra Ave que você controla causa dano igual ao próprio poder à criatura alvo que um oponente controla.</t>
        </is>
      </c>
      <c r="E294" s="11" t="inlineStr">
        <is>
          <t>3{G}{G}</t>
        </is>
      </c>
      <c r="F294" s="11" t="inlineStr">
        <is>
          <t>Verde</t>
        </is>
      </c>
      <c r="G294" s="8" t="n">
        <v>0.79</v>
      </c>
      <c r="H294" s="11" t="inlineStr">
        <is>
          <t>Final Fantasy</t>
        </is>
      </c>
      <c r="I294" s="11" t="inlineStr">
        <is>
          <t>Não</t>
        </is>
      </c>
      <c r="J294" s="11" t="n">
        <v>2025</v>
      </c>
      <c r="K294" s="10" t="n">
        <v>46085</v>
      </c>
      <c r="L294" s="11" t="n">
        <v>1</v>
      </c>
      <c r="M294" s="8">
        <f>L294*G294</f>
        <v/>
      </c>
      <c r="P294" s="9" t="n"/>
    </row>
    <row r="295">
      <c r="A295" s="11" t="inlineStr">
        <is>
          <t>Sazh Katzroy / Sazh Katzroy</t>
        </is>
      </c>
      <c r="B295" s="11" t="inlineStr">
        <is>
          <t>Criatura Lendária — Humano Piloto</t>
        </is>
      </c>
      <c r="C295" s="11" t="inlineStr">
        <is>
          <t>Rara</t>
        </is>
      </c>
      <c r="D295" s="11"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5" s="11" t="inlineStr">
        <is>
          <t>3{G}</t>
        </is>
      </c>
      <c r="F295" s="11" t="inlineStr">
        <is>
          <t>Verde</t>
        </is>
      </c>
      <c r="G295" s="8" t="n">
        <v>2.85</v>
      </c>
      <c r="H295" s="11" t="inlineStr">
        <is>
          <t>Final Fantasy</t>
        </is>
      </c>
      <c r="I295" s="11" t="inlineStr">
        <is>
          <t>Não</t>
        </is>
      </c>
      <c r="J295" s="11" t="n">
        <v>2025</v>
      </c>
      <c r="K295" s="10" t="n">
        <v>46084</v>
      </c>
      <c r="L295" s="11" t="n">
        <v>1</v>
      </c>
      <c r="M295" s="8">
        <f>L295*G295</f>
        <v/>
      </c>
      <c r="P295" s="9" t="n"/>
    </row>
    <row r="296">
      <c r="A296" s="11" t="inlineStr">
        <is>
          <t>Gigantoad</t>
        </is>
      </c>
      <c r="B296" s="11" t="inlineStr">
        <is>
          <t>Creature — Frog</t>
        </is>
      </c>
      <c r="C296" s="11" t="inlineStr">
        <is>
          <t>Comum</t>
        </is>
      </c>
      <c r="D296" s="11" t="inlineStr">
        <is>
          <t>As long as you control seven or more lands, this creature gets +2/+2.</t>
        </is>
      </c>
      <c r="E296" s="11" t="inlineStr">
        <is>
          <t>3G</t>
        </is>
      </c>
      <c r="F296" s="11" t="inlineStr">
        <is>
          <t>Verde</t>
        </is>
      </c>
      <c r="G296" s="8" t="n">
        <v>0.04</v>
      </c>
      <c r="H296" s="11" t="inlineStr">
        <is>
          <t>Final Fantasy (FFXV)</t>
        </is>
      </c>
      <c r="I296" s="11" t="inlineStr">
        <is>
          <t>Não</t>
        </is>
      </c>
      <c r="J296" s="11" t="n">
        <v>2025</v>
      </c>
      <c r="K296" s="10" t="n">
        <v>46116</v>
      </c>
      <c r="L296" s="11" t="n">
        <v>4</v>
      </c>
      <c r="M296" s="8">
        <f>L296*G296</f>
        <v/>
      </c>
      <c r="P296" s="9" t="n"/>
    </row>
    <row r="297">
      <c r="A297" s="11" t="inlineStr">
        <is>
          <t>Clash of the Eikons</t>
        </is>
      </c>
      <c r="B297" s="11" t="inlineStr">
        <is>
          <t>Sorcery</t>
        </is>
      </c>
      <c r="C297" s="11" t="inlineStr">
        <is>
          <t>Incomum</t>
        </is>
      </c>
      <c r="D297" s="11"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7" s="11" t="inlineStr">
        <is>
          <t>G</t>
        </is>
      </c>
      <c r="F297" s="11" t="inlineStr">
        <is>
          <t>Verde</t>
        </is>
      </c>
      <c r="G297" s="8" t="n">
        <v>0.76</v>
      </c>
      <c r="H297" s="11" t="inlineStr">
        <is>
          <t>Final Fantasy (FFXVI)</t>
        </is>
      </c>
      <c r="I297" s="11" t="inlineStr">
        <is>
          <t>Sim</t>
        </is>
      </c>
      <c r="J297" s="11" t="n">
        <v>2025</v>
      </c>
      <c r="L297" s="11" t="n">
        <v>2</v>
      </c>
      <c r="M297" s="8">
        <f>L297*G297</f>
        <v/>
      </c>
      <c r="P297" s="9" t="n"/>
    </row>
    <row r="298">
      <c r="A298" s="11" t="inlineStr">
        <is>
          <t>Prishe's Wanderings</t>
        </is>
      </c>
      <c r="B298" s="11" t="inlineStr">
        <is>
          <t>Instant</t>
        </is>
      </c>
      <c r="C298" s="11" t="inlineStr">
        <is>
          <t>Comum</t>
        </is>
      </c>
      <c r="D298" s="11" t="inlineStr">
        <is>
          <t>Search your library for a basic land card or Town card, put it onto the battlefield tapped, then shuffle. When you search your library this way, put a +1/+1 counter on target creature you control.</t>
        </is>
      </c>
      <c r="E298" s="11" t="inlineStr">
        <is>
          <t>2G</t>
        </is>
      </c>
      <c r="F298" s="11" t="inlineStr">
        <is>
          <t>Verde</t>
        </is>
      </c>
      <c r="G298" s="8" t="n">
        <v>0.1</v>
      </c>
      <c r="H298" s="11" t="inlineStr">
        <is>
          <t>Final Fantasy (FFXI)</t>
        </is>
      </c>
      <c r="I298" s="11" t="inlineStr">
        <is>
          <t>Não</t>
        </is>
      </c>
      <c r="J298" s="11" t="n">
        <v>2025</v>
      </c>
      <c r="L298" s="11" t="n">
        <v>11</v>
      </c>
      <c r="M298" s="8">
        <f>L298*G298</f>
        <v/>
      </c>
      <c r="P298" s="9" t="n"/>
    </row>
    <row r="299">
      <c r="A299" s="11" t="inlineStr">
        <is>
          <t>Prishe's Wanderings</t>
        </is>
      </c>
      <c r="B299" s="11" t="inlineStr">
        <is>
          <t>Instant</t>
        </is>
      </c>
      <c r="C299" s="11" t="inlineStr">
        <is>
          <t>Comum</t>
        </is>
      </c>
      <c r="D299" s="11" t="inlineStr">
        <is>
          <t>Search your library for a basic land card or Town card, put it onto the battlefield tapped, then shuffle. When you search your library this way, put a +1/+1 counter on target creature you control.</t>
        </is>
      </c>
      <c r="E299" s="11" t="inlineStr">
        <is>
          <t>2G</t>
        </is>
      </c>
      <c r="F299" s="11" t="inlineStr">
        <is>
          <t>Verde</t>
        </is>
      </c>
      <c r="G299" s="8" t="n">
        <v>0.1</v>
      </c>
      <c r="H299" s="11" t="inlineStr">
        <is>
          <t>Final Fantasy (FFXI)</t>
        </is>
      </c>
      <c r="I299" s="11" t="inlineStr">
        <is>
          <t>Sim</t>
        </is>
      </c>
      <c r="J299" s="11" t="n">
        <v>2025</v>
      </c>
      <c r="L299" s="11" t="n">
        <v>1</v>
      </c>
      <c r="M299" s="8">
        <f>L299*G299</f>
        <v/>
      </c>
      <c r="P299" s="9" t="n"/>
    </row>
    <row r="300">
      <c r="A300" s="11" t="inlineStr">
        <is>
          <t>Airship Crash</t>
        </is>
      </c>
      <c r="B300" s="11" t="inlineStr">
        <is>
          <t>Instant</t>
        </is>
      </c>
      <c r="C300" s="11" t="inlineStr">
        <is>
          <t>Comum</t>
        </is>
      </c>
      <c r="D300" s="11" t="inlineStr">
        <is>
          <t>Destroy target artifact, enchantment, or creature with flying. Cycling 2 (2, Discard this card: Draw a card.)</t>
        </is>
      </c>
      <c r="E300" s="11" t="inlineStr">
        <is>
          <t>2G</t>
        </is>
      </c>
      <c r="F300" s="11" t="inlineStr">
        <is>
          <t>Verde</t>
        </is>
      </c>
      <c r="G300" s="8" t="n">
        <v>0.05</v>
      </c>
      <c r="H300" s="11" t="inlineStr">
        <is>
          <t>Final Fantasy (FFIX)</t>
        </is>
      </c>
      <c r="I300" s="11" t="inlineStr">
        <is>
          <t>Não</t>
        </is>
      </c>
      <c r="J300" s="11" t="n">
        <v>2025</v>
      </c>
      <c r="L300" s="11" t="n">
        <v>10</v>
      </c>
      <c r="M300" s="8">
        <f>L300*G300</f>
        <v/>
      </c>
      <c r="P300" s="9" t="n"/>
    </row>
    <row r="301">
      <c r="A301" s="11" t="inlineStr">
        <is>
          <t>Tifa's Limit Break / Limit Break da Tifa</t>
        </is>
      </c>
      <c r="B301" s="11" t="inlineStr">
        <is>
          <t>Mágica Instantânea</t>
        </is>
      </c>
      <c r="C301" s="11" t="inlineStr">
        <is>
          <t>Incomum</t>
        </is>
      </c>
      <c r="D301" s="11"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1" s="11" t="inlineStr">
        <is>
          <t>{G}</t>
        </is>
      </c>
      <c r="F301" s="11" t="inlineStr">
        <is>
          <t>Verde</t>
        </is>
      </c>
      <c r="G301" s="8" t="n">
        <v>0.2</v>
      </c>
      <c r="H301" s="11" t="inlineStr">
        <is>
          <t>Final Fantasy</t>
        </is>
      </c>
      <c r="I301" s="11" t="inlineStr">
        <is>
          <t>Não</t>
        </is>
      </c>
      <c r="J301" s="11" t="n">
        <v>2025</v>
      </c>
      <c r="L301" s="11" t="n">
        <v>2</v>
      </c>
      <c r="M301" s="8">
        <f>L301*G301</f>
        <v/>
      </c>
      <c r="P301" s="9" t="n"/>
    </row>
    <row r="302">
      <c r="A302" s="11" t="inlineStr">
        <is>
          <t>Tifa's Limit Break / Limit Break da Tifa</t>
        </is>
      </c>
      <c r="B302" s="11" t="inlineStr">
        <is>
          <t>Mágica Instantânea</t>
        </is>
      </c>
      <c r="C302" s="11" t="inlineStr">
        <is>
          <t>Incomum</t>
        </is>
      </c>
      <c r="D302" s="11"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2" s="11" t="inlineStr">
        <is>
          <t>{G}</t>
        </is>
      </c>
      <c r="F302" s="11" t="inlineStr">
        <is>
          <t>Verde</t>
        </is>
      </c>
      <c r="G302" s="8" t="n">
        <v>1.28</v>
      </c>
      <c r="H302" s="11" t="inlineStr">
        <is>
          <t>Final Fantasy</t>
        </is>
      </c>
      <c r="I302" s="11" t="inlineStr">
        <is>
          <t>Sim</t>
        </is>
      </c>
      <c r="J302" s="11" t="n">
        <v>2025</v>
      </c>
      <c r="L302" s="11" t="n">
        <v>1</v>
      </c>
      <c r="M302" s="8">
        <f>L302*G302</f>
        <v/>
      </c>
      <c r="P302" s="9" t="n"/>
    </row>
    <row r="303">
      <c r="A303" s="11" t="inlineStr">
        <is>
          <t>Galuf's Final Act / Ato Final de Galuf</t>
        </is>
      </c>
      <c r="B303" s="11" t="inlineStr">
        <is>
          <t>Mágica Instantânea</t>
        </is>
      </c>
      <c r="C303" s="11" t="inlineStr">
        <is>
          <t>Incomum</t>
        </is>
      </c>
      <c r="D303" s="11" t="inlineStr">
        <is>
          <t>Até o final do turno, a criatura alvo recebe +1/+0 e ganha "Quando esta criatura morrer, coloque uma quantidade de marcadores +1/+1 igual ao poder dela em até uma criatura alvo."</t>
        </is>
      </c>
      <c r="E303" s="11" t="inlineStr">
        <is>
          <t>1{G}</t>
        </is>
      </c>
      <c r="F303" s="11" t="inlineStr">
        <is>
          <t>Verde</t>
        </is>
      </c>
      <c r="G303" s="8" t="n">
        <v>0.18</v>
      </c>
      <c r="H303" s="11" t="inlineStr">
        <is>
          <t>Final Fantasy</t>
        </is>
      </c>
      <c r="I303" s="11" t="inlineStr">
        <is>
          <t>Não</t>
        </is>
      </c>
      <c r="J303" s="11" t="n">
        <v>2025</v>
      </c>
      <c r="L303" s="11" t="n">
        <v>3</v>
      </c>
      <c r="M303" s="8">
        <f>L303*G303</f>
        <v/>
      </c>
      <c r="P303" s="9" t="n"/>
    </row>
    <row r="304">
      <c r="A304" s="11" t="inlineStr">
        <is>
          <t>Preto Chocobo / Chocobo Preto</t>
        </is>
      </c>
      <c r="B304" s="11" t="inlineStr">
        <is>
          <t>Criatura — Ave</t>
        </is>
      </c>
      <c r="C304" s="11" t="inlineStr">
        <is>
          <t>Incomum</t>
        </is>
      </c>
      <c r="D304" s="11"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4" s="11" t="inlineStr">
        <is>
          <t>Não encontrado</t>
        </is>
      </c>
      <c r="F304" s="11" t="inlineStr">
        <is>
          <t>Verde</t>
        </is>
      </c>
      <c r="G304" s="8" t="n">
        <v>0.15</v>
      </c>
      <c r="H304" s="11" t="inlineStr">
        <is>
          <t>Final Fantasy</t>
        </is>
      </c>
      <c r="I304" s="11" t="inlineStr">
        <is>
          <t>Não</t>
        </is>
      </c>
      <c r="J304" s="11" t="n">
        <v>2025</v>
      </c>
      <c r="K304" s="10" t="n">
        <v>46055</v>
      </c>
      <c r="L304" s="11" t="n">
        <v>1</v>
      </c>
      <c r="M304" s="8">
        <f>L304*G304</f>
        <v/>
      </c>
      <c r="P304" s="9" t="n"/>
    </row>
    <row r="305">
      <c r="A305" s="11" t="inlineStr">
        <is>
          <t>Summon: Fenrir / Invocação: Fenrir</t>
        </is>
      </c>
      <c r="B305" s="11" t="inlineStr">
        <is>
          <t>Encantamento Criatura — Saga Lobo</t>
        </is>
      </c>
      <c r="C305" s="11" t="inlineStr">
        <is>
          <t>Incomum</t>
        </is>
      </c>
      <c r="D305" s="11"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5" s="11" t="inlineStr">
        <is>
          <t>2{G}</t>
        </is>
      </c>
      <c r="F305" s="11" t="inlineStr">
        <is>
          <t>Verde</t>
        </is>
      </c>
      <c r="G305" s="8" t="n">
        <v>0.5</v>
      </c>
      <c r="H305" s="11" t="inlineStr">
        <is>
          <t>Final Fantasy</t>
        </is>
      </c>
      <c r="I305" s="11" t="inlineStr">
        <is>
          <t>Não</t>
        </is>
      </c>
      <c r="J305" s="11" t="n">
        <v>2025</v>
      </c>
      <c r="K305" s="10" t="n">
        <v>46056</v>
      </c>
      <c r="L305" s="11" t="n">
        <v>2</v>
      </c>
      <c r="M305" s="8">
        <f>L305*G305</f>
        <v/>
      </c>
      <c r="P305" s="9" t="n"/>
    </row>
    <row r="306">
      <c r="A306" s="11" t="inlineStr">
        <is>
          <t>Torgal, A Fine Hound / Torgal, um Bom Cão</t>
        </is>
      </c>
      <c r="B306" s="11" t="inlineStr">
        <is>
          <t>Criatura Lendária — Lobo</t>
        </is>
      </c>
      <c r="C306" s="11" t="inlineStr">
        <is>
          <t>Incomum</t>
        </is>
      </c>
      <c r="D306" s="11" t="inlineStr">
        <is>
          <t>Sempre que você conjurar sua primeira mágica de criatura Humano a cada turno, aquela criatura entrará no campo de batalha com um marcador +1/+1 adicional para cada Cão e/ou Lobo que você controla. {T}: Adicione um mana de qualquer cor.</t>
        </is>
      </c>
      <c r="E306" s="11" t="inlineStr">
        <is>
          <t>1{G}</t>
        </is>
      </c>
      <c r="F306" s="11" t="inlineStr">
        <is>
          <t>Verde</t>
        </is>
      </c>
      <c r="G306" s="8" t="n">
        <v>0.24</v>
      </c>
      <c r="H306" s="11" t="inlineStr">
        <is>
          <t>Final Fantasy</t>
        </is>
      </c>
      <c r="I306" s="11" t="inlineStr">
        <is>
          <t>Não</t>
        </is>
      </c>
      <c r="J306" s="11" t="n">
        <v>2025</v>
      </c>
      <c r="K306" s="10" t="n">
        <v>46055</v>
      </c>
      <c r="L306" s="11" t="n">
        <v>1</v>
      </c>
      <c r="M306" s="8">
        <f>L306*G306</f>
        <v/>
      </c>
      <c r="P306" s="9" t="n"/>
    </row>
    <row r="307">
      <c r="A307" s="11" t="inlineStr">
        <is>
          <t>Ride the Shoopuf / Montar no Shoopuf</t>
        </is>
      </c>
      <c r="B307" s="11" t="inlineStr">
        <is>
          <t>Encantamento</t>
        </is>
      </c>
      <c r="C307" s="11" t="inlineStr">
        <is>
          <t>Incomum</t>
        </is>
      </c>
      <c r="D307" s="11" t="inlineStr">
        <is>
          <t>Aterragem — Sempre que um terreno que você controla entrar, coloque um marcador +1/+1 na criatura alvo que você controla. {5}{G}{G}: Este encantamento se torna uma criatura Beast 7/7 além de seus outros tipos.</t>
        </is>
      </c>
      <c r="E307" s="11" t="inlineStr">
        <is>
          <t>1{G}</t>
        </is>
      </c>
      <c r="F307" s="11" t="inlineStr">
        <is>
          <t>Verde</t>
        </is>
      </c>
      <c r="G307" s="8" t="n">
        <v>1.14</v>
      </c>
      <c r="H307" s="11" t="inlineStr">
        <is>
          <t>Final Fantasy</t>
        </is>
      </c>
      <c r="I307" s="11" t="inlineStr">
        <is>
          <t>Sim</t>
        </is>
      </c>
      <c r="J307" s="11" t="n">
        <v>2025</v>
      </c>
      <c r="L307" s="11" t="n">
        <v>1</v>
      </c>
      <c r="M307" s="8">
        <f>L307*G307</f>
        <v/>
      </c>
      <c r="P307" s="9" t="n"/>
    </row>
    <row r="308">
      <c r="A308" s="11" t="inlineStr">
        <is>
          <t>Ride the Shoopuf / Montar no Shoopuf</t>
        </is>
      </c>
      <c r="B308" s="11" t="inlineStr">
        <is>
          <t>Encantamento</t>
        </is>
      </c>
      <c r="C308" s="11" t="inlineStr">
        <is>
          <t>Incomum</t>
        </is>
      </c>
      <c r="D308" s="11" t="inlineStr">
        <is>
          <t>Aterragem — Sempre que um terreno que você controla entrar, coloque um marcador +1/+1 na criatura alvo que você controla. {5}{G}{G}: Este encantamento se torna uma criatura Beast 7/7 além de seus outros tipos.</t>
        </is>
      </c>
      <c r="E308" s="11" t="inlineStr">
        <is>
          <t>1{G}</t>
        </is>
      </c>
      <c r="F308" s="11" t="inlineStr">
        <is>
          <t>Verde</t>
        </is>
      </c>
      <c r="G308" s="8" t="n">
        <v>0.28</v>
      </c>
      <c r="H308" s="11" t="inlineStr">
        <is>
          <t>Final Fantasy</t>
        </is>
      </c>
      <c r="I308" s="11" t="inlineStr">
        <is>
          <t>Não</t>
        </is>
      </c>
      <c r="J308" s="11" t="n">
        <v>2025</v>
      </c>
      <c r="L308" s="11" t="n">
        <v>1</v>
      </c>
      <c r="M308" s="8">
        <f>L308*G308</f>
        <v/>
      </c>
      <c r="P308" s="9" t="n"/>
    </row>
    <row r="309">
      <c r="A309" s="11" t="inlineStr">
        <is>
          <t>Diamond Weapon / Arma de Diamante</t>
        </is>
      </c>
      <c r="B309" s="11" t="inlineStr">
        <is>
          <t>Criatura Artefato Lendária — Elemental</t>
        </is>
      </c>
      <c r="C309" s="11" t="inlineStr">
        <is>
          <t>Incomum</t>
        </is>
      </c>
      <c r="D309" s="11" t="inlineStr">
        <is>
          <t>Esta mágica custa {1} a menos para ser conjurada para cada card de permanente em seu cemitério. Alcance. Imune — Previna todo o dano de combate que seria causado a Arma de Diamante.</t>
        </is>
      </c>
      <c r="E309" s="11" t="inlineStr">
        <is>
          <t>7{G}{G}</t>
        </is>
      </c>
      <c r="F309" s="11" t="inlineStr">
        <is>
          <t>Verde</t>
        </is>
      </c>
      <c r="G309" s="8" t="n">
        <v>0.25</v>
      </c>
      <c r="H309" s="11" t="inlineStr">
        <is>
          <t>Final Fantasy</t>
        </is>
      </c>
      <c r="I309" s="11" t="inlineStr">
        <is>
          <t>Não</t>
        </is>
      </c>
      <c r="J309" s="11" t="n">
        <v>2025</v>
      </c>
      <c r="K309" s="10" t="n">
        <v>46242</v>
      </c>
      <c r="L309" s="11" t="n">
        <v>1</v>
      </c>
      <c r="M309" s="8">
        <f>L309*G309</f>
        <v/>
      </c>
      <c r="P309" s="9" t="n"/>
    </row>
    <row r="310">
      <c r="A310" s="11" t="inlineStr">
        <is>
          <t>Rydia's Return / O Retorno de Rydia</t>
        </is>
      </c>
      <c r="B310" s="11" t="inlineStr">
        <is>
          <t>Feitiço</t>
        </is>
      </c>
      <c r="C310" s="11" t="inlineStr">
        <is>
          <t>Incomum</t>
        </is>
      </c>
      <c r="D310" s="11" t="inlineStr">
        <is>
          <t>Escolha um — • As criaturas que você controla recebem +3/+3 até o final do turno. • Devolva até dois cards de permanente alvo de seu cemitério para sua mão.</t>
        </is>
      </c>
      <c r="E310" s="11" t="inlineStr">
        <is>
          <t>3{G}{G}</t>
        </is>
      </c>
      <c r="F310" s="11" t="inlineStr">
        <is>
          <t>Verde</t>
        </is>
      </c>
      <c r="G310" s="8" t="n">
        <v>0.2</v>
      </c>
      <c r="H310" s="11" t="inlineStr">
        <is>
          <t>Final Fantasy</t>
        </is>
      </c>
      <c r="I310" s="11" t="inlineStr">
        <is>
          <t>Não</t>
        </is>
      </c>
      <c r="J310" s="11" t="n">
        <v>2025</v>
      </c>
      <c r="L310" s="11" t="n">
        <v>1</v>
      </c>
      <c r="M310" s="8">
        <f>L310*G310</f>
        <v/>
      </c>
      <c r="P310" s="9" t="n"/>
    </row>
    <row r="311">
      <c r="A311" s="11" t="inlineStr">
        <is>
          <t>Sidequest: Raise a Chocobo / Missão Secundária: Criar um Chocobo</t>
        </is>
      </c>
      <c r="B311" s="11" t="inlineStr">
        <is>
          <t>Encantamento</t>
        </is>
      </c>
      <c r="C311" s="11" t="inlineStr">
        <is>
          <t>Incomum</t>
        </is>
      </c>
      <c r="D311" s="11"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11" s="11" t="inlineStr">
        <is>
          <t>1{G}</t>
        </is>
      </c>
      <c r="F311" s="11" t="inlineStr">
        <is>
          <t>Verde</t>
        </is>
      </c>
      <c r="G311" s="8" t="n">
        <v>0.15</v>
      </c>
      <c r="H311" s="11" t="inlineStr">
        <is>
          <t>Final Fantasy</t>
        </is>
      </c>
      <c r="I311" s="11" t="inlineStr">
        <is>
          <t>Não</t>
        </is>
      </c>
      <c r="J311" s="11" t="n">
        <v>2025</v>
      </c>
      <c r="L311" s="11" t="n">
        <v>1</v>
      </c>
      <c r="M311" s="8">
        <f>L311*G311</f>
        <v/>
      </c>
      <c r="P311" s="9" t="n"/>
    </row>
    <row r="312">
      <c r="A312" s="11" t="inlineStr">
        <is>
          <t>Chocobo Racetrack / Hipódromo de Chocobos</t>
        </is>
      </c>
      <c r="B312" s="11" t="inlineStr">
        <is>
          <t>Artefato</t>
        </is>
      </c>
      <c r="C312" s="11" t="inlineStr">
        <is>
          <t>Incomum</t>
        </is>
      </c>
      <c r="D312" s="11" t="inlineStr">
        <is>
          <t>Aterragem — Sempre que um terreno que você controla entrar, crie uma ficha de criatura Ave verde 2/2 com "Sempre que um terreno que você controla entrar, esta ficha receberá +1/+0 até o final do turno."</t>
        </is>
      </c>
      <c r="E312" s="11" t="inlineStr">
        <is>
          <t>3{G}{G}</t>
        </is>
      </c>
      <c r="F312" s="11" t="inlineStr">
        <is>
          <t>Verde</t>
        </is>
      </c>
      <c r="G312" s="8" t="n">
        <v>0.28</v>
      </c>
      <c r="H312" s="11" t="inlineStr">
        <is>
          <t>Final Fantasy</t>
        </is>
      </c>
      <c r="I312" s="11" t="inlineStr">
        <is>
          <t>Não</t>
        </is>
      </c>
      <c r="J312" s="11" t="n">
        <v>2025</v>
      </c>
      <c r="L312" s="11" t="n">
        <v>1</v>
      </c>
      <c r="M312" s="8">
        <f>L312*G312</f>
        <v/>
      </c>
      <c r="P312" s="9" t="n"/>
    </row>
    <row r="313">
      <c r="A313" s="11" t="inlineStr">
        <is>
          <t>Cactuar / Cactuar</t>
        </is>
      </c>
      <c r="B313" s="11" t="inlineStr">
        <is>
          <t>Criatura — Planta</t>
        </is>
      </c>
      <c r="C313" s="11" t="inlineStr">
        <is>
          <t>Incomum</t>
        </is>
      </c>
      <c r="D313" s="11" t="inlineStr">
        <is>
          <t>Atropelar. No início de sua etapa final, se esta criatura não tiver entrado no campo de batalha neste turno, devolva-a para a mão de seu dono.</t>
        </is>
      </c>
      <c r="E313" s="11" t="inlineStr">
        <is>
          <t>{G}</t>
        </is>
      </c>
      <c r="F313" s="11" t="inlineStr">
        <is>
          <t>Verde</t>
        </is>
      </c>
      <c r="G313" s="8" t="n">
        <v>0.23</v>
      </c>
      <c r="H313" s="11" t="inlineStr">
        <is>
          <t>Final Fantasy</t>
        </is>
      </c>
      <c r="I313" s="11" t="inlineStr">
        <is>
          <t>Não</t>
        </is>
      </c>
      <c r="J313" s="11" t="n">
        <v>2025</v>
      </c>
      <c r="K313" s="10" t="n">
        <v>46084</v>
      </c>
      <c r="L313" s="11" t="n">
        <v>2</v>
      </c>
      <c r="M313" s="8">
        <f>L313*G313</f>
        <v/>
      </c>
      <c r="P313" s="9" t="n"/>
    </row>
    <row r="314">
      <c r="A314" s="11" t="inlineStr">
        <is>
          <t>Chocobo Kick / Coice de Chocobo</t>
        </is>
      </c>
      <c r="B314" s="11" t="inlineStr">
        <is>
          <t>Feitiço</t>
        </is>
      </c>
      <c r="C314" s="11" t="inlineStr">
        <is>
          <t>Comum</t>
        </is>
      </c>
      <c r="D314" s="11"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4" s="11" t="inlineStr">
        <is>
          <t>1{G}</t>
        </is>
      </c>
      <c r="F314" s="11" t="inlineStr">
        <is>
          <t>Verde</t>
        </is>
      </c>
      <c r="G314" s="8" t="n">
        <v>0.05</v>
      </c>
      <c r="H314" s="11" t="inlineStr">
        <is>
          <t>Final Fantasy</t>
        </is>
      </c>
      <c r="I314" s="11" t="inlineStr">
        <is>
          <t>Não</t>
        </is>
      </c>
      <c r="J314" s="11" t="n">
        <v>2025</v>
      </c>
      <c r="L314" s="11" t="n">
        <v>8</v>
      </c>
      <c r="M314" s="8">
        <f>L314*G314</f>
        <v/>
      </c>
      <c r="P314" s="9" t="n"/>
    </row>
    <row r="315">
      <c r="A315" s="11" t="inlineStr">
        <is>
          <t>Goobbue Gardener / Jardineiro Goobbue</t>
        </is>
      </c>
      <c r="B315" s="11" t="inlineStr">
        <is>
          <t>Criatura — Planta Besta</t>
        </is>
      </c>
      <c r="C315" s="11" t="inlineStr">
        <is>
          <t>Comum</t>
        </is>
      </c>
      <c r="D315" s="11" t="inlineStr">
        <is>
          <t>{T}: Adicione {G}.</t>
        </is>
      </c>
      <c r="E315" s="11" t="inlineStr">
        <is>
          <t>1{G}</t>
        </is>
      </c>
      <c r="F315" s="11" t="inlineStr">
        <is>
          <t>Verde</t>
        </is>
      </c>
      <c r="G315" s="8" t="n">
        <v>0.05</v>
      </c>
      <c r="H315" s="11" t="inlineStr">
        <is>
          <t>Final Fantasy</t>
        </is>
      </c>
      <c r="I315" s="11" t="inlineStr">
        <is>
          <t>Não</t>
        </is>
      </c>
      <c r="J315" s="11" t="n">
        <v>2025</v>
      </c>
      <c r="K315" s="10" t="n">
        <v>46082</v>
      </c>
      <c r="L315" s="11" t="n">
        <v>7</v>
      </c>
      <c r="M315" s="8">
        <f>L315*G315</f>
        <v/>
      </c>
      <c r="P315" s="9" t="n"/>
    </row>
    <row r="316">
      <c r="A316" s="11" t="inlineStr">
        <is>
          <t>Gysahl Greens / Verduras de Gysahl</t>
        </is>
      </c>
      <c r="B316" s="11" t="inlineStr">
        <is>
          <t>Feitiço</t>
        </is>
      </c>
      <c r="C316" s="11" t="inlineStr">
        <is>
          <t>Comum</t>
        </is>
      </c>
      <c r="D316" s="11" t="inlineStr">
        <is>
          <t>Crie uma ficha de criatura Ave verde 2/2 com "Sempre que um terreno que você controla entrar, esta ficha receberá +1/+0 até o final do turno." Recapitular {6}{G} (Você pode conjurar este card de seu cemitério pagando seu custo de recapitular. Depois, exile-o.)</t>
        </is>
      </c>
      <c r="E316" s="11" t="inlineStr">
        <is>
          <t>1{G}</t>
        </is>
      </c>
      <c r="F316" s="11" t="inlineStr">
        <is>
          <t>Verde</t>
        </is>
      </c>
      <c r="G316" s="8" t="n">
        <v>0.05</v>
      </c>
      <c r="H316" s="11" t="inlineStr">
        <is>
          <t>Final Fantasy</t>
        </is>
      </c>
      <c r="I316" s="11" t="inlineStr">
        <is>
          <t>Não</t>
        </is>
      </c>
      <c r="J316" s="11" t="n">
        <v>2025</v>
      </c>
      <c r="L316" s="11" t="n">
        <v>6</v>
      </c>
      <c r="M316" s="8">
        <f>L316*G316</f>
        <v/>
      </c>
      <c r="P316" s="9" t="n"/>
    </row>
    <row r="317">
      <c r="A317" s="11" t="inlineStr">
        <is>
          <t>Gran Pulse Ochu / Ochu da Gran Pulse</t>
        </is>
      </c>
      <c r="B317" s="11" t="inlineStr">
        <is>
          <t>Criatura — Planta Besta</t>
        </is>
      </c>
      <c r="C317" s="11" t="inlineStr">
        <is>
          <t>Comum</t>
        </is>
      </c>
      <c r="D317" s="11" t="inlineStr">
        <is>
          <t>Toque mortífero. {8}: Até o final do turno, esta criatura recebe +1/+1 para cada card de permanente em seu cemitério.</t>
        </is>
      </c>
      <c r="E317" s="11" t="inlineStr">
        <is>
          <t>{G}</t>
        </is>
      </c>
      <c r="F317" s="11" t="inlineStr">
        <is>
          <t>Verde</t>
        </is>
      </c>
      <c r="G317" s="8" t="n">
        <v>0.05</v>
      </c>
      <c r="H317" s="11" t="inlineStr">
        <is>
          <t>Final Fantasy</t>
        </is>
      </c>
      <c r="I317" s="11" t="inlineStr">
        <is>
          <t>Não</t>
        </is>
      </c>
      <c r="J317" s="11" t="n">
        <v>2025</v>
      </c>
      <c r="K317" s="10" t="n">
        <v>46023</v>
      </c>
      <c r="L317" s="11" t="n">
        <v>11</v>
      </c>
      <c r="M317" s="8">
        <f>L317*G317</f>
        <v/>
      </c>
      <c r="P317" s="9" t="n"/>
    </row>
    <row r="318">
      <c r="A318" s="11" t="inlineStr">
        <is>
          <t>Town Greeter / Anfitrião da Cidade</t>
        </is>
      </c>
      <c r="B318" s="11" t="inlineStr">
        <is>
          <t>Criatura — Humano Cidadão</t>
        </is>
      </c>
      <c r="C318" s="11" t="inlineStr">
        <is>
          <t>Comum</t>
        </is>
      </c>
      <c r="D318" s="11"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8" s="11" t="inlineStr">
        <is>
          <t>1{G}</t>
        </is>
      </c>
      <c r="F318" s="11" t="inlineStr">
        <is>
          <t>Verde</t>
        </is>
      </c>
      <c r="G318" s="8" t="n">
        <v>0.18</v>
      </c>
      <c r="H318" s="11" t="inlineStr">
        <is>
          <t>Final Fantasy</t>
        </is>
      </c>
      <c r="I318" s="11" t="inlineStr">
        <is>
          <t>Não</t>
        </is>
      </c>
      <c r="J318" s="11" t="n">
        <v>2025</v>
      </c>
      <c r="K318" s="10" t="n">
        <v>46023</v>
      </c>
      <c r="L318" s="11" t="n">
        <v>8</v>
      </c>
      <c r="M318" s="8">
        <f>L318*G318</f>
        <v/>
      </c>
      <c r="P318" s="9" t="n"/>
    </row>
    <row r="319">
      <c r="A319" s="11" t="inlineStr">
        <is>
          <t>Summon: Fat Chocobo / Invocação: Chocobo Gordo</t>
        </is>
      </c>
      <c r="B319" s="11" t="inlineStr">
        <is>
          <t>Encantamento Criatura — Saga Ave</t>
        </is>
      </c>
      <c r="C319" s="11" t="inlineStr">
        <is>
          <t>Comum</t>
        </is>
      </c>
      <c r="D319" s="11"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9" s="11" t="inlineStr">
        <is>
          <t>4{G}</t>
        </is>
      </c>
      <c r="F319" s="11" t="inlineStr">
        <is>
          <t>Verde</t>
        </is>
      </c>
      <c r="G319" s="8" t="n">
        <v>0.1</v>
      </c>
      <c r="H319" s="11" t="inlineStr">
        <is>
          <t>Final Fantasy</t>
        </is>
      </c>
      <c r="I319" s="11" t="inlineStr">
        <is>
          <t>Não</t>
        </is>
      </c>
      <c r="J319" s="11" t="n">
        <v>2025</v>
      </c>
      <c r="K319" s="10" t="n">
        <v>46116</v>
      </c>
      <c r="L319" s="11" t="n">
        <v>8</v>
      </c>
      <c r="M319" s="8">
        <f>L319*G319</f>
        <v/>
      </c>
      <c r="P319" s="9" t="n"/>
    </row>
    <row r="320">
      <c r="A320" s="11" t="inlineStr">
        <is>
          <t>Bard's Bow / Arco do Bardo</t>
        </is>
      </c>
      <c r="B320" s="11" t="inlineStr">
        <is>
          <t>Artefato — Equipamento</t>
        </is>
      </c>
      <c r="C320" s="11" t="inlineStr">
        <is>
          <t>Comum</t>
        </is>
      </c>
      <c r="D320" s="11"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20" s="11" t="inlineStr">
        <is>
          <t>2{G}</t>
        </is>
      </c>
      <c r="F320" s="11" t="inlineStr">
        <is>
          <t>Verde</t>
        </is>
      </c>
      <c r="G320" s="8" t="n">
        <v>0.1</v>
      </c>
      <c r="H320" s="11" t="inlineStr">
        <is>
          <t>Final Fantasy</t>
        </is>
      </c>
      <c r="I320" s="11" t="inlineStr">
        <is>
          <t>Não</t>
        </is>
      </c>
      <c r="J320" s="11" t="n">
        <v>2025</v>
      </c>
      <c r="L320" s="11" t="n">
        <v>10</v>
      </c>
      <c r="M320" s="8">
        <f>L320*G320</f>
        <v/>
      </c>
      <c r="P320" s="9" t="n"/>
    </row>
    <row r="321">
      <c r="A321" s="11" t="inlineStr">
        <is>
          <t>Commune with Beavers / Comungar com Castores</t>
        </is>
      </c>
      <c r="B321" s="11" t="inlineStr">
        <is>
          <t>Feitiço</t>
        </is>
      </c>
      <c r="C321" s="11" t="inlineStr">
        <is>
          <t>Comum</t>
        </is>
      </c>
      <c r="D321" s="11" t="inlineStr">
        <is>
          <t>Olhe os três cards do topo de seu grimório. Você pode revelar um card de artefato, criatura ou terreno dentre eles e colocá-lo em sua mão. Coloque o restante no fundo de seu grimório em qualquer ordem.</t>
        </is>
      </c>
      <c r="E321" s="11" t="inlineStr">
        <is>
          <t>{G}</t>
        </is>
      </c>
      <c r="F321" s="11" t="inlineStr">
        <is>
          <t>Verde</t>
        </is>
      </c>
      <c r="G321" s="8" t="n">
        <v>0.1</v>
      </c>
      <c r="H321" s="11" t="inlineStr">
        <is>
          <t>Final Fantasy</t>
        </is>
      </c>
      <c r="I321" s="11" t="inlineStr">
        <is>
          <t>Não</t>
        </is>
      </c>
      <c r="J321" s="11" t="n">
        <v>2025</v>
      </c>
      <c r="L321" s="11" t="n">
        <v>4</v>
      </c>
      <c r="M321" s="8">
        <f>L321*G321</f>
        <v/>
      </c>
      <c r="P321" s="9" t="n"/>
    </row>
    <row r="322">
      <c r="A322" s="11" t="inlineStr">
        <is>
          <t>Commune with Beavers / Comungar com Castores</t>
        </is>
      </c>
      <c r="B322" s="11" t="inlineStr">
        <is>
          <t>Feitiço</t>
        </is>
      </c>
      <c r="C322" s="11" t="inlineStr">
        <is>
          <t>Comum</t>
        </is>
      </c>
      <c r="D322" s="11" t="inlineStr">
        <is>
          <t>Olhe os três cards do topo de seu grimório. Você pode revelar um card de artefato, criatura ou terreno dentre eles e colocá-lo em sua mão. Coloque o restante no fundo de seu grimório em qualquer ordem.</t>
        </is>
      </c>
      <c r="E322" s="11" t="inlineStr">
        <is>
          <t>{G}</t>
        </is>
      </c>
      <c r="F322" s="11" t="inlineStr">
        <is>
          <t>Verde</t>
        </is>
      </c>
      <c r="G322" s="8" t="n">
        <v>0.24</v>
      </c>
      <c r="H322" s="11" t="inlineStr">
        <is>
          <t>Final Fantasy</t>
        </is>
      </c>
      <c r="I322" s="11" t="inlineStr">
        <is>
          <t>Sim</t>
        </is>
      </c>
      <c r="J322" s="11" t="n">
        <v>2025</v>
      </c>
      <c r="L322" s="11" t="n">
        <v>1</v>
      </c>
      <c r="M322" s="8">
        <f>L322*G322</f>
        <v/>
      </c>
      <c r="P322" s="9" t="n"/>
    </row>
    <row r="323">
      <c r="A323" s="11" t="inlineStr">
        <is>
          <t>Blitzball Shot / Chute de Blitzball</t>
        </is>
      </c>
      <c r="B323" s="11" t="inlineStr">
        <is>
          <t>Mágica Instantânea</t>
        </is>
      </c>
      <c r="C323" s="11" t="inlineStr">
        <is>
          <t>Comum</t>
        </is>
      </c>
      <c r="D323" s="11" t="inlineStr">
        <is>
          <t>A criatura alvo recebe +3/+3 e ganha atropelar até o final do turno.</t>
        </is>
      </c>
      <c r="E323" s="11" t="inlineStr">
        <is>
          <t>1{G}</t>
        </is>
      </c>
      <c r="F323" s="11" t="inlineStr">
        <is>
          <t>Verde</t>
        </is>
      </c>
      <c r="G323" s="8" t="n">
        <v>0.05</v>
      </c>
      <c r="H323" s="11" t="inlineStr">
        <is>
          <t>Final Fantasy</t>
        </is>
      </c>
      <c r="I323" s="11" t="inlineStr">
        <is>
          <t>Não</t>
        </is>
      </c>
      <c r="J323" s="11" t="n">
        <v>2025</v>
      </c>
      <c r="L323" s="11" t="n">
        <v>11</v>
      </c>
      <c r="M323" s="8">
        <f>L323*G323</f>
        <v/>
      </c>
      <c r="P323" s="9" t="n"/>
    </row>
    <row r="324">
      <c r="A324" s="11" t="inlineStr">
        <is>
          <t>Balamb T-Rexaur / T-Rexaur de Balamb</t>
        </is>
      </c>
      <c r="B324" s="11" t="inlineStr">
        <is>
          <t>Criatura — Dinossauro</t>
        </is>
      </c>
      <c r="C324" s="11" t="inlineStr">
        <is>
          <t>Comum</t>
        </is>
      </c>
      <c r="D324" s="11" t="inlineStr">
        <is>
          <t>Atropelar. Quando esta criatura entrar, você ganha 3 de vida. Reciclar Floresta {2} ({2}, Descarte este card: Procure em seu grimório por um card de Floresta, revele-o, coloque-o em sua mão e depois embaralhe.)</t>
        </is>
      </c>
      <c r="E324" s="11" t="inlineStr">
        <is>
          <t>4{G}{G}</t>
        </is>
      </c>
      <c r="F324" s="11" t="inlineStr">
        <is>
          <t>Verde</t>
        </is>
      </c>
      <c r="G324" s="8" t="n">
        <v>0.1</v>
      </c>
      <c r="H324" s="11" t="inlineStr">
        <is>
          <t>Final Fantasy</t>
        </is>
      </c>
      <c r="I324" s="11" t="inlineStr">
        <is>
          <t>Não</t>
        </is>
      </c>
      <c r="J324" s="11" t="n">
        <v>2025</v>
      </c>
      <c r="K324" s="10" t="n">
        <v>46179</v>
      </c>
      <c r="L324" s="11" t="n">
        <v>4</v>
      </c>
      <c r="M324" s="8">
        <f>L324*G324</f>
        <v/>
      </c>
      <c r="P324" s="9" t="n"/>
    </row>
    <row r="325">
      <c r="A325" s="11" t="inlineStr">
        <is>
          <t>Balamb T-Rexaur / T-Rexaur de Balamb</t>
        </is>
      </c>
      <c r="B325" s="11" t="inlineStr">
        <is>
          <t>Criatura — Dinossauro</t>
        </is>
      </c>
      <c r="C325" s="11" t="inlineStr">
        <is>
          <t>Comum</t>
        </is>
      </c>
      <c r="D325" s="11" t="inlineStr">
        <is>
          <t>Atropelar. Quando esta criatura entrar, você ganha 3 de vida. Reciclar Floresta {2} ({2}, Descarte este card: Procure em seu grimório por um card de Floresta, revele-o, coloque-o em sua mão e depois embaralhe.)</t>
        </is>
      </c>
      <c r="E325" s="11" t="inlineStr">
        <is>
          <t>4{G}{G}</t>
        </is>
      </c>
      <c r="F325" s="11" t="inlineStr">
        <is>
          <t>Verde</t>
        </is>
      </c>
      <c r="G325" s="8" t="n">
        <v>0.24</v>
      </c>
      <c r="H325" s="11" t="inlineStr">
        <is>
          <t>Final Fantasy</t>
        </is>
      </c>
      <c r="I325" s="11" t="inlineStr">
        <is>
          <t>Sim</t>
        </is>
      </c>
      <c r="J325" s="11" t="n">
        <v>2025</v>
      </c>
      <c r="K325" s="10" t="n">
        <v>46179</v>
      </c>
      <c r="L325" s="11" t="n">
        <v>1</v>
      </c>
      <c r="M325" s="8">
        <f>L325*G325</f>
        <v/>
      </c>
      <c r="P325" s="9" t="n"/>
    </row>
    <row r="326">
      <c r="A326" s="11" t="inlineStr">
        <is>
          <t>Loporrit Scout / Batedor Loporrit</t>
        </is>
      </c>
      <c r="B326" s="11" t="inlineStr">
        <is>
          <t>Criatura — Coelho Batedor</t>
        </is>
      </c>
      <c r="C326" s="11" t="inlineStr">
        <is>
          <t>Comum</t>
        </is>
      </c>
      <c r="D326" s="11" t="inlineStr">
        <is>
          <t>Sempre que outra criatura que você controla entrar, esta criatura recebe +1/+1 até o final do turno.</t>
        </is>
      </c>
      <c r="E326" s="11" t="inlineStr">
        <is>
          <t>2{G}</t>
        </is>
      </c>
      <c r="F326" s="11" t="inlineStr">
        <is>
          <t>Verde</t>
        </is>
      </c>
      <c r="G326" s="8" t="n">
        <v>0.1</v>
      </c>
      <c r="H326" s="11" t="inlineStr">
        <is>
          <t>Final Fantasy</t>
        </is>
      </c>
      <c r="I326" s="11" t="inlineStr">
        <is>
          <t>Não</t>
        </is>
      </c>
      <c r="J326" s="11" t="n">
        <v>2025</v>
      </c>
      <c r="K326" s="10" t="n">
        <v>46056</v>
      </c>
      <c r="L326" s="11" t="n">
        <v>2</v>
      </c>
      <c r="M326" s="8">
        <f>L326*G326</f>
        <v/>
      </c>
      <c r="P326" s="9" t="n"/>
    </row>
    <row r="327">
      <c r="A327" s="11" t="inlineStr">
        <is>
          <t>Astrologian's Planisphere / Planisfério do Astrólogo</t>
        </is>
      </c>
      <c r="B327" s="11" t="inlineStr">
        <is>
          <t>Artefato — Equipamento</t>
        </is>
      </c>
      <c r="C327" s="11" t="inlineStr">
        <is>
          <t>Rara</t>
        </is>
      </c>
      <c r="D327" s="11"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7" s="11" t="inlineStr">
        <is>
          <t>1{U}</t>
        </is>
      </c>
      <c r="F327" s="11" t="inlineStr">
        <is>
          <t>Azul</t>
        </is>
      </c>
      <c r="G327" s="8" t="n">
        <v>3.2</v>
      </c>
      <c r="H327" s="11" t="inlineStr">
        <is>
          <t>Final Fantasy</t>
        </is>
      </c>
      <c r="I327" s="11" t="inlineStr">
        <is>
          <t>Não</t>
        </is>
      </c>
      <c r="J327" s="11" t="n">
        <v>2025</v>
      </c>
      <c r="L327" s="11" t="n">
        <v>1</v>
      </c>
      <c r="M327" s="8">
        <f>L327*G327</f>
        <v/>
      </c>
      <c r="P327" s="9" t="n"/>
    </row>
    <row r="328">
      <c r="A328" s="11" t="inlineStr">
        <is>
          <t>Summon: Leviathan / Invocação: Leviatã</t>
        </is>
      </c>
      <c r="B328" s="11" t="inlineStr">
        <is>
          <t>Encantamento Criatura — Saga Leviatã</t>
        </is>
      </c>
      <c r="C328" s="11" t="inlineStr">
        <is>
          <t>Rara</t>
        </is>
      </c>
      <c r="D328" s="11"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8" s="11" t="inlineStr">
        <is>
          <t>4{U}{U}</t>
        </is>
      </c>
      <c r="F328" s="11" t="inlineStr">
        <is>
          <t>Azul</t>
        </is>
      </c>
      <c r="G328" s="8" t="n">
        <v>2.3</v>
      </c>
      <c r="H328" s="11" t="inlineStr">
        <is>
          <t>Final Fantasy</t>
        </is>
      </c>
      <c r="I328" s="11" t="inlineStr">
        <is>
          <t>Não</t>
        </is>
      </c>
      <c r="J328" s="11" t="n">
        <v>2025</v>
      </c>
      <c r="K328" s="10" t="n">
        <v>46179</v>
      </c>
      <c r="L328" s="11" t="n">
        <v>1</v>
      </c>
      <c r="M328" s="8">
        <f>L328*G328</f>
        <v/>
      </c>
      <c r="P328" s="9" t="n"/>
    </row>
    <row r="329">
      <c r="A329" s="11" t="inlineStr">
        <is>
          <t>Edgar, King of Figaro / Edgar, Rei de Figaro</t>
        </is>
      </c>
      <c r="B329" s="11" t="inlineStr">
        <is>
          <t>Criatura Lendária — Humano Artífice Nobre</t>
        </is>
      </c>
      <c r="C329" s="11" t="inlineStr">
        <is>
          <t>Rara</t>
        </is>
      </c>
      <c r="D329" s="11" t="inlineStr">
        <is>
          <t>Quando Edgar entrar, compre um card para cada artefato que você controla. Moeda de Duas Caras — Na primeira vez que você lançar uma ou mais moedas a cada turno, aquelas moedas dão cara e você vence aqueles lançamentos.</t>
        </is>
      </c>
      <c r="E329" s="11" t="inlineStr">
        <is>
          <t>4{U}{U}</t>
        </is>
      </c>
      <c r="F329" s="11" t="inlineStr">
        <is>
          <t>Azul</t>
        </is>
      </c>
      <c r="G329" s="8" t="n">
        <v>0.73</v>
      </c>
      <c r="H329" s="11" t="inlineStr">
        <is>
          <t>Final Fantasy</t>
        </is>
      </c>
      <c r="I329" s="11" t="inlineStr">
        <is>
          <t>Não</t>
        </is>
      </c>
      <c r="J329" s="11" t="n">
        <v>2025</v>
      </c>
      <c r="K329" s="10" t="n">
        <v>46146</v>
      </c>
      <c r="L329" s="11" t="n">
        <v>1</v>
      </c>
      <c r="M329" s="8">
        <f>L329*G329</f>
        <v/>
      </c>
      <c r="P329" s="9" t="n"/>
    </row>
    <row r="330">
      <c r="A330" s="11" t="inlineStr">
        <is>
          <t>Sahagin</t>
        </is>
      </c>
      <c r="B330" s="11" t="inlineStr">
        <is>
          <t>Creature — Merfolk Warrior</t>
        </is>
      </c>
      <c r="C330" s="11" t="inlineStr">
        <is>
          <t>Comum</t>
        </is>
      </c>
      <c r="D330" s="11" t="inlineStr">
        <is>
          <t>Whenever you cast a noncreature spell, if at least four mana was spent to cast it, put a +1/+1 counter on this creature and it can't be blocked this turn.</t>
        </is>
      </c>
      <c r="E330" s="11" t="inlineStr">
        <is>
          <t>1U</t>
        </is>
      </c>
      <c r="F330" s="11" t="inlineStr">
        <is>
          <t>Azul</t>
        </is>
      </c>
      <c r="G330" s="8" t="n">
        <v>0.05</v>
      </c>
      <c r="H330" s="11" t="inlineStr">
        <is>
          <t>Final Fantasy (FFXIV)</t>
        </is>
      </c>
      <c r="I330" s="11" t="inlineStr">
        <is>
          <t>Não</t>
        </is>
      </c>
      <c r="J330" s="11" t="n">
        <v>2025</v>
      </c>
      <c r="K330" s="10" t="n">
        <v>46082</v>
      </c>
      <c r="L330" s="11" t="n">
        <v>6</v>
      </c>
      <c r="M330" s="8">
        <f>L330*G330</f>
        <v/>
      </c>
      <c r="P330" s="9" t="n"/>
    </row>
    <row r="331">
      <c r="A331" s="11" t="inlineStr">
        <is>
          <t>Sahagin</t>
        </is>
      </c>
      <c r="B331" s="11" t="inlineStr">
        <is>
          <t>Creature — Merfolk Warrior</t>
        </is>
      </c>
      <c r="C331" s="11" t="inlineStr">
        <is>
          <t>Comum</t>
        </is>
      </c>
      <c r="D331" s="11" t="inlineStr">
        <is>
          <t>Whenever you cast a noncreature spell, if at least four mana was spent to cast it, put a +1/+1 counter on this creature and it can't be blocked this turn.</t>
        </is>
      </c>
      <c r="E331" s="11" t="inlineStr">
        <is>
          <t>1U</t>
        </is>
      </c>
      <c r="F331" s="11" t="inlineStr">
        <is>
          <t>Azul</t>
        </is>
      </c>
      <c r="G331" s="8" t="n">
        <v>0.05</v>
      </c>
      <c r="H331" s="11" t="inlineStr">
        <is>
          <t>Final Fantasy (FFXIV)</t>
        </is>
      </c>
      <c r="I331" s="11" t="inlineStr">
        <is>
          <t>Sim</t>
        </is>
      </c>
      <c r="J331" s="11" t="n">
        <v>2025</v>
      </c>
      <c r="K331" s="10" t="n">
        <v>46082</v>
      </c>
      <c r="L331" s="11" t="n">
        <v>1</v>
      </c>
      <c r="M331" s="8">
        <f>L331*G331</f>
        <v/>
      </c>
      <c r="P331" s="9" t="n"/>
    </row>
    <row r="332">
      <c r="A332" s="11" t="inlineStr">
        <is>
          <t>Dragoon's Wyvern</t>
        </is>
      </c>
      <c r="B332" s="11" t="inlineStr">
        <is>
          <t>Creature — Drake</t>
        </is>
      </c>
      <c r="C332" s="11" t="inlineStr">
        <is>
          <t>Comum</t>
        </is>
      </c>
      <c r="D332" s="11" t="inlineStr">
        <is>
          <t>Flying When this creature enters, create a 1/1 colorless Hero creature token.</t>
        </is>
      </c>
      <c r="E332" s="11" t="inlineStr">
        <is>
          <t>2U</t>
        </is>
      </c>
      <c r="F332" s="11" t="inlineStr">
        <is>
          <t>Azul</t>
        </is>
      </c>
      <c r="G332" s="8" t="n">
        <v>0.05</v>
      </c>
      <c r="H332" s="11" t="inlineStr">
        <is>
          <t>Final Fantasy (FFXI)</t>
        </is>
      </c>
      <c r="I332" s="11" t="inlineStr">
        <is>
          <t>Não</t>
        </is>
      </c>
      <c r="J332" s="11" t="n">
        <v>2025</v>
      </c>
      <c r="K332" s="10" t="n">
        <v>46024</v>
      </c>
      <c r="L332" s="11" t="n">
        <v>3</v>
      </c>
      <c r="M332" s="8">
        <f>L332*G332</f>
        <v/>
      </c>
      <c r="P332" s="9" t="n"/>
    </row>
    <row r="333">
      <c r="A333" s="11" t="inlineStr">
        <is>
          <t>Il Mheg Pixie</t>
        </is>
      </c>
      <c r="B333" s="11" t="inlineStr">
        <is>
          <t>Creature — Faerie</t>
        </is>
      </c>
      <c r="C333" s="11" t="inlineStr">
        <is>
          <t>Incomum</t>
        </is>
      </c>
      <c r="D333" s="11" t="inlineStr">
        <is>
          <t>Flying Whenever this creature attacks, surveil 1. (Look at the top card of your library. You may put it into your graveyard.)</t>
        </is>
      </c>
      <c r="E333" s="11" t="inlineStr">
        <is>
          <t>1U</t>
        </is>
      </c>
      <c r="F333" s="11" t="inlineStr">
        <is>
          <t>Azul</t>
        </is>
      </c>
      <c r="G333" s="8" t="n">
        <v>0.05</v>
      </c>
      <c r="H333" s="11" t="inlineStr">
        <is>
          <t>Final Fantasy (FFXIV)</t>
        </is>
      </c>
      <c r="I333" s="11" t="inlineStr">
        <is>
          <t>Não</t>
        </is>
      </c>
      <c r="J333" s="11" t="n">
        <v>2025</v>
      </c>
      <c r="K333" s="10" t="n">
        <v>46024</v>
      </c>
      <c r="L333" s="11" t="n">
        <v>2</v>
      </c>
      <c r="M333" s="8">
        <f>L333*G333</f>
        <v/>
      </c>
      <c r="P333" s="9" t="n"/>
    </row>
    <row r="334">
      <c r="A334" s="11" t="inlineStr">
        <is>
          <t>Magic Damper</t>
        </is>
      </c>
      <c r="B334" s="11" t="inlineStr">
        <is>
          <t>Instant</t>
        </is>
      </c>
      <c r="C334" s="11" t="inlineStr">
        <is>
          <t>Comum</t>
        </is>
      </c>
      <c r="D334" s="11" t="inlineStr">
        <is>
          <t>Target creature you control gets +1/+1 and gains hexproof until end of turn. Untap it.</t>
        </is>
      </c>
      <c r="E334" s="11" t="inlineStr">
        <is>
          <t>U</t>
        </is>
      </c>
      <c r="F334" s="11" t="inlineStr">
        <is>
          <t>Azul</t>
        </is>
      </c>
      <c r="G334" s="8" t="n">
        <v>0.2</v>
      </c>
      <c r="H334" s="11" t="inlineStr">
        <is>
          <t>Final Fantasy (FFXIII)</t>
        </is>
      </c>
      <c r="I334" s="11" t="inlineStr">
        <is>
          <t>Não</t>
        </is>
      </c>
      <c r="J334" s="11" t="n">
        <v>2025</v>
      </c>
      <c r="L334" s="11" t="n">
        <v>6</v>
      </c>
      <c r="M334" s="8">
        <f>L334*G334</f>
        <v/>
      </c>
      <c r="P334" s="9" t="n"/>
    </row>
    <row r="335">
      <c r="A335" s="11" t="inlineStr">
        <is>
          <t>Ice Flan / Pudim de Gelo</t>
        </is>
      </c>
      <c r="B335" s="11" t="inlineStr">
        <is>
          <t>Criatura — Elemental Geléia</t>
        </is>
      </c>
      <c r="C335" s="11" t="inlineStr">
        <is>
          <t>Comum</t>
        </is>
      </c>
      <c r="D335" s="11"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5" s="11" t="inlineStr">
        <is>
          <t>4{U}{U}</t>
        </is>
      </c>
      <c r="F335" s="11" t="inlineStr">
        <is>
          <t>Azul</t>
        </is>
      </c>
      <c r="G335" s="8" t="n">
        <v>0.05</v>
      </c>
      <c r="H335" s="11" t="inlineStr">
        <is>
          <t>Final Fantasy</t>
        </is>
      </c>
      <c r="I335" s="11" t="inlineStr">
        <is>
          <t>Não</t>
        </is>
      </c>
      <c r="J335" s="11" t="n">
        <v>2025</v>
      </c>
      <c r="K335" s="10" t="n">
        <v>46117</v>
      </c>
      <c r="L335" s="11" t="n">
        <v>7</v>
      </c>
      <c r="M335" s="8">
        <f>L335*G335</f>
        <v/>
      </c>
      <c r="P335" s="9" t="n"/>
    </row>
    <row r="336">
      <c r="A336" s="11" t="inlineStr">
        <is>
          <t>Ice Flan / Pudim de Gelo</t>
        </is>
      </c>
      <c r="B336" s="11" t="inlineStr">
        <is>
          <t>Criatura — Elemental Geléia</t>
        </is>
      </c>
      <c r="C336" s="11" t="inlineStr">
        <is>
          <t>Comum</t>
        </is>
      </c>
      <c r="D336" s="11"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6" s="11" t="inlineStr">
        <is>
          <t>4{U}{U}</t>
        </is>
      </c>
      <c r="F336" s="11" t="inlineStr">
        <is>
          <t>Azul</t>
        </is>
      </c>
      <c r="G336" s="8" t="n">
        <v>0.24</v>
      </c>
      <c r="H336" s="11" t="inlineStr">
        <is>
          <t>Final Fantasy</t>
        </is>
      </c>
      <c r="I336" s="11" t="inlineStr">
        <is>
          <t>Sim</t>
        </is>
      </c>
      <c r="J336" s="11" t="n">
        <v>2025</v>
      </c>
      <c r="K336" s="10" t="n">
        <v>46117</v>
      </c>
      <c r="L336" s="11" t="n">
        <v>2</v>
      </c>
      <c r="M336" s="8">
        <f>L336*G336</f>
        <v/>
      </c>
      <c r="P336" s="9" t="n"/>
    </row>
    <row r="337">
      <c r="A337" s="11" t="inlineStr">
        <is>
          <t>Combat Tutorial / Tutorial de Combate</t>
        </is>
      </c>
      <c r="B337" s="11" t="inlineStr">
        <is>
          <t>Feitiço</t>
        </is>
      </c>
      <c r="C337" s="11" t="inlineStr">
        <is>
          <t>Comum</t>
        </is>
      </c>
      <c r="D337" s="11" t="inlineStr">
        <is>
          <t>O jogador alvo compra dois cards. Coloque um marcador +1/+1 em até uma criatura alvo que você controla.</t>
        </is>
      </c>
      <c r="E337" s="11" t="inlineStr">
        <is>
          <t>2{U}</t>
        </is>
      </c>
      <c r="F337" s="11" t="inlineStr">
        <is>
          <t>Azul</t>
        </is>
      </c>
      <c r="G337" s="8" t="n">
        <v>0.1</v>
      </c>
      <c r="H337" s="11" t="inlineStr">
        <is>
          <t>Final Fantasy</t>
        </is>
      </c>
      <c r="I337" s="11" t="inlineStr">
        <is>
          <t>Não</t>
        </is>
      </c>
      <c r="J337" s="11" t="n">
        <v>2025</v>
      </c>
      <c r="L337" s="11" t="n">
        <v>7</v>
      </c>
      <c r="M337" s="8">
        <f>L337*G337</f>
        <v/>
      </c>
      <c r="P337" s="9" t="n"/>
    </row>
    <row r="338">
      <c r="A338" s="11" t="inlineStr">
        <is>
          <t>Syncopate / Síncope</t>
        </is>
      </c>
      <c r="B338" s="11" t="inlineStr">
        <is>
          <t>Mágica Instantânea</t>
        </is>
      </c>
      <c r="C338" s="11" t="inlineStr">
        <is>
          <t>Comum</t>
        </is>
      </c>
      <c r="D338" s="11" t="inlineStr">
        <is>
          <t>Anule a mágica alvo, a menos que seu controlador pague {X}. Se aquela mágica for anulada deste modo, exile-a em vez de colocá-la no cemitério de seu dono.</t>
        </is>
      </c>
      <c r="E338" s="11" t="inlineStr">
        <is>
          <t>{X}{U}</t>
        </is>
      </c>
      <c r="F338" s="11" t="inlineStr">
        <is>
          <t>Azul</t>
        </is>
      </c>
      <c r="G338" s="8" t="n">
        <v>0.05</v>
      </c>
      <c r="H338" s="11" t="inlineStr">
        <is>
          <t>Final Fantasy</t>
        </is>
      </c>
      <c r="I338" s="11" t="inlineStr">
        <is>
          <t>Não</t>
        </is>
      </c>
      <c r="J338" s="11" t="n">
        <v>2025</v>
      </c>
      <c r="L338" s="11" t="n">
        <v>6</v>
      </c>
      <c r="M338" s="8">
        <f>L338*G338</f>
        <v/>
      </c>
      <c r="P338" s="9" t="n"/>
    </row>
    <row r="339">
      <c r="A339" s="11" t="inlineStr">
        <is>
          <t>Dreams of Laguna / Sonhos de Laguna</t>
        </is>
      </c>
      <c r="B339" s="11" t="inlineStr">
        <is>
          <t>Mágica Instantânea</t>
        </is>
      </c>
      <c r="C339" s="11" t="inlineStr">
        <is>
          <t>Comum</t>
        </is>
      </c>
      <c r="D339" s="11" t="inlineStr">
        <is>
          <t>Vigie 1, depois compre um card. (Para vigiar 1, olhe o card do topo de seu grimório. Você pode colocá-lo em seu cemitério.) Recapitular {3}{U} (Você pode conjurar este card de seu cemitério pagando seu custo de recapitular. Depois, exile-o.)</t>
        </is>
      </c>
      <c r="E339" s="11" t="inlineStr">
        <is>
          <t>1{U}</t>
        </is>
      </c>
      <c r="F339" s="11" t="inlineStr">
        <is>
          <t>Azul</t>
        </is>
      </c>
      <c r="G339" s="8" t="n">
        <v>0.05</v>
      </c>
      <c r="H339" s="11" t="inlineStr">
        <is>
          <t>Final Fantasy</t>
        </is>
      </c>
      <c r="I339" s="11" t="inlineStr">
        <is>
          <t>Não</t>
        </is>
      </c>
      <c r="J339" s="11" t="n">
        <v>2025</v>
      </c>
      <c r="L339" s="11" t="n">
        <v>8</v>
      </c>
      <c r="M339" s="8">
        <f>L339*G339</f>
        <v/>
      </c>
      <c r="P339" s="9" t="n"/>
    </row>
    <row r="340">
      <c r="A340" s="11" t="inlineStr">
        <is>
          <t>Dreams of Laguna / Sonhos de Laguna</t>
        </is>
      </c>
      <c r="B340" s="11" t="inlineStr">
        <is>
          <t>Mágica Instantânea</t>
        </is>
      </c>
      <c r="C340" s="11" t="inlineStr">
        <is>
          <t>Comum</t>
        </is>
      </c>
      <c r="D340" s="11" t="inlineStr">
        <is>
          <t>Vigie 1, depois compre um card. (Para vigiar 1, olhe o card do topo de seu grimório. Você pode colocá-lo em seu cemitério.) Recapitular {3}{U} (Você pode conjurar este card de seu cemitério pagando seu custo de recapitular. Depois, exile-o.)</t>
        </is>
      </c>
      <c r="E340" s="11" t="inlineStr">
        <is>
          <t>1{U}</t>
        </is>
      </c>
      <c r="F340" s="11" t="inlineStr">
        <is>
          <t>Azul</t>
        </is>
      </c>
      <c r="G340" s="8" t="n">
        <v>0.25</v>
      </c>
      <c r="H340" s="11" t="inlineStr">
        <is>
          <t>Final Fantasy</t>
        </is>
      </c>
      <c r="I340" s="11" t="inlineStr">
        <is>
          <t>Sim</t>
        </is>
      </c>
      <c r="J340" s="11" t="n">
        <v>2025</v>
      </c>
      <c r="L340" s="11" t="n">
        <v>1</v>
      </c>
      <c r="M340" s="8">
        <f>L340*G340</f>
        <v/>
      </c>
      <c r="P340" s="9" t="n"/>
    </row>
    <row r="341">
      <c r="A341" s="11" t="inlineStr">
        <is>
          <t>Retrieve the Esper / Recuperar o Esper</t>
        </is>
      </c>
      <c r="B341" s="11" t="inlineStr">
        <is>
          <t>Feitiço</t>
        </is>
      </c>
      <c r="C341" s="11" t="inlineStr">
        <is>
          <t>Comum</t>
        </is>
      </c>
      <c r="D341" s="11"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1" s="11" t="inlineStr">
        <is>
          <t>3{U}</t>
        </is>
      </c>
      <c r="F341" s="11" t="inlineStr">
        <is>
          <t>Azul</t>
        </is>
      </c>
      <c r="G341" s="8" t="n">
        <v>0.05</v>
      </c>
      <c r="H341" s="11" t="inlineStr">
        <is>
          <t>Final Fantasy</t>
        </is>
      </c>
      <c r="I341" s="11" t="inlineStr">
        <is>
          <t>Não</t>
        </is>
      </c>
      <c r="J341" s="11" t="n">
        <v>2025</v>
      </c>
      <c r="L341" s="11" t="n">
        <v>6</v>
      </c>
      <c r="M341" s="8">
        <f>L341*G341</f>
        <v/>
      </c>
      <c r="P341" s="9" t="n"/>
    </row>
    <row r="342">
      <c r="A342" s="11" t="inlineStr">
        <is>
          <t>Retrieve the Esper / Recuperar o Esper</t>
        </is>
      </c>
      <c r="B342" s="11" t="inlineStr">
        <is>
          <t>Feitiço</t>
        </is>
      </c>
      <c r="C342" s="11" t="inlineStr">
        <is>
          <t>Comum</t>
        </is>
      </c>
      <c r="D342" s="11"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2" s="11" t="inlineStr">
        <is>
          <t>3{U}</t>
        </is>
      </c>
      <c r="F342" s="11" t="inlineStr">
        <is>
          <t>Azul</t>
        </is>
      </c>
      <c r="G342" s="8" t="n">
        <v>0.14</v>
      </c>
      <c r="H342" s="11" t="inlineStr">
        <is>
          <t>Final Fantasy</t>
        </is>
      </c>
      <c r="I342" s="11" t="inlineStr">
        <is>
          <t>Sim</t>
        </is>
      </c>
      <c r="J342" s="11" t="n">
        <v>2025</v>
      </c>
      <c r="L342" s="11" t="n">
        <v>3</v>
      </c>
      <c r="M342" s="8">
        <f>L342*G342</f>
        <v/>
      </c>
      <c r="P342" s="9" t="n"/>
    </row>
    <row r="343">
      <c r="A343" s="11" t="inlineStr">
        <is>
          <t>Scorpion Sentinel / Sentinela Escorpião</t>
        </is>
      </c>
      <c r="B343" s="11" t="inlineStr">
        <is>
          <t>Criatura Artefato — Robô Escorpião</t>
        </is>
      </c>
      <c r="C343" s="11" t="inlineStr">
        <is>
          <t>Comum</t>
        </is>
      </c>
      <c r="D343" s="11" t="inlineStr">
        <is>
          <t>Enquanto você controlar sete ou mais terrenos, esta criatura receberá +3/+0.</t>
        </is>
      </c>
      <c r="E343" s="11" t="inlineStr">
        <is>
          <t>1{U}</t>
        </is>
      </c>
      <c r="F343" s="11" t="inlineStr">
        <is>
          <t>Azul</t>
        </is>
      </c>
      <c r="G343" s="8" t="n">
        <v>0.05</v>
      </c>
      <c r="H343" s="11" t="inlineStr">
        <is>
          <t>Final Fantasy</t>
        </is>
      </c>
      <c r="I343" s="11" t="inlineStr">
        <is>
          <t>Não</t>
        </is>
      </c>
      <c r="J343" s="11" t="n">
        <v>2025</v>
      </c>
      <c r="K343" s="10" t="n">
        <v>46113</v>
      </c>
      <c r="L343" s="11" t="n">
        <v>5</v>
      </c>
      <c r="M343" s="8">
        <f>L343*G343</f>
        <v/>
      </c>
      <c r="P343" s="9" t="n"/>
    </row>
    <row r="344">
      <c r="A344" s="11" t="inlineStr">
        <is>
          <t>Scorpion Sentinel / Sentinela Escorpião</t>
        </is>
      </c>
      <c r="B344" s="11" t="inlineStr">
        <is>
          <t>Criatura Artefato — Robô Escorpião</t>
        </is>
      </c>
      <c r="C344" s="11" t="inlineStr">
        <is>
          <t>Comum</t>
        </is>
      </c>
      <c r="D344" s="11" t="inlineStr">
        <is>
          <t>Enquanto você controlar sete ou mais terrenos, esta criatura receberá +3/+0.</t>
        </is>
      </c>
      <c r="E344" s="11" t="inlineStr">
        <is>
          <t>1{U}</t>
        </is>
      </c>
      <c r="F344" s="11" t="inlineStr">
        <is>
          <t>Azul</t>
        </is>
      </c>
      <c r="G344" s="8" t="n">
        <v>0.24</v>
      </c>
      <c r="H344" s="11" t="inlineStr">
        <is>
          <t>Final Fantasy</t>
        </is>
      </c>
      <c r="I344" s="11" t="inlineStr">
        <is>
          <t>Sim</t>
        </is>
      </c>
      <c r="J344" s="11" t="n">
        <v>2025</v>
      </c>
      <c r="K344" s="10" t="n">
        <v>46113</v>
      </c>
      <c r="L344" s="11" t="n">
        <v>1</v>
      </c>
      <c r="M344" s="8">
        <f>L344*G344</f>
        <v/>
      </c>
      <c r="P344" s="9" t="n"/>
    </row>
    <row r="345">
      <c r="A345" s="11" t="inlineStr">
        <is>
          <t>Sage's Nouliths / Nouliths do Sábio</t>
        </is>
      </c>
      <c r="B345" s="11" t="inlineStr">
        <is>
          <t>Artefato — Equipamento</t>
        </is>
      </c>
      <c r="C345" s="11" t="inlineStr">
        <is>
          <t>Comum</t>
        </is>
      </c>
      <c r="D345" s="11"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5" s="11" t="inlineStr">
        <is>
          <t>1{U}</t>
        </is>
      </c>
      <c r="F345" s="11" t="inlineStr">
        <is>
          <t>Azul</t>
        </is>
      </c>
      <c r="G345" s="8" t="n">
        <v>0.09</v>
      </c>
      <c r="H345" s="11" t="inlineStr">
        <is>
          <t>Final Fantasy</t>
        </is>
      </c>
      <c r="I345" s="11" t="inlineStr">
        <is>
          <t>Não</t>
        </is>
      </c>
      <c r="J345" s="11" t="n">
        <v>2025</v>
      </c>
      <c r="L345" s="11" t="n">
        <v>5</v>
      </c>
      <c r="M345" s="8">
        <f>L345*G345</f>
        <v/>
      </c>
      <c r="P345" s="9" t="n"/>
    </row>
    <row r="346">
      <c r="A346" s="11" t="inlineStr">
        <is>
          <t>Ether / Éter</t>
        </is>
      </c>
      <c r="B346" s="11" t="inlineStr">
        <is>
          <t>Artefato</t>
        </is>
      </c>
      <c r="C346" s="11" t="inlineStr">
        <is>
          <t>Incomum</t>
        </is>
      </c>
      <c r="D346" s="11" t="inlineStr">
        <is>
          <t>{T}, Exile este artefato: Adicione {U}. Quando você conjurar sua próxima mágica instantânea ou de feitiço neste turno, copie aquela mágica. Você pode escolher novos alvos para a cópia.</t>
        </is>
      </c>
      <c r="E346" s="11" t="inlineStr">
        <is>
          <t>3{U}</t>
        </is>
      </c>
      <c r="F346" s="11" t="inlineStr">
        <is>
          <t>Azul</t>
        </is>
      </c>
      <c r="G346" s="8" t="n">
        <v>0.2</v>
      </c>
      <c r="H346" s="11" t="inlineStr">
        <is>
          <t>Final Fantasy</t>
        </is>
      </c>
      <c r="I346" s="11" t="inlineStr">
        <is>
          <t>Não</t>
        </is>
      </c>
      <c r="J346" s="11" t="n">
        <v>2025</v>
      </c>
      <c r="L346" s="11" t="n">
        <v>1</v>
      </c>
      <c r="M346" s="8">
        <f>L346*G346</f>
        <v/>
      </c>
      <c r="P346" s="9" t="n"/>
    </row>
    <row r="347">
      <c r="A347" s="11" t="inlineStr">
        <is>
          <t>Sidequest: Card Collection / Missão Secundária: Coleção de Cards</t>
        </is>
      </c>
      <c r="B347" s="11" t="inlineStr">
        <is>
          <t>Encantamento</t>
        </is>
      </c>
      <c r="C347" s="11" t="inlineStr">
        <is>
          <t>Incomum</t>
        </is>
      </c>
      <c r="D347" s="11" t="inlineStr">
        <is>
          <t>Quando este encantamento entrar, compre três cards e depois descarte dois cards. No início de sua etapa final, se houver oito ou mais cards em seu cemitério, transforme este encantamento.</t>
        </is>
      </c>
      <c r="E347" s="11" t="inlineStr">
        <is>
          <t>3{U}</t>
        </is>
      </c>
      <c r="F347" s="11" t="inlineStr">
        <is>
          <t>Azul</t>
        </is>
      </c>
      <c r="G347" s="8" t="n">
        <v>0.14</v>
      </c>
      <c r="H347" s="11" t="inlineStr">
        <is>
          <t>Final Fantasy</t>
        </is>
      </c>
      <c r="I347" s="11" t="inlineStr">
        <is>
          <t>Não</t>
        </is>
      </c>
      <c r="J347" s="11" t="n">
        <v>2025</v>
      </c>
      <c r="L347" s="11" t="n">
        <v>1</v>
      </c>
      <c r="M347" s="8">
        <f>L347*G347</f>
        <v/>
      </c>
      <c r="P347" s="9" t="n"/>
    </row>
    <row r="348">
      <c r="A348" s="11" t="inlineStr">
        <is>
          <t>Ultros, Obnoxious Octopus / Ultros, Polvo Inconveniente</t>
        </is>
      </c>
      <c r="B348" s="11" t="inlineStr">
        <is>
          <t>Criatura Lendária — Polvo</t>
        </is>
      </c>
      <c r="C348" s="11" t="inlineStr">
        <is>
          <t>Incomum</t>
        </is>
      </c>
      <c r="D348" s="11"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8" s="11" t="inlineStr">
        <is>
          <t>1{U}</t>
        </is>
      </c>
      <c r="F348" s="11" t="inlineStr">
        <is>
          <t>Azul</t>
        </is>
      </c>
      <c r="G348" s="8" t="n">
        <v>0.05</v>
      </c>
      <c r="H348" s="11" t="inlineStr">
        <is>
          <t>Final Fantasy</t>
        </is>
      </c>
      <c r="I348" s="11" t="inlineStr">
        <is>
          <t>Não</t>
        </is>
      </c>
      <c r="J348" s="11" t="n">
        <v>2025</v>
      </c>
      <c r="K348" s="10" t="n">
        <v>46024</v>
      </c>
      <c r="L348" s="11" t="n">
        <v>2</v>
      </c>
      <c r="M348" s="8">
        <f>L348*G348</f>
        <v/>
      </c>
      <c r="P348" s="9" t="n"/>
    </row>
    <row r="349">
      <c r="A349" s="11" t="inlineStr">
        <is>
          <t>Quistis Trepe / Quistis Trepe</t>
        </is>
      </c>
      <c r="B349" s="11" t="inlineStr">
        <is>
          <t>Criatura Lendária — Humano Mago</t>
        </is>
      </c>
      <c r="C349" s="11" t="inlineStr">
        <is>
          <t>Incomum</t>
        </is>
      </c>
      <c r="D349" s="11"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9" s="11" t="inlineStr">
        <is>
          <t>2{U}</t>
        </is>
      </c>
      <c r="F349" s="11" t="inlineStr">
        <is>
          <t>Azul</t>
        </is>
      </c>
      <c r="G349" s="8" t="n">
        <v>1.13</v>
      </c>
      <c r="H349" s="11" t="inlineStr">
        <is>
          <t>Final Fantasy</t>
        </is>
      </c>
      <c r="I349" s="11" t="inlineStr">
        <is>
          <t>Sim</t>
        </is>
      </c>
      <c r="J349" s="11" t="n">
        <v>2025</v>
      </c>
      <c r="K349" s="10" t="n">
        <v>46055</v>
      </c>
      <c r="L349" s="11" t="n">
        <v>1</v>
      </c>
      <c r="M349" s="8">
        <f>L349*G349</f>
        <v/>
      </c>
      <c r="P349" s="9" t="n"/>
    </row>
    <row r="350">
      <c r="A350" s="11" t="inlineStr">
        <is>
          <t>Rook Turret / Torre de Torreão</t>
        </is>
      </c>
      <c r="B350" s="11" t="inlineStr">
        <is>
          <t>Criatura Artefato — Construto</t>
        </is>
      </c>
      <c r="C350" s="11" t="inlineStr">
        <is>
          <t>Comum</t>
        </is>
      </c>
      <c r="D350" s="11" t="inlineStr">
        <is>
          <t>Voar. Sempre que outro artefato que você controla entrar, você poderá comprar um card. Se fizer isso, descarte um card.</t>
        </is>
      </c>
      <c r="E350" s="11" t="inlineStr">
        <is>
          <t>3{U}</t>
        </is>
      </c>
      <c r="F350" s="11" t="inlineStr">
        <is>
          <t>Azul</t>
        </is>
      </c>
      <c r="G350" s="8" t="n">
        <v>0.05</v>
      </c>
      <c r="H350" s="11" t="inlineStr">
        <is>
          <t>Final Fantasy</t>
        </is>
      </c>
      <c r="I350" s="11" t="inlineStr">
        <is>
          <t>Não</t>
        </is>
      </c>
      <c r="J350" s="11" t="n">
        <v>2025</v>
      </c>
      <c r="K350" s="10" t="n">
        <v>46084</v>
      </c>
      <c r="L350" s="11" t="n">
        <v>4</v>
      </c>
      <c r="M350" s="8">
        <f>L350*G350</f>
        <v/>
      </c>
      <c r="P350" s="9" t="n"/>
    </row>
    <row r="351">
      <c r="A351" s="11" t="inlineStr">
        <is>
          <t>Rook Turret / Torre de Torreão</t>
        </is>
      </c>
      <c r="B351" s="11" t="inlineStr">
        <is>
          <t>Criatura Artefato — Construto</t>
        </is>
      </c>
      <c r="C351" s="11" t="inlineStr">
        <is>
          <t>Comum</t>
        </is>
      </c>
      <c r="D351" s="11" t="inlineStr">
        <is>
          <t>Voar. Sempre que outro artefato que você controla entrar, você poderá comprar um card. Se fizer isso, descarte um card.</t>
        </is>
      </c>
      <c r="E351" s="11" t="inlineStr">
        <is>
          <t>3{U}</t>
        </is>
      </c>
      <c r="F351" s="11" t="inlineStr">
        <is>
          <t>Azul</t>
        </is>
      </c>
      <c r="G351" s="8" t="n">
        <v>0.4</v>
      </c>
      <c r="H351" s="11" t="inlineStr">
        <is>
          <t>Final Fantasy</t>
        </is>
      </c>
      <c r="I351" s="11" t="inlineStr">
        <is>
          <t>Sim</t>
        </is>
      </c>
      <c r="J351" s="11" t="n">
        <v>2025</v>
      </c>
      <c r="K351" s="10" t="n">
        <v>46084</v>
      </c>
      <c r="L351" s="11" t="n">
        <v>2</v>
      </c>
      <c r="M351" s="8">
        <f>L351*G351</f>
        <v/>
      </c>
      <c r="P351" s="9" t="n"/>
    </row>
    <row r="352">
      <c r="A352" s="11" t="inlineStr">
        <is>
          <t>Eject / Ejetar</t>
        </is>
      </c>
      <c r="B352" s="11" t="inlineStr">
        <is>
          <t>Mágica Instantânea</t>
        </is>
      </c>
      <c r="C352" s="11" t="inlineStr">
        <is>
          <t>Incomum</t>
        </is>
      </c>
      <c r="D352" s="11" t="inlineStr">
        <is>
          <t>Esta mágica não pode ser anulada. Devolva a permanente alvo não de terreno para a mão de seu dono. Compre um card.</t>
        </is>
      </c>
      <c r="E352" s="11" t="inlineStr">
        <is>
          <t>3{U}</t>
        </is>
      </c>
      <c r="F352" s="11" t="inlineStr">
        <is>
          <t>Azul</t>
        </is>
      </c>
      <c r="G352" s="8" t="n">
        <v>0.14</v>
      </c>
      <c r="H352" s="11" t="inlineStr">
        <is>
          <t>Final Fantasy</t>
        </is>
      </c>
      <c r="I352" s="11" t="inlineStr">
        <is>
          <t>Não</t>
        </is>
      </c>
      <c r="J352" s="11" t="n">
        <v>2025</v>
      </c>
      <c r="L352" s="11" t="n">
        <v>3</v>
      </c>
      <c r="M352" s="8">
        <f>L352*G352</f>
        <v/>
      </c>
      <c r="P352" s="9" t="n"/>
    </row>
    <row r="353">
      <c r="A353" s="11" t="inlineStr">
        <is>
          <t>Travel the Overworld / Viajar pelo Mundo Superior</t>
        </is>
      </c>
      <c r="B353" s="11" t="inlineStr">
        <is>
          <t>Feitiço</t>
        </is>
      </c>
      <c r="C353" s="11" t="inlineStr">
        <is>
          <t>Incomum</t>
        </is>
      </c>
      <c r="D353" s="11" t="inlineStr">
        <is>
          <t>Afinidade com Cidades (Esta mágica custa {1} a menos para ser conjurada para cada Cidade que você controla.) Compre quatro cards.</t>
        </is>
      </c>
      <c r="E353" s="11" t="inlineStr">
        <is>
          <t>5{U}{U}</t>
        </is>
      </c>
      <c r="F353" s="11" t="inlineStr">
        <is>
          <t>Azul</t>
        </is>
      </c>
      <c r="G353" s="8" t="n">
        <v>0.19</v>
      </c>
      <c r="H353" s="11" t="inlineStr">
        <is>
          <t>Final Fantasy</t>
        </is>
      </c>
      <c r="I353" s="11" t="inlineStr">
        <is>
          <t>Não</t>
        </is>
      </c>
      <c r="J353" s="11" t="n">
        <v>2025</v>
      </c>
      <c r="L353" s="11" t="n">
        <v>3</v>
      </c>
      <c r="M353" s="8">
        <f>L353*G353</f>
        <v/>
      </c>
      <c r="P353" s="9" t="n"/>
    </row>
    <row r="354">
      <c r="A354" s="11" t="inlineStr">
        <is>
          <t>Travel the Overworld / Viajar pelo Mundo Superior</t>
        </is>
      </c>
      <c r="B354" s="11" t="inlineStr">
        <is>
          <t>Feitiço</t>
        </is>
      </c>
      <c r="C354" s="11" t="inlineStr">
        <is>
          <t>Incomum</t>
        </is>
      </c>
      <c r="D354" s="11" t="inlineStr">
        <is>
          <t>Afinidade com Cidades (Esta mágica custa {1} a menos para ser conjurada para cada Cidade que você controla.) Compre quatro cards.</t>
        </is>
      </c>
      <c r="E354" s="11" t="inlineStr">
        <is>
          <t>5{U}{U}</t>
        </is>
      </c>
      <c r="F354" s="11" t="inlineStr">
        <is>
          <t>Azul</t>
        </is>
      </c>
      <c r="G354" s="8" t="n">
        <v>0.4</v>
      </c>
      <c r="H354" s="11" t="inlineStr">
        <is>
          <t>Final Fantasy</t>
        </is>
      </c>
      <c r="I354" s="11" t="inlineStr">
        <is>
          <t>Sim</t>
        </is>
      </c>
      <c r="J354" s="11" t="n">
        <v>2025</v>
      </c>
      <c r="L354" s="11" t="n">
        <v>1</v>
      </c>
      <c r="M354" s="8">
        <f>L354*G354</f>
        <v/>
      </c>
      <c r="P354" s="9" t="n"/>
    </row>
    <row r="355">
      <c r="A355" s="11" t="inlineStr">
        <is>
          <t>Qiqirn Merchant / Mercador Qiqirn</t>
        </is>
      </c>
      <c r="B355" s="11" t="inlineStr">
        <is>
          <t>Criatura — Besta Cidadão</t>
        </is>
      </c>
      <c r="C355" s="11" t="inlineStr">
        <is>
          <t>Comum</t>
        </is>
      </c>
      <c r="D355" s="11" t="inlineStr">
        <is>
          <t>{1}, {T}: Compre um card e depois descarte um card. {7}, {T}, Sacrifique esta criatura: Compre três cards. Esta habilidade custa {1} a menos para ser ativada para cada Cidade que você controla.</t>
        </is>
      </c>
      <c r="E355" s="11" t="inlineStr">
        <is>
          <t>2{U}</t>
        </is>
      </c>
      <c r="F355" s="11" t="inlineStr">
        <is>
          <t>Azul</t>
        </is>
      </c>
      <c r="G355" s="8" t="n">
        <v>0.05</v>
      </c>
      <c r="H355" s="11" t="inlineStr">
        <is>
          <t>Final Fantasy</t>
        </is>
      </c>
      <c r="I355" s="11" t="inlineStr">
        <is>
          <t>Não</t>
        </is>
      </c>
      <c r="J355" s="11" t="n">
        <v>2025</v>
      </c>
      <c r="K355" s="10" t="n">
        <v>46113</v>
      </c>
      <c r="L355" s="11" t="n">
        <v>7</v>
      </c>
      <c r="M355" s="8">
        <f>L355*G355</f>
        <v/>
      </c>
      <c r="P355" s="9" t="n"/>
    </row>
    <row r="356">
      <c r="A356" s="11" t="inlineStr">
        <is>
          <t>Stuck in Summoner's Sanctum / Preso no Santuário do Invocador</t>
        </is>
      </c>
      <c r="B356" s="11" t="inlineStr">
        <is>
          <t>Encantamento — Aura</t>
        </is>
      </c>
      <c r="C356" s="11" t="inlineStr">
        <is>
          <t>Comum</t>
        </is>
      </c>
      <c r="D356" s="11" t="inlineStr">
        <is>
          <t>Lampejo. Encantar artefato ou criatura. Quando esta Aura entrar, vire a permanente encantada. A permanente encantada não desvire durante a etapa de desvirar de seu controlador e suas habilidades ativadas não podem ser ativadas.</t>
        </is>
      </c>
      <c r="E356" s="11" t="inlineStr">
        <is>
          <t>2{U}</t>
        </is>
      </c>
      <c r="F356" s="11" t="inlineStr">
        <is>
          <t>Azul</t>
        </is>
      </c>
      <c r="G356" s="8" t="n">
        <v>0.02</v>
      </c>
      <c r="H356" s="11" t="inlineStr">
        <is>
          <t>Final Fantasy</t>
        </is>
      </c>
      <c r="I356" s="11" t="inlineStr">
        <is>
          <t>Não</t>
        </is>
      </c>
      <c r="J356" s="11" t="n">
        <v>2025</v>
      </c>
      <c r="L356" s="11" t="n">
        <v>10</v>
      </c>
      <c r="M356" s="8">
        <f>L356*G356</f>
        <v/>
      </c>
      <c r="P356" s="9" t="n"/>
    </row>
    <row r="357">
      <c r="A357" s="11" t="inlineStr">
        <is>
          <t>Stuck in Summoner's Sanctum / Preso no Santuário do Invocador</t>
        </is>
      </c>
      <c r="B357" s="11" t="inlineStr">
        <is>
          <t>Encantamento — Aura</t>
        </is>
      </c>
      <c r="C357" s="11" t="inlineStr">
        <is>
          <t>Comum</t>
        </is>
      </c>
      <c r="D357" s="11" t="inlineStr">
        <is>
          <t>Lampejo. Encantar artefato ou criatura. Quando esta Aura entrar, vire a permanente encantada. A permanente encantada não desvire durante a etapa de desvirar de seu controlador e suas habilidades ativadas não podem ser ativadas.</t>
        </is>
      </c>
      <c r="E357" s="11" t="inlineStr">
        <is>
          <t>2{U}</t>
        </is>
      </c>
      <c r="F357" s="11" t="inlineStr">
        <is>
          <t>Azul</t>
        </is>
      </c>
      <c r="G357" s="8" t="n">
        <v>0.2</v>
      </c>
      <c r="H357" s="11" t="inlineStr">
        <is>
          <t>Final Fantasy</t>
        </is>
      </c>
      <c r="I357" s="11" t="inlineStr">
        <is>
          <t>Não</t>
        </is>
      </c>
      <c r="J357" s="11" t="n">
        <v>2025</v>
      </c>
      <c r="L357" s="11" t="n">
        <v>1</v>
      </c>
      <c r="M357" s="8">
        <f>L357*G357</f>
        <v/>
      </c>
      <c r="P357" s="9" t="n"/>
    </row>
    <row r="358">
      <c r="A358" s="11" t="inlineStr">
        <is>
          <t>Ice Magic / Magia de Gelo</t>
        </is>
      </c>
      <c r="B358" s="11" t="inlineStr">
        <is>
          <t>Mágica Instantânea</t>
        </is>
      </c>
      <c r="C358" s="11" t="inlineStr">
        <is>
          <t>Comum</t>
        </is>
      </c>
      <c r="D358" s="11"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8" s="11" t="inlineStr">
        <is>
          <t>1{U}</t>
        </is>
      </c>
      <c r="F358" s="11" t="inlineStr">
        <is>
          <t>Azul</t>
        </is>
      </c>
      <c r="G358" s="8" t="n">
        <v>0.1</v>
      </c>
      <c r="H358" s="11" t="inlineStr">
        <is>
          <t>Final Fantasy</t>
        </is>
      </c>
      <c r="I358" s="11" t="inlineStr">
        <is>
          <t>Não</t>
        </is>
      </c>
      <c r="J358" s="11" t="n">
        <v>2025</v>
      </c>
      <c r="L358" s="11" t="n">
        <v>8</v>
      </c>
      <c r="M358" s="8">
        <f>L358*G358</f>
        <v/>
      </c>
      <c r="P358" s="9" t="n"/>
    </row>
    <row r="359">
      <c r="A359" s="11" t="inlineStr">
        <is>
          <t>Ice Magic / Magia de Gelo</t>
        </is>
      </c>
      <c r="B359" s="11" t="inlineStr">
        <is>
          <t>Mágica Instantânea</t>
        </is>
      </c>
      <c r="C359" s="11" t="inlineStr">
        <is>
          <t>Comum</t>
        </is>
      </c>
      <c r="D359" s="11"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9" s="11" t="inlineStr">
        <is>
          <t>1{U}</t>
        </is>
      </c>
      <c r="F359" s="11" t="inlineStr">
        <is>
          <t>Azul</t>
        </is>
      </c>
      <c r="G359" s="8" t="n">
        <v>0.4</v>
      </c>
      <c r="H359" s="11" t="inlineStr">
        <is>
          <t>Final Fantasy</t>
        </is>
      </c>
      <c r="I359" s="11" t="inlineStr">
        <is>
          <t>Sim</t>
        </is>
      </c>
      <c r="J359" s="11" t="n">
        <v>2025</v>
      </c>
      <c r="L359" s="11" t="n">
        <v>1</v>
      </c>
      <c r="M359" s="8">
        <f>L359*G359</f>
        <v/>
      </c>
      <c r="P359" s="9" t="n"/>
    </row>
    <row r="360">
      <c r="A360" s="11" t="inlineStr">
        <is>
          <t>Valkyrie Aerial Unit / Unidade Aérea Valquíria</t>
        </is>
      </c>
      <c r="B360" s="11" t="inlineStr">
        <is>
          <t>Criatura Artefato — Construto</t>
        </is>
      </c>
      <c r="C360" s="11" t="inlineStr">
        <is>
          <t>Incomum</t>
        </is>
      </c>
      <c r="D360" s="11"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60" s="11" t="inlineStr">
        <is>
          <t>5{U}{U}</t>
        </is>
      </c>
      <c r="F360" s="11" t="inlineStr">
        <is>
          <t>Azul</t>
        </is>
      </c>
      <c r="G360" s="8" t="n">
        <v>0.21</v>
      </c>
      <c r="H360" s="11" t="inlineStr">
        <is>
          <t>Final Fantasy</t>
        </is>
      </c>
      <c r="I360" s="11" t="inlineStr">
        <is>
          <t>Não</t>
        </is>
      </c>
      <c r="J360" s="11" t="n">
        <v>2025</v>
      </c>
      <c r="K360" s="10" t="n">
        <v>46117</v>
      </c>
      <c r="L360" s="11" t="n">
        <v>3</v>
      </c>
      <c r="M360" s="8">
        <f>L360*G360</f>
        <v/>
      </c>
      <c r="P360" s="9" t="n"/>
    </row>
    <row r="361">
      <c r="A361" s="11" t="inlineStr">
        <is>
          <t>Swallowed by Leviathan / Engolido por Leviatã</t>
        </is>
      </c>
      <c r="B361" s="11" t="inlineStr">
        <is>
          <t>Mágica Instantânea</t>
        </is>
      </c>
      <c r="C361" s="11" t="inlineStr">
        <is>
          <t>Incomum</t>
        </is>
      </c>
      <c r="D361" s="11"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1" s="11" t="inlineStr">
        <is>
          <t>2{U}</t>
        </is>
      </c>
      <c r="F361" s="11" t="inlineStr">
        <is>
          <t>Azul</t>
        </is>
      </c>
      <c r="G361" s="8" t="n">
        <v>0.19</v>
      </c>
      <c r="H361" s="11" t="inlineStr">
        <is>
          <t>Final Fantasy</t>
        </is>
      </c>
      <c r="I361" s="11" t="inlineStr">
        <is>
          <t>Não</t>
        </is>
      </c>
      <c r="J361" s="11" t="n">
        <v>2025</v>
      </c>
      <c r="L361" s="11" t="n">
        <v>2</v>
      </c>
      <c r="M361" s="8">
        <f>L361*G361</f>
        <v/>
      </c>
      <c r="P361" s="9" t="n"/>
    </row>
    <row r="362">
      <c r="A362" s="11" t="inlineStr">
        <is>
          <t>Swallowed by Leviathan / Engolido por Leviatã</t>
        </is>
      </c>
      <c r="B362" s="11" t="inlineStr">
        <is>
          <t>Mágica Instantânea</t>
        </is>
      </c>
      <c r="C362" s="11" t="inlineStr">
        <is>
          <t>Incomum</t>
        </is>
      </c>
      <c r="D362" s="11"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2" s="11" t="inlineStr">
        <is>
          <t>2{U}</t>
        </is>
      </c>
      <c r="F362" s="11" t="inlineStr">
        <is>
          <t>Azul</t>
        </is>
      </c>
      <c r="G362" s="8" t="n">
        <v>0.49</v>
      </c>
      <c r="H362" s="11" t="inlineStr">
        <is>
          <t>Final Fantasy</t>
        </is>
      </c>
      <c r="I362" s="11" t="inlineStr">
        <is>
          <t>Sim</t>
        </is>
      </c>
      <c r="J362" s="11" t="n">
        <v>2025</v>
      </c>
      <c r="L362" s="11" t="n">
        <v>1</v>
      </c>
      <c r="M362" s="8">
        <f>L362*G362</f>
        <v/>
      </c>
      <c r="P362" s="9" t="n"/>
    </row>
    <row r="363">
      <c r="A363" s="11" t="inlineStr">
        <is>
          <t>The Lunar Whale / A Baleia Lunar</t>
        </is>
      </c>
      <c r="B363" s="11" t="inlineStr">
        <is>
          <t>Artefato Lendário — Veículo</t>
        </is>
      </c>
      <c r="C363" s="11" t="inlineStr">
        <is>
          <t>Rara</t>
        </is>
      </c>
      <c r="D363" s="11" t="inlineStr">
        <is>
          <t>Voar. Você pode olhar o card do topo de seu grimório a qualquer momento. Enquanto A Baleia Lunar tiver atacado neste turno, você poderá jogar o card do topo de seu grimório. Tripular 1</t>
        </is>
      </c>
      <c r="E363" s="11" t="inlineStr">
        <is>
          <t>3{U}</t>
        </is>
      </c>
      <c r="F363" s="11" t="inlineStr">
        <is>
          <t>Azul</t>
        </is>
      </c>
      <c r="G363" s="8" t="n">
        <v>0.5</v>
      </c>
      <c r="H363" s="11" t="inlineStr">
        <is>
          <t>Final Fantasy</t>
        </is>
      </c>
      <c r="I363" s="11" t="inlineStr">
        <is>
          <t>Não</t>
        </is>
      </c>
      <c r="J363" s="11" t="n">
        <v>2025</v>
      </c>
      <c r="K363" s="10" t="n">
        <v>46145</v>
      </c>
      <c r="L363" s="11" t="n">
        <v>1</v>
      </c>
      <c r="M363" s="8">
        <f>L363*G363</f>
        <v/>
      </c>
      <c r="P363" s="9" t="n"/>
    </row>
    <row r="364">
      <c r="A364" s="11" t="inlineStr">
        <is>
          <t>Relm's Sketching / Esboço de Relm</t>
        </is>
      </c>
      <c r="B364" s="11" t="inlineStr">
        <is>
          <t>Feitiço</t>
        </is>
      </c>
      <c r="C364" s="11" t="inlineStr">
        <is>
          <t>Incomum</t>
        </is>
      </c>
      <c r="D364" s="11" t="inlineStr">
        <is>
          <t>Crie uma ficha que seja uma cópia do artefato, criatura ou terreno alvo.</t>
        </is>
      </c>
      <c r="E364" s="11" t="inlineStr">
        <is>
          <t>2{U}{U}</t>
        </is>
      </c>
      <c r="F364" s="11" t="inlineStr">
        <is>
          <t>Azul</t>
        </is>
      </c>
      <c r="G364" s="8" t="n">
        <v>0.5</v>
      </c>
      <c r="H364" s="11" t="inlineStr">
        <is>
          <t>Final Fantasy</t>
        </is>
      </c>
      <c r="I364" s="11" t="inlineStr">
        <is>
          <t>Sim</t>
        </is>
      </c>
      <c r="J364" s="11" t="n">
        <v>2025</v>
      </c>
      <c r="L364" s="11" t="n">
        <v>1</v>
      </c>
      <c r="M364" s="8">
        <f>L364*G364</f>
        <v/>
      </c>
      <c r="P364" s="9" t="n"/>
    </row>
    <row r="365">
      <c r="A365" s="11" t="inlineStr">
        <is>
          <t>The Prima Vista / O Prima Vista</t>
        </is>
      </c>
      <c r="B365" s="11" t="inlineStr">
        <is>
          <t>Artefato Lendário — Veículo</t>
        </is>
      </c>
      <c r="C365" s="11" t="inlineStr">
        <is>
          <t>Incomum</t>
        </is>
      </c>
      <c r="D365" s="11"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5" s="11" t="inlineStr">
        <is>
          <t>4{U}</t>
        </is>
      </c>
      <c r="F365" s="11" t="inlineStr">
        <is>
          <t>Azul</t>
        </is>
      </c>
      <c r="G365" s="8" t="n">
        <v>0.1</v>
      </c>
      <c r="H365" s="11" t="inlineStr">
        <is>
          <t>Final Fantasy</t>
        </is>
      </c>
      <c r="I365" s="11" t="inlineStr">
        <is>
          <t>Não</t>
        </is>
      </c>
      <c r="J365" s="11" t="n">
        <v>2025</v>
      </c>
      <c r="K365" s="10" t="n">
        <v>46086</v>
      </c>
      <c r="L365" s="11" t="n">
        <v>1</v>
      </c>
      <c r="M365" s="8">
        <f>L365*G365</f>
        <v/>
      </c>
      <c r="P365" s="9" t="n"/>
    </row>
    <row r="366">
      <c r="A366" s="11" t="inlineStr">
        <is>
          <t>Quistis Trepe / Quistis Trepe</t>
        </is>
      </c>
      <c r="B366" s="11" t="inlineStr">
        <is>
          <t>Criatura Lendária — Humano Mago</t>
        </is>
      </c>
      <c r="C366" s="11" t="inlineStr">
        <is>
          <t>Incomum</t>
        </is>
      </c>
      <c r="D366" s="11"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6" s="11" t="inlineStr">
        <is>
          <t>2{U}</t>
        </is>
      </c>
      <c r="F366" s="11" t="inlineStr">
        <is>
          <t>Azul</t>
        </is>
      </c>
      <c r="G366" s="8" t="n">
        <v>0.19</v>
      </c>
      <c r="H366" s="11" t="inlineStr">
        <is>
          <t>Final Fantasy</t>
        </is>
      </c>
      <c r="I366" s="11" t="inlineStr">
        <is>
          <t>Não</t>
        </is>
      </c>
      <c r="J366" s="11" t="n">
        <v>2025</v>
      </c>
      <c r="K366" s="10" t="n">
        <v>46055</v>
      </c>
      <c r="L366" s="11" t="n">
        <v>1</v>
      </c>
      <c r="M366" s="8">
        <f>L366*G366</f>
        <v/>
      </c>
      <c r="P366" s="9" t="n"/>
    </row>
    <row r="367">
      <c r="A367" s="11" t="inlineStr">
        <is>
          <t>Sleep Magic / Magia do Sono</t>
        </is>
      </c>
      <c r="B367" s="11" t="inlineStr">
        <is>
          <t>Encantamento — Aura</t>
        </is>
      </c>
      <c r="C367" s="11" t="inlineStr">
        <is>
          <t>Incomum</t>
        </is>
      </c>
      <c r="D367" s="11" t="inlineStr">
        <is>
          <t>Encantar criatura. Quando esta Aura entrar, vire a criatura encantada. A criatura encantada não desvire durante a etapa de desvirar de seu controlador. Quando for causado dano à criatura encantada, sacrifique esta Aura.</t>
        </is>
      </c>
      <c r="E367" s="11" t="inlineStr">
        <is>
          <t>{U}</t>
        </is>
      </c>
      <c r="F367" s="11" t="inlineStr">
        <is>
          <t>Azul</t>
        </is>
      </c>
      <c r="G367" s="8" t="n">
        <v>0.05</v>
      </c>
      <c r="H367" s="11" t="inlineStr">
        <is>
          <t>Final Fantasy</t>
        </is>
      </c>
      <c r="I367" s="11" t="inlineStr">
        <is>
          <t>Não</t>
        </is>
      </c>
      <c r="J367" s="11" t="n">
        <v>2025</v>
      </c>
      <c r="L367" s="11" t="n">
        <v>1</v>
      </c>
      <c r="M367" s="8">
        <f>L367*G367</f>
        <v/>
      </c>
      <c r="P367" s="9" t="n"/>
    </row>
    <row r="368">
      <c r="A368" s="11" t="inlineStr">
        <is>
          <t>The Crystal's Chosen / Os Escolhidos do Cristal</t>
        </is>
      </c>
      <c r="B368" s="11" t="inlineStr">
        <is>
          <t>Feitiço</t>
        </is>
      </c>
      <c r="C368" s="11" t="inlineStr">
        <is>
          <t>Incomum</t>
        </is>
      </c>
      <c r="D368" s="11" t="inlineStr">
        <is>
          <t>Crie quatro fichas de criatura Herói incolor 1/1. Depois, coloque um marcador +1/+1 em cada criatura que você controla.</t>
        </is>
      </c>
      <c r="E368" s="11" t="inlineStr">
        <is>
          <t>5{W}{W}</t>
        </is>
      </c>
      <c r="F368" s="11" t="inlineStr">
        <is>
          <t>Branco</t>
        </is>
      </c>
      <c r="G368" s="8" t="n">
        <v>0.12</v>
      </c>
      <c r="H368" s="11" t="inlineStr">
        <is>
          <t>Final Fantasy</t>
        </is>
      </c>
      <c r="I368" s="11" t="inlineStr">
        <is>
          <t>Não</t>
        </is>
      </c>
      <c r="J368" s="11" t="n">
        <v>2025</v>
      </c>
      <c r="L368" s="11" t="n">
        <v>1</v>
      </c>
      <c r="M368" s="8">
        <f>L368*G368</f>
        <v/>
      </c>
      <c r="P368" s="9" t="n"/>
    </row>
    <row r="369">
      <c r="A369" s="11" t="inlineStr">
        <is>
          <t>Battle Menu / Menu de Batalha</t>
        </is>
      </c>
      <c r="B369" s="11" t="inlineStr">
        <is>
          <t>Mágica Instantânea</t>
        </is>
      </c>
      <c r="C369" s="11" t="inlineStr">
        <is>
          <t>Incomum</t>
        </is>
      </c>
      <c r="D369" s="11" t="inlineStr">
        <is>
          <t>Escolha um — • Attack — Crie uma ficha de criatura Cavaleiro branca 2/2. • Ability — A criatura alvo recebe +0/+4 até o final do turno. • Magic — Destrua a criatura alvo com poder igual ou superior a 4. • Item — Você ganha 4 de vida.</t>
        </is>
      </c>
      <c r="E369" s="11" t="inlineStr">
        <is>
          <t>1{W}</t>
        </is>
      </c>
      <c r="F369" s="11" t="inlineStr">
        <is>
          <t>Branco</t>
        </is>
      </c>
      <c r="G369" s="8" t="n">
        <v>0.25</v>
      </c>
      <c r="H369" s="11" t="inlineStr">
        <is>
          <t>Final Fantasy</t>
        </is>
      </c>
      <c r="I369" s="11" t="inlineStr">
        <is>
          <t>Não</t>
        </is>
      </c>
      <c r="J369" s="11" t="n">
        <v>2025</v>
      </c>
      <c r="L369" s="11" t="n">
        <v>1</v>
      </c>
      <c r="M369" s="8">
        <f>L369*G369</f>
        <v/>
      </c>
      <c r="P369" s="9" t="n"/>
    </row>
    <row r="370">
      <c r="A370" s="11" t="inlineStr">
        <is>
          <t>Adelbert Steiner / Adelbert Steiner</t>
        </is>
      </c>
      <c r="B370" s="11" t="inlineStr">
        <is>
          <t>Criatura Lendária — Humano Cavaleiro</t>
        </is>
      </c>
      <c r="C370" s="11" t="inlineStr">
        <is>
          <t>Incomum</t>
        </is>
      </c>
      <c r="D370" s="11" t="inlineStr">
        <is>
          <t>Vínculo com a vida. Adelbert Steiner recebe +1/+1 para cada Equipamento que você controla.</t>
        </is>
      </c>
      <c r="E370" s="11" t="inlineStr">
        <is>
          <t>1{W}</t>
        </is>
      </c>
      <c r="F370" s="11" t="inlineStr">
        <is>
          <t>Branco</t>
        </is>
      </c>
      <c r="G370" s="8" t="n">
        <v>0.11</v>
      </c>
      <c r="H370" s="11" t="inlineStr">
        <is>
          <t>Final Fantasy</t>
        </is>
      </c>
      <c r="I370" s="11" t="inlineStr">
        <is>
          <t>Não</t>
        </is>
      </c>
      <c r="J370" s="11" t="n">
        <v>2025</v>
      </c>
      <c r="K370" s="10" t="n">
        <v>46024</v>
      </c>
      <c r="L370" s="11" t="n">
        <v>1</v>
      </c>
      <c r="M370" s="8">
        <f>L370*G370</f>
        <v/>
      </c>
      <c r="P370" s="9" t="n"/>
    </row>
    <row r="371">
      <c r="A371" s="11" t="inlineStr">
        <is>
          <t>Adelbert Steiner / Adelbert Steiner</t>
        </is>
      </c>
      <c r="B371" s="11" t="inlineStr">
        <is>
          <t>Criatura Lendária — Humano Cavaleiro</t>
        </is>
      </c>
      <c r="C371" s="11" t="inlineStr">
        <is>
          <t>Incomum</t>
        </is>
      </c>
      <c r="D371" s="11" t="inlineStr">
        <is>
          <t>Vínculo com a vida. Adelbert Steiner recebe +1/+1 para cada Equipamento que você controla.</t>
        </is>
      </c>
      <c r="E371" s="11" t="inlineStr">
        <is>
          <t>1{W}</t>
        </is>
      </c>
      <c r="F371" s="11" t="inlineStr">
        <is>
          <t>Branco</t>
        </is>
      </c>
      <c r="G371" s="8" t="n">
        <v>0.99</v>
      </c>
      <c r="H371" s="11" t="inlineStr">
        <is>
          <t>Final Fantasy</t>
        </is>
      </c>
      <c r="I371" s="11" t="inlineStr">
        <is>
          <t>Sim</t>
        </is>
      </c>
      <c r="J371" s="11" t="n">
        <v>2025</v>
      </c>
      <c r="K371" s="10" t="n">
        <v>46024</v>
      </c>
      <c r="L371" s="11" t="n">
        <v>1</v>
      </c>
      <c r="M371" s="8">
        <f>L371*G371</f>
        <v/>
      </c>
      <c r="P371" s="9" t="n"/>
    </row>
    <row r="372">
      <c r="A372" s="11" t="inlineStr">
        <is>
          <t>Dragoon's Lance / Lança de Dragoon</t>
        </is>
      </c>
      <c r="B372" s="11" t="inlineStr">
        <is>
          <t>Artefato — Equipamento</t>
        </is>
      </c>
      <c r="C372" s="11" t="inlineStr">
        <is>
          <t>Incomum</t>
        </is>
      </c>
      <c r="D372" s="11"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2" s="11" t="inlineStr">
        <is>
          <t>1{W}</t>
        </is>
      </c>
      <c r="F372" s="11" t="inlineStr">
        <is>
          <t>Branco</t>
        </is>
      </c>
      <c r="G372" s="8" t="n">
        <v>0.15</v>
      </c>
      <c r="H372" s="11" t="inlineStr">
        <is>
          <t>Final Fantasy</t>
        </is>
      </c>
      <c r="I372" s="11" t="inlineStr">
        <is>
          <t>Não</t>
        </is>
      </c>
      <c r="J372" s="11" t="n">
        <v>2025</v>
      </c>
      <c r="L372" s="11" t="n">
        <v>1</v>
      </c>
      <c r="M372" s="8">
        <f>L372*G372</f>
        <v/>
      </c>
      <c r="P372" s="9" t="n"/>
    </row>
    <row r="373">
      <c r="A373" s="11" t="inlineStr">
        <is>
          <t>Dragoon's Lance / Lança de Dragoon</t>
        </is>
      </c>
      <c r="B373" s="11" t="inlineStr">
        <is>
          <t>Artefato — Equipamento</t>
        </is>
      </c>
      <c r="C373" s="11" t="inlineStr">
        <is>
          <t>Incomum</t>
        </is>
      </c>
      <c r="D373" s="11"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3" s="11" t="inlineStr">
        <is>
          <t>1{W}</t>
        </is>
      </c>
      <c r="F373" s="11" t="inlineStr">
        <is>
          <t>Branco</t>
        </is>
      </c>
      <c r="G373" s="8" t="n">
        <v>0.5</v>
      </c>
      <c r="H373" s="11" t="inlineStr">
        <is>
          <t>Final Fantasy</t>
        </is>
      </c>
      <c r="I373" s="11" t="inlineStr">
        <is>
          <t>Sim</t>
        </is>
      </c>
      <c r="J373" s="11" t="n">
        <v>2025</v>
      </c>
      <c r="L373" s="11" t="n">
        <v>1</v>
      </c>
      <c r="M373" s="8">
        <f>L373*G373</f>
        <v/>
      </c>
      <c r="P373" s="9" t="n"/>
    </row>
    <row r="374">
      <c r="A374" s="11" t="inlineStr">
        <is>
          <t>Auron's Inspiration / Inspiração de Auron</t>
        </is>
      </c>
      <c r="B374" s="11" t="inlineStr">
        <is>
          <t>Mágica Instantânea</t>
        </is>
      </c>
      <c r="C374" s="11" t="inlineStr">
        <is>
          <t>Incomum</t>
        </is>
      </c>
      <c r="D374" s="11" t="inlineStr">
        <is>
          <t>As criaturas atacantes recebem +2/+0 até o final do turno. Recapitular {2}{W}{W} (Você pode conjurar este card de seu cemitério pagando seu custo de recapitular. Depois, exile-o.)</t>
        </is>
      </c>
      <c r="E374" s="11" t="inlineStr">
        <is>
          <t>2{W}</t>
        </is>
      </c>
      <c r="F374" s="11" t="inlineStr">
        <is>
          <t>Branco</t>
        </is>
      </c>
      <c r="G374" s="8" t="n">
        <v>0.19</v>
      </c>
      <c r="H374" s="11" t="inlineStr">
        <is>
          <t>Final Fantasy</t>
        </is>
      </c>
      <c r="I374" s="11" t="inlineStr">
        <is>
          <t>Não</t>
        </is>
      </c>
      <c r="J374" s="11" t="n">
        <v>2025</v>
      </c>
      <c r="L374" s="11" t="n">
        <v>1</v>
      </c>
      <c r="M374" s="8">
        <f>L374*G374</f>
        <v/>
      </c>
      <c r="P374" s="9" t="n"/>
    </row>
    <row r="375">
      <c r="A375" s="11" t="inlineStr">
        <is>
          <t>Freya Crescent / Freya Crescent</t>
        </is>
      </c>
      <c r="B375" s="11" t="inlineStr">
        <is>
          <t>Criatura Lendária — Rato Cavaleiro</t>
        </is>
      </c>
      <c r="C375" s="11" t="inlineStr">
        <is>
          <t>Incomum</t>
        </is>
      </c>
      <c r="D375" s="11" t="inlineStr">
        <is>
          <t>Salto — Durante o seu turno, Freya Crescent tem voar. {T}: Adicione {R}. Gaste este mana apenas para conjurar uma mágica de Equipamento ou para ativar uma habilidade de equipar.</t>
        </is>
      </c>
      <c r="E375" s="11" t="inlineStr">
        <is>
          <t>{R}</t>
        </is>
      </c>
      <c r="F375" s="11" t="inlineStr">
        <is>
          <t>Vermelho</t>
        </is>
      </c>
      <c r="G375" s="8" t="n">
        <v>0.37</v>
      </c>
      <c r="H375" s="11" t="inlineStr">
        <is>
          <t>Final Fantasy</t>
        </is>
      </c>
      <c r="I375" s="11" t="inlineStr">
        <is>
          <t>Não</t>
        </is>
      </c>
      <c r="J375" s="11" t="n">
        <v>2025</v>
      </c>
      <c r="K375" s="10" t="n">
        <v>46023</v>
      </c>
      <c r="L375" s="11" t="n">
        <v>1</v>
      </c>
      <c r="M375" s="8">
        <f>L375*G375</f>
        <v/>
      </c>
      <c r="P375" s="9" t="n"/>
    </row>
    <row r="376">
      <c r="A376" s="11" t="inlineStr">
        <is>
          <t>Choco-Comet / Choco-Cometa</t>
        </is>
      </c>
      <c r="B376" s="11" t="inlineStr">
        <is>
          <t>Feitiço</t>
        </is>
      </c>
      <c r="C376" s="11" t="inlineStr">
        <is>
          <t>Incomum</t>
        </is>
      </c>
      <c r="D376" s="11" t="inlineStr">
        <is>
          <t>Choco-Cometa causa X de dano a qualquer alvo. Crie uma ficha de criatura Ave verde 2/2 com "Sempre que um terreno que você controla entrar, esta ficha recebe +1/+0 até o final do turno."</t>
        </is>
      </c>
      <c r="E376" s="11" t="inlineStr">
        <is>
          <t>{X}{R}{R}</t>
        </is>
      </c>
      <c r="F376" s="11" t="inlineStr">
        <is>
          <t>Vermelho</t>
        </is>
      </c>
      <c r="G376" s="8" t="n">
        <v>0.21</v>
      </c>
      <c r="H376" s="11" t="inlineStr">
        <is>
          <t>Final Fantasy</t>
        </is>
      </c>
      <c r="I376" s="11" t="inlineStr">
        <is>
          <t>Não</t>
        </is>
      </c>
      <c r="J376" s="11" t="n">
        <v>2025</v>
      </c>
      <c r="L376" s="11" t="n">
        <v>1</v>
      </c>
      <c r="M376" s="8">
        <f>L376*G376</f>
        <v/>
      </c>
      <c r="P376" s="9" t="n"/>
    </row>
    <row r="377">
      <c r="A377" s="11" t="inlineStr">
        <is>
          <t>Coral Sword / Espada de Coral</t>
        </is>
      </c>
      <c r="B377" s="11" t="inlineStr">
        <is>
          <t>Artefato — Equipamento</t>
        </is>
      </c>
      <c r="C377" s="11" t="inlineStr">
        <is>
          <t>Incomum</t>
        </is>
      </c>
      <c r="D377" s="11" t="inlineStr">
        <is>
          <t>Lampejo. Quando este Equipamento entrar, anexe-o à criatura alvo que você controla. Aquela criatura ganha iniciativa até o final do turno. A criatura equipada recebe +1/+0. Equipar {1}</t>
        </is>
      </c>
      <c r="E377" s="11" t="inlineStr">
        <is>
          <t>{R}</t>
        </is>
      </c>
      <c r="F377" s="11" t="inlineStr">
        <is>
          <t>Vermelho</t>
        </is>
      </c>
      <c r="G377" s="8" t="n">
        <v>0.14</v>
      </c>
      <c r="H377" s="11" t="inlineStr">
        <is>
          <t>Final Fantasy</t>
        </is>
      </c>
      <c r="I377" s="11" t="inlineStr">
        <is>
          <t>Não</t>
        </is>
      </c>
      <c r="J377" s="11" t="n">
        <v>2025</v>
      </c>
      <c r="L377" s="11" t="n">
        <v>1</v>
      </c>
      <c r="M377" s="8">
        <f>L377*G377</f>
        <v/>
      </c>
      <c r="P377" s="9" t="n"/>
    </row>
    <row r="378">
      <c r="A378" s="11" t="inlineStr">
        <is>
          <t>Summon: Esper Ramuh / Invocação: Esper Ramuh</t>
        </is>
      </c>
      <c r="B378" s="11" t="inlineStr">
        <is>
          <t>Encantamento Criatura — Saga Mago</t>
        </is>
      </c>
      <c r="C378" s="11" t="inlineStr">
        <is>
          <t>Incomum</t>
        </is>
      </c>
      <c r="D378" s="11"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8" s="11" t="inlineStr">
        <is>
          <t>2{R}{R}</t>
        </is>
      </c>
      <c r="F378" s="11" t="inlineStr">
        <is>
          <t>Vermelho</t>
        </is>
      </c>
      <c r="G378" s="8" t="n">
        <v>0.19</v>
      </c>
      <c r="H378" s="11" t="inlineStr">
        <is>
          <t>Final Fantasy</t>
        </is>
      </c>
      <c r="I378" s="11" t="inlineStr">
        <is>
          <t>Não</t>
        </is>
      </c>
      <c r="J378" s="11" t="n">
        <v>2025</v>
      </c>
      <c r="K378" s="10" t="n">
        <v>46084</v>
      </c>
      <c r="L378" s="11" t="n">
        <v>1</v>
      </c>
      <c r="M378" s="8">
        <f>L378*G378</f>
        <v/>
      </c>
      <c r="P378" s="9" t="n"/>
    </row>
    <row r="379">
      <c r="A379" s="11" t="inlineStr">
        <is>
          <t>Warrior's Sword / Espada do Guerreiro</t>
        </is>
      </c>
      <c r="B379" s="11" t="inlineStr">
        <is>
          <t>Artefato — Equipamento</t>
        </is>
      </c>
      <c r="C379" s="11" t="inlineStr">
        <is>
          <t>Comum</t>
        </is>
      </c>
      <c r="D379" s="11"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9" s="11" t="inlineStr">
        <is>
          <t>3{R}</t>
        </is>
      </c>
      <c r="F379" s="11" t="inlineStr">
        <is>
          <t>Vermelho</t>
        </is>
      </c>
      <c r="G379" s="8" t="n">
        <v>0.1</v>
      </c>
      <c r="H379" s="11" t="inlineStr">
        <is>
          <t>Final Fantasy</t>
        </is>
      </c>
      <c r="I379" s="11" t="inlineStr">
        <is>
          <t>Não</t>
        </is>
      </c>
      <c r="J379" s="11" t="n">
        <v>2025</v>
      </c>
      <c r="L379" s="11" t="n">
        <v>2</v>
      </c>
      <c r="M379" s="8">
        <f>L379*G379</f>
        <v/>
      </c>
      <c r="P379" s="9" t="n"/>
    </row>
    <row r="380">
      <c r="A380" s="11" t="inlineStr">
        <is>
          <t>Random Encounter / Encontro Aleatório</t>
        </is>
      </c>
      <c r="B380" s="11" t="inlineStr">
        <is>
          <t>Feitiço</t>
        </is>
      </c>
      <c r="C380" s="11" t="inlineStr">
        <is>
          <t>Incomum</t>
        </is>
      </c>
      <c r="D380" s="11"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0" s="11" t="inlineStr">
        <is>
          <t>4{R}{R}</t>
        </is>
      </c>
      <c r="F380" s="11" t="inlineStr">
        <is>
          <t>Vermelho</t>
        </is>
      </c>
      <c r="G380" s="8" t="n">
        <v>0.14</v>
      </c>
      <c r="H380" s="11" t="inlineStr">
        <is>
          <t>Final Fantasy</t>
        </is>
      </c>
      <c r="I380" s="11" t="inlineStr">
        <is>
          <t>Não</t>
        </is>
      </c>
      <c r="J380" s="11" t="n">
        <v>2025</v>
      </c>
      <c r="L380" s="11" t="n">
        <v>1</v>
      </c>
      <c r="M380" s="8">
        <f>L380*G380</f>
        <v/>
      </c>
      <c r="P380" s="9" t="n"/>
    </row>
    <row r="381">
      <c r="A381" s="11" t="inlineStr">
        <is>
          <t>Random Encounter / Encontro Aleatório</t>
        </is>
      </c>
      <c r="B381" s="11" t="inlineStr">
        <is>
          <t>Feitiço</t>
        </is>
      </c>
      <c r="C381" s="11" t="inlineStr">
        <is>
          <t>Incomum</t>
        </is>
      </c>
      <c r="D381" s="11"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1" s="11" t="inlineStr">
        <is>
          <t>4{R}{R}</t>
        </is>
      </c>
      <c r="F381" s="11" t="inlineStr">
        <is>
          <t>Vermelho</t>
        </is>
      </c>
      <c r="G381" s="8" t="n">
        <v>0.49</v>
      </c>
      <c r="H381" s="11" t="inlineStr">
        <is>
          <t>Final Fantasy</t>
        </is>
      </c>
      <c r="I381" s="11" t="inlineStr">
        <is>
          <t>Sim</t>
        </is>
      </c>
      <c r="J381" s="11" t="n">
        <v>2025</v>
      </c>
      <c r="L381" s="11" t="n">
        <v>1</v>
      </c>
      <c r="M381" s="8">
        <f>L381*G381</f>
        <v/>
      </c>
      <c r="P381" s="9" t="n"/>
    </row>
    <row r="382">
      <c r="A382" s="11" t="inlineStr">
        <is>
          <t>Reach the Horizon / Alcançar o Horizonte</t>
        </is>
      </c>
      <c r="B382" s="11" t="inlineStr">
        <is>
          <t>Feitiço</t>
        </is>
      </c>
      <c r="C382" s="11" t="inlineStr">
        <is>
          <t>Incomum</t>
        </is>
      </c>
      <c r="D382" s="11" t="inlineStr">
        <is>
          <t>Procure em seu grimório por até dois cards de terreno básico e/ou cards de Cidade com nomes diferentes, coloque-os no campo de batalha virados e depois embaralhe.</t>
        </is>
      </c>
      <c r="E382" s="11" t="inlineStr">
        <is>
          <t>3{G}</t>
        </is>
      </c>
      <c r="F382" s="11" t="inlineStr">
        <is>
          <t>Verde</t>
        </is>
      </c>
      <c r="G382" s="8" t="n">
        <v>0.29</v>
      </c>
      <c r="H382" s="11" t="inlineStr">
        <is>
          <t>Final Fantasy</t>
        </is>
      </c>
      <c r="I382" s="11" t="inlineStr">
        <is>
          <t>Não</t>
        </is>
      </c>
      <c r="J382" s="11" t="n">
        <v>2025</v>
      </c>
      <c r="L382" s="11" t="n">
        <v>1</v>
      </c>
      <c r="M382" s="8">
        <f>L382*G382</f>
        <v/>
      </c>
      <c r="P382" s="9" t="n"/>
    </row>
    <row r="383">
      <c r="A383" s="11" t="inlineStr">
        <is>
          <t>Reach the Horizon / Alcançar o Horizonte</t>
        </is>
      </c>
      <c r="B383" s="11" t="inlineStr">
        <is>
          <t>Feitiço</t>
        </is>
      </c>
      <c r="C383" s="11" t="inlineStr">
        <is>
          <t>Incomum</t>
        </is>
      </c>
      <c r="D383" s="11" t="inlineStr">
        <is>
          <t>Procure em seu grimório por até dois cards de terreno básico e/ou cards de Cidade com nomes diferentes, coloque-os no campo de batalha virados e depois embaralhe.</t>
        </is>
      </c>
      <c r="E383" s="11" t="inlineStr">
        <is>
          <t>3{G}</t>
        </is>
      </c>
      <c r="F383" s="11" t="inlineStr">
        <is>
          <t>Verde</t>
        </is>
      </c>
      <c r="G383" s="8" t="n">
        <v>0.99</v>
      </c>
      <c r="H383" s="11" t="inlineStr">
        <is>
          <t>Final Fantasy</t>
        </is>
      </c>
      <c r="I383" s="11" t="inlineStr">
        <is>
          <t>Sim</t>
        </is>
      </c>
      <c r="J383" s="11" t="n">
        <v>2025</v>
      </c>
      <c r="L383" s="11" t="n">
        <v>1</v>
      </c>
      <c r="M383" s="8">
        <f>L383*G383</f>
        <v/>
      </c>
      <c r="P383" s="9" t="n"/>
    </row>
    <row r="384">
      <c r="A384" s="11" t="inlineStr">
        <is>
          <t>Coliseum Behemoth / Behemoth do Coliseu</t>
        </is>
      </c>
      <c r="B384" s="11" t="inlineStr">
        <is>
          <t>Criatura — Besta</t>
        </is>
      </c>
      <c r="C384" s="11" t="inlineStr">
        <is>
          <t>Incomum</t>
        </is>
      </c>
      <c r="D384" s="11" t="inlineStr">
        <is>
          <t>Atropelar. Quando esta criatura entrar, escolha um — • Destrua o artefato ou encantamento alvo. • Compre um card.</t>
        </is>
      </c>
      <c r="E384" s="11" t="inlineStr">
        <is>
          <t>5{G}{G}</t>
        </is>
      </c>
      <c r="F384" s="11" t="inlineStr">
        <is>
          <t>Verde</t>
        </is>
      </c>
      <c r="G384" s="8" t="n">
        <v>0.19</v>
      </c>
      <c r="H384" s="11" t="inlineStr">
        <is>
          <t>Final Fantasy</t>
        </is>
      </c>
      <c r="I384" s="11" t="inlineStr">
        <is>
          <t>Não</t>
        </is>
      </c>
      <c r="J384" s="11" t="n">
        <v>2025</v>
      </c>
      <c r="K384" s="10" t="n">
        <v>46210</v>
      </c>
      <c r="L384" s="11" t="n">
        <v>1</v>
      </c>
      <c r="M384" s="8">
        <f>L384*G384</f>
        <v/>
      </c>
      <c r="P384" s="9" t="n"/>
    </row>
    <row r="385">
      <c r="A385" s="11" t="inlineStr">
        <is>
          <t>Vanille, Cheerful l'Cie / Vanille, l'Cie Animada</t>
        </is>
      </c>
      <c r="B385" s="11" t="inlineStr">
        <is>
          <t>Criatura Lendária — Humano Clerigo</t>
        </is>
      </c>
      <c r="C385" s="11" t="inlineStr">
        <is>
          <t>Incomum</t>
        </is>
      </c>
      <c r="D385" s="11"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5" s="11" t="inlineStr">
        <is>
          <t>3{G}</t>
        </is>
      </c>
      <c r="F385" s="11" t="inlineStr">
        <is>
          <t>Verde</t>
        </is>
      </c>
      <c r="G385" s="8" t="n">
        <v>0.14</v>
      </c>
      <c r="H385" s="11" t="inlineStr">
        <is>
          <t>Final Fantasy</t>
        </is>
      </c>
      <c r="I385" s="11" t="inlineStr">
        <is>
          <t>Não</t>
        </is>
      </c>
      <c r="J385" s="11" t="n">
        <v>2025</v>
      </c>
      <c r="K385" s="10" t="n">
        <v>46056</v>
      </c>
      <c r="L385" s="11" t="n">
        <v>1</v>
      </c>
      <c r="M385" s="8">
        <f>L385*G385</f>
        <v/>
      </c>
      <c r="P385" s="9" t="n"/>
    </row>
    <row r="386">
      <c r="A386" s="11" t="inlineStr">
        <is>
          <t>Quina, Qu Gourmet / Quina, Gourmet Qu</t>
        </is>
      </c>
      <c r="B386" s="11" t="inlineStr">
        <is>
          <t>Criatura Lendária — Qu</t>
        </is>
      </c>
      <c r="C386" s="11" t="inlineStr">
        <is>
          <t>Incomum</t>
        </is>
      </c>
      <c r="D386" s="11" t="inlineStr">
        <is>
          <t>Se uma ou mais fichas seriam criadas sob o seu controle, em vez disso, aquelas fichas mais uma ficha de criatura Sapo verde 1/1 serão criadas. {2}, Sacrifique um Sapo: Coloque um marcador +1/+1 em Quina.</t>
        </is>
      </c>
      <c r="E386" s="11" t="inlineStr">
        <is>
          <t>2{G}</t>
        </is>
      </c>
      <c r="F386" s="11" t="inlineStr">
        <is>
          <t>Verde</t>
        </is>
      </c>
      <c r="G386" s="8" t="n">
        <v>0.19</v>
      </c>
      <c r="H386" s="11" t="inlineStr">
        <is>
          <t>Final Fantasy</t>
        </is>
      </c>
      <c r="I386" s="11" t="inlineStr">
        <is>
          <t>Não</t>
        </is>
      </c>
      <c r="J386" s="11" t="n">
        <v>2025</v>
      </c>
      <c r="K386" s="10" t="n">
        <v>46083</v>
      </c>
      <c r="L386" s="11" t="n">
        <v>1</v>
      </c>
      <c r="M386" s="8">
        <f>L386*G386</f>
        <v/>
      </c>
      <c r="P386" s="9" t="n"/>
    </row>
    <row r="387">
      <c r="A387" s="11" t="inlineStr">
        <is>
          <t>Tidus, Blitzball Star / Tidus, Astro do Blitzball</t>
        </is>
      </c>
      <c r="B387" s="11" t="inlineStr">
        <is>
          <t>Criatura Lendária — Humano Guerreiro</t>
        </is>
      </c>
      <c r="C387" s="11" t="inlineStr">
        <is>
          <t>Incomum</t>
        </is>
      </c>
      <c r="D387" s="11" t="inlineStr">
        <is>
          <t>Sempre que um artefato que você controla entrar, coloque um marcador +1/+1 em Tidus. Sempre que Tidus atacar, vire a criatura alvo que um oponente controla.</t>
        </is>
      </c>
      <c r="E387" s="11" t="inlineStr">
        <is>
          <t>1{W}{U}</t>
        </is>
      </c>
      <c r="F387" s="11" t="inlineStr">
        <is>
          <t>Multicolorido (Branco/Azul)</t>
        </is>
      </c>
      <c r="G387" s="8" t="n">
        <v>0.13</v>
      </c>
      <c r="H387" s="11" t="inlineStr">
        <is>
          <t>Final Fantasy</t>
        </is>
      </c>
      <c r="I387" s="11" t="inlineStr">
        <is>
          <t>Não</t>
        </is>
      </c>
      <c r="J387" s="11" t="n">
        <v>2025</v>
      </c>
      <c r="K387" s="10" t="n">
        <v>46024</v>
      </c>
      <c r="L387" s="11" t="n">
        <v>1</v>
      </c>
      <c r="M387" s="8">
        <f>L387*G387</f>
        <v/>
      </c>
      <c r="P387" s="9" t="n"/>
    </row>
    <row r="388">
      <c r="A388" s="11" t="inlineStr">
        <is>
          <t>Garnet, Princess of Alexandria / Garnet, Princesa de Alexandria</t>
        </is>
      </c>
      <c r="B388" s="11" t="inlineStr">
        <is>
          <t>Criatura Lendária — Humano Nobre Clerigo</t>
        </is>
      </c>
      <c r="C388" s="11" t="inlineStr">
        <is>
          <t>Incomum</t>
        </is>
      </c>
      <c r="D388" s="11" t="inlineStr">
        <is>
          <t>Vínculo com a vida. Sempre que Garnet atacar, você poderá remover um marcador de conhecimento de cada um de qualquer número de Sagas que você controla. Coloque um marcador +1/+1 em Garnet para cada marcador de conhecimento removido deste modo.</t>
        </is>
      </c>
      <c r="E388" s="11" t="inlineStr">
        <is>
          <t>{G}{W}</t>
        </is>
      </c>
      <c r="F388" s="11" t="inlineStr">
        <is>
          <t>Multicolorido (Verde/Branco)</t>
        </is>
      </c>
      <c r="G388" s="8" t="n">
        <v>0.32</v>
      </c>
      <c r="H388" s="11" t="inlineStr">
        <is>
          <t>Final Fantasy</t>
        </is>
      </c>
      <c r="I388" s="11" t="inlineStr">
        <is>
          <t>Não</t>
        </is>
      </c>
      <c r="J388" s="11" t="n">
        <v>2025</v>
      </c>
      <c r="K388" s="10" t="n">
        <v>46055</v>
      </c>
      <c r="L388" s="11" t="n">
        <v>1</v>
      </c>
      <c r="M388" s="8">
        <f>L388*G388</f>
        <v/>
      </c>
      <c r="P388" s="9" t="n"/>
    </row>
    <row r="389">
      <c r="A389" s="11" t="inlineStr">
        <is>
          <t>Ultimecia, Time Sorceress / Ultimecia, Feiticeira do Tempo</t>
        </is>
      </c>
      <c r="B389" s="11" t="inlineStr">
        <is>
          <t>Criatura Lendária — Humano Bruxo</t>
        </is>
      </c>
      <c r="C389" s="11" t="inlineStr">
        <is>
          <t>Incomum</t>
        </is>
      </c>
      <c r="D389" s="11"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9" s="11" t="inlineStr">
        <is>
          <t>3{U}{B}</t>
        </is>
      </c>
      <c r="F389" s="11" t="inlineStr">
        <is>
          <t>Multicolorido (Azul/Preto)</t>
        </is>
      </c>
      <c r="G389" s="8" t="n">
        <v>0.26</v>
      </c>
      <c r="H389" s="11" t="inlineStr">
        <is>
          <t>Final Fantasy</t>
        </is>
      </c>
      <c r="I389" s="11" t="inlineStr">
        <is>
          <t>Não</t>
        </is>
      </c>
      <c r="J389" s="11" t="n">
        <v>2025</v>
      </c>
      <c r="K389" s="10" t="n">
        <v>46146</v>
      </c>
      <c r="L389" s="11" t="n">
        <v>2</v>
      </c>
      <c r="M389" s="8">
        <f>L389*G389</f>
        <v/>
      </c>
      <c r="P389" s="9" t="n"/>
    </row>
    <row r="390">
      <c r="A390" s="11" t="inlineStr">
        <is>
          <t>Exdeath, Void Warlock / Exdeath, Bruxo do Vazio</t>
        </is>
      </c>
      <c r="B390" s="11" t="inlineStr">
        <is>
          <t>Criatura Lendária — Espírito Bruxo</t>
        </is>
      </c>
      <c r="C390" s="11" t="inlineStr">
        <is>
          <t>Incomum</t>
        </is>
      </c>
      <c r="D390" s="11" t="inlineStr">
        <is>
          <t>Quando Exdeath entrar, você ganha 3 de vida. No início de sua etapa final, se houver seis ou mais cards de permanente em seu cemitério, transforme Exdeath.</t>
        </is>
      </c>
      <c r="E390" s="11" t="inlineStr">
        <is>
          <t>1{B}{G}</t>
        </is>
      </c>
      <c r="F390" s="11" t="inlineStr">
        <is>
          <t>Multicolorido (Preto/Verde)</t>
        </is>
      </c>
      <c r="G390" s="8" t="n">
        <v>0.2</v>
      </c>
      <c r="H390" s="11" t="inlineStr">
        <is>
          <t>Final Fantasy</t>
        </is>
      </c>
      <c r="I390" s="11" t="inlineStr">
        <is>
          <t>Não</t>
        </is>
      </c>
      <c r="J390" s="11" t="n">
        <v>2025</v>
      </c>
      <c r="K390" s="10" t="n">
        <v>46084</v>
      </c>
      <c r="L390" s="11" t="n">
        <v>1</v>
      </c>
      <c r="M390" s="8">
        <f>L390*G390</f>
        <v/>
      </c>
      <c r="P390" s="9" t="n"/>
    </row>
    <row r="391">
      <c r="A391" s="11" t="inlineStr">
        <is>
          <t>Gladiolus Amicitia / Gladiolus Amicitia</t>
        </is>
      </c>
      <c r="B391" s="11" t="inlineStr">
        <is>
          <t>Criatura Lendária — Humano Guerreiro</t>
        </is>
      </c>
      <c r="C391" s="11" t="inlineStr">
        <is>
          <t>Incomum</t>
        </is>
      </c>
      <c r="D391" s="11"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91" s="11" t="inlineStr">
        <is>
          <t>4{R}{G}</t>
        </is>
      </c>
      <c r="F391" s="11" t="inlineStr">
        <is>
          <t>Multicolorido (Vermelho/Verde)</t>
        </is>
      </c>
      <c r="G391" s="8" t="n">
        <v>0.25</v>
      </c>
      <c r="H391" s="11" t="inlineStr">
        <is>
          <t>Final Fantasy</t>
        </is>
      </c>
      <c r="I391" s="11" t="inlineStr">
        <is>
          <t>Não</t>
        </is>
      </c>
      <c r="J391" s="11" t="n">
        <v>2025</v>
      </c>
      <c r="K391" s="10" t="n">
        <v>46179</v>
      </c>
      <c r="L391" s="11" t="n">
        <v>2</v>
      </c>
      <c r="M391" s="8">
        <f>L391*G391</f>
        <v/>
      </c>
      <c r="P391" s="9" t="n"/>
    </row>
    <row r="392">
      <c r="A392" s="11" t="inlineStr">
        <is>
          <t>Ignis Scientia / Ignis Scientia</t>
        </is>
      </c>
      <c r="B392" s="11" t="inlineStr">
        <is>
          <t>Criatura Lendária — Humano Conselheiro</t>
        </is>
      </c>
      <c r="C392" s="11" t="inlineStr">
        <is>
          <t>Incomum</t>
        </is>
      </c>
      <c r="D392" s="11"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2" s="11" t="inlineStr">
        <is>
          <t>1{G}{U}</t>
        </is>
      </c>
      <c r="F392" s="11" t="inlineStr">
        <is>
          <t>Multicolorido (Verde/Azul)</t>
        </is>
      </c>
      <c r="G392" s="8" t="n">
        <v>0.19</v>
      </c>
      <c r="H392" s="11" t="inlineStr">
        <is>
          <t>Final Fantasy</t>
        </is>
      </c>
      <c r="I392" s="11" t="inlineStr">
        <is>
          <t>Não</t>
        </is>
      </c>
      <c r="J392" s="11" t="n">
        <v>2025</v>
      </c>
      <c r="K392" s="10" t="n">
        <v>46055</v>
      </c>
      <c r="L392" s="11" t="n">
        <v>1</v>
      </c>
      <c r="M392" s="8">
        <f>L392*G392</f>
        <v/>
      </c>
      <c r="P392" s="9" t="n"/>
    </row>
    <row r="393">
      <c r="A393" s="11" t="inlineStr">
        <is>
          <t>Judge Magister Gabranth / Juiz Magistrado Gabranth</t>
        </is>
      </c>
      <c r="B393" s="11" t="inlineStr">
        <is>
          <t>Criatura Lendária — Humano Conselheiro Cavaleiro</t>
        </is>
      </c>
      <c r="C393" s="11" t="inlineStr">
        <is>
          <t>Incomum</t>
        </is>
      </c>
      <c r="D393" s="11" t="inlineStr">
        <is>
          <t>Ameaçar (Esta criatura só pode ser bloqueada por duas ou mais criaturas.) Sempre que outra criatura ou artefato que você controla morrer, coloque um marcador +1/+1 em Judge Magister Gabranth.</t>
        </is>
      </c>
      <c r="E393" s="11" t="inlineStr">
        <is>
          <t>{W}{B}</t>
        </is>
      </c>
      <c r="F393" s="11" t="inlineStr">
        <is>
          <t>Multicolorido (Branco/Preto)</t>
        </is>
      </c>
      <c r="G393" s="8" t="n">
        <v>0.25</v>
      </c>
      <c r="H393" s="11" t="inlineStr">
        <is>
          <t>Final Fantasy</t>
        </is>
      </c>
      <c r="I393" s="11" t="inlineStr">
        <is>
          <t>Não</t>
        </is>
      </c>
      <c r="J393" s="11" t="n">
        <v>2025</v>
      </c>
      <c r="K393" s="10" t="n">
        <v>46055</v>
      </c>
      <c r="L393" s="11" t="n">
        <v>1</v>
      </c>
      <c r="M393" s="8">
        <f>L393*G393</f>
        <v/>
      </c>
      <c r="P393" s="9" t="n"/>
    </row>
    <row r="394">
      <c r="A394" s="11" t="inlineStr">
        <is>
          <t>Fang, Fearless l'Cie / Fang, l'Cie Destemida</t>
        </is>
      </c>
      <c r="B394" s="11" t="inlineStr">
        <is>
          <t>Criatura Lendária — Humano Guerreiro</t>
        </is>
      </c>
      <c r="C394" s="11" t="inlineStr">
        <is>
          <t>Incomum</t>
        </is>
      </c>
      <c r="D394" s="11" t="inlineStr">
        <is>
          <t>Sempre que um ou mais cards deixarem o seu cemitério, você compra um card e perde 1 de vida. Esta habilidade é ativada apenas uma vez a cada turno. (Funde-se com Vanille, Cheerful l'Cie.)</t>
        </is>
      </c>
      <c r="E394" s="11" t="inlineStr">
        <is>
          <t>2{B}</t>
        </is>
      </c>
      <c r="F394" s="11" t="inlineStr">
        <is>
          <t>Preto</t>
        </is>
      </c>
      <c r="G394" s="8" t="n">
        <v>0.2</v>
      </c>
      <c r="H394" s="11" t="inlineStr">
        <is>
          <t>Final Fantasy</t>
        </is>
      </c>
      <c r="I394" s="11" t="inlineStr">
        <is>
          <t>Não</t>
        </is>
      </c>
      <c r="J394" s="11" t="n">
        <v>2025</v>
      </c>
      <c r="K394" s="10" t="n">
        <v>46083</v>
      </c>
      <c r="L394" s="11" t="n">
        <v>1</v>
      </c>
      <c r="M394" s="8">
        <f>L394*G394</f>
        <v/>
      </c>
      <c r="P394" s="9" t="n"/>
    </row>
    <row r="395">
      <c r="A395" s="11" t="inlineStr">
        <is>
          <t>Evil Reawakened / Mal Desperto</t>
        </is>
      </c>
      <c r="B395" s="11" t="inlineStr">
        <is>
          <t>Feitiço</t>
        </is>
      </c>
      <c r="C395" s="11" t="inlineStr">
        <is>
          <t>Incomum</t>
        </is>
      </c>
      <c r="D395" s="11" t="inlineStr">
        <is>
          <t>Devolva o card de criatura alvo de seu cemitério para o campo de batalha com dois marcadores +1/+1 adicionais sobre ele.</t>
        </is>
      </c>
      <c r="E395" s="11" t="inlineStr">
        <is>
          <t>4{B}</t>
        </is>
      </c>
      <c r="F395" s="11" t="inlineStr">
        <is>
          <t>Preto</t>
        </is>
      </c>
      <c r="G395" s="8" t="n">
        <v>0.2</v>
      </c>
      <c r="H395" s="11" t="inlineStr">
        <is>
          <t>Final Fantasy</t>
        </is>
      </c>
      <c r="I395" s="11" t="inlineStr">
        <is>
          <t>Não</t>
        </is>
      </c>
      <c r="J395" s="11" t="n">
        <v>2025</v>
      </c>
      <c r="L395" s="11" t="n">
        <v>1</v>
      </c>
      <c r="M395" s="8">
        <f>L395*G395</f>
        <v/>
      </c>
      <c r="P395" s="9" t="n"/>
    </row>
    <row r="396">
      <c r="A396" s="11" t="inlineStr">
        <is>
          <t>Sidequest: Hunt the Mark / Missão Secundária: Caçar a Marca</t>
        </is>
      </c>
      <c r="B396" s="11" t="inlineStr">
        <is>
          <t>Encantamento</t>
        </is>
      </c>
      <c r="C396" s="11" t="inlineStr">
        <is>
          <t>Incomum</t>
        </is>
      </c>
      <c r="D396" s="11"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6" s="11" t="inlineStr">
        <is>
          <t>3{B}{B}</t>
        </is>
      </c>
      <c r="F396" s="11" t="inlineStr">
        <is>
          <t>Preto</t>
        </is>
      </c>
      <c r="G396" s="8" t="n">
        <v>0.1</v>
      </c>
      <c r="H396" s="11" t="inlineStr">
        <is>
          <t>Final Fantasy</t>
        </is>
      </c>
      <c r="I396" s="11" t="inlineStr">
        <is>
          <t>Não</t>
        </is>
      </c>
      <c r="J396" s="11" t="n">
        <v>2025</v>
      </c>
      <c r="L396" s="11" t="n">
        <v>1</v>
      </c>
      <c r="M396" s="8">
        <f>L396*G396</f>
        <v/>
      </c>
      <c r="P396" s="9" t="n"/>
    </row>
    <row r="397">
      <c r="A397" s="11" t="inlineStr">
        <is>
          <t>Phantom Train / Trem Fantasma</t>
        </is>
      </c>
      <c r="B397" s="11" t="inlineStr">
        <is>
          <t>Artefato — Veículo</t>
        </is>
      </c>
      <c r="C397" s="11" t="inlineStr">
        <is>
          <t>Incomum</t>
        </is>
      </c>
      <c r="D397" s="11" t="inlineStr">
        <is>
          <t>Atropelar. Sacrifique outro artefato ou criatura: Coloque um marcador +1/+1 neste Veículo. Ele se torna uma criatura artefato Espírito além de seus outros tipos até o final do turno.</t>
        </is>
      </c>
      <c r="E397" s="11" t="inlineStr">
        <is>
          <t>3{B}</t>
        </is>
      </c>
      <c r="F397" s="11" t="inlineStr">
        <is>
          <t>Preto</t>
        </is>
      </c>
      <c r="G397" s="8" t="n">
        <v>0.22</v>
      </c>
      <c r="H397" s="11" t="inlineStr">
        <is>
          <t>Final Fantasy</t>
        </is>
      </c>
      <c r="I397" s="11" t="inlineStr">
        <is>
          <t>Não</t>
        </is>
      </c>
      <c r="J397" s="11" t="n">
        <v>2025</v>
      </c>
      <c r="K397" s="10" t="n">
        <v>46116</v>
      </c>
      <c r="L397" s="11" t="n">
        <v>1</v>
      </c>
      <c r="M397" s="8">
        <f>L397*G397</f>
        <v/>
      </c>
      <c r="P397" s="9" t="n"/>
    </row>
    <row r="398">
      <c r="A398" s="11" t="inlineStr">
        <is>
          <t>Murdock's Crusade / Cruzada de Murdock</t>
        </is>
      </c>
      <c r="B398" s="11" t="inlineStr">
        <is>
          <t>Feitiço</t>
        </is>
      </c>
      <c r="C398" s="11" t="inlineStr">
        <is>
          <t>Comum</t>
        </is>
      </c>
      <c r="D398" s="11"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8" s="11" t="inlineStr">
        <is>
          <t>1{W}</t>
        </is>
      </c>
      <c r="F398" s="11" t="inlineStr">
        <is>
          <t>Branco</t>
        </is>
      </c>
      <c r="G398" s="8" t="n">
        <v>0.13</v>
      </c>
      <c r="H398" s="11" t="inlineStr">
        <is>
          <t>Marvel</t>
        </is>
      </c>
      <c r="I398" s="11" t="inlineStr">
        <is>
          <t>Não</t>
        </is>
      </c>
      <c r="J398" s="11" t="n">
        <v>2026</v>
      </c>
      <c r="L398" s="11" t="n">
        <v>3</v>
      </c>
      <c r="M398" s="8">
        <f>L398*G398</f>
        <v/>
      </c>
      <c r="P398" s="9" t="n"/>
    </row>
    <row r="399">
      <c r="A399" s="11" t="inlineStr">
        <is>
          <t>Agent of Atlas / Agente da Atlas</t>
        </is>
      </c>
      <c r="B399" s="11" t="inlineStr">
        <is>
          <t>Criatura — Humano Espião Herói</t>
        </is>
      </c>
      <c r="C399" s="11" t="inlineStr">
        <is>
          <t>Comum</t>
        </is>
      </c>
      <c r="D399" s="11" t="inlineStr">
        <is>
          <t>Destreza (Sempre que você conjurar um feitiço que não seja de criatura, esta criatura receberá +1/+1 até o final do turno.)</t>
        </is>
      </c>
      <c r="E399" s="11" t="inlineStr">
        <is>
          <t>1{W}</t>
        </is>
      </c>
      <c r="F399" s="11" t="inlineStr">
        <is>
          <t>Branco</t>
        </is>
      </c>
      <c r="G399" s="8" t="n">
        <v>0.13</v>
      </c>
      <c r="H399" s="11" t="inlineStr">
        <is>
          <t>Marvel</t>
        </is>
      </c>
      <c r="I399" s="11" t="inlineStr">
        <is>
          <t>Não</t>
        </is>
      </c>
      <c r="J399" s="11" t="n">
        <v>2026</v>
      </c>
      <c r="K399" s="10" t="n">
        <v>46055</v>
      </c>
      <c r="L399" s="11" t="n">
        <v>1</v>
      </c>
      <c r="M399" s="8">
        <f>L399*G399</f>
        <v/>
      </c>
      <c r="P399" s="9" t="n"/>
    </row>
    <row r="400">
      <c r="A400" s="11" t="inlineStr">
        <is>
          <t>Agents of S.H.I.E.L.D. / Agentes da S.H.I.E.L.D.</t>
        </is>
      </c>
      <c r="B400" s="11" t="inlineStr">
        <is>
          <t>Criatura — Humano Espião Herói</t>
        </is>
      </c>
      <c r="C400" s="11" t="inlineStr">
        <is>
          <t>Comum</t>
        </is>
      </c>
      <c r="D400" s="11" t="inlineStr">
        <is>
          <t>Sempre que uma criatura que você controla atacar sozinha, aquela criatura receberá +1/+1 até o final do turno.</t>
        </is>
      </c>
      <c r="E400" s="11" t="inlineStr">
        <is>
          <t>2{W}</t>
        </is>
      </c>
      <c r="F400" s="11" t="inlineStr">
        <is>
          <t>Branco</t>
        </is>
      </c>
      <c r="G400" s="8" t="n">
        <v>0.15</v>
      </c>
      <c r="H400" s="11" t="inlineStr">
        <is>
          <t>Marvel</t>
        </is>
      </c>
      <c r="I400" s="11" t="inlineStr">
        <is>
          <t>Não</t>
        </is>
      </c>
      <c r="J400" s="11" t="n">
        <v>2026</v>
      </c>
      <c r="K400" s="10" t="n">
        <v>46114</v>
      </c>
      <c r="L400" s="11" t="n">
        <v>1</v>
      </c>
      <c r="M400" s="8">
        <f>L400*G400</f>
        <v/>
      </c>
      <c r="P400" s="9" t="n"/>
    </row>
    <row r="401">
      <c r="A401" s="11" t="inlineStr">
        <is>
          <t>Borough Backup / Reforço do Bairro</t>
        </is>
      </c>
      <c r="B401" s="11" t="inlineStr">
        <is>
          <t>Feitiço</t>
        </is>
      </c>
      <c r="C401" s="11" t="inlineStr">
        <is>
          <t>Comum</t>
        </is>
      </c>
      <c r="D401" s="11" t="inlineStr">
        <is>
          <t>Crie duas fichas de criatura Herói brancas 3/2 com vigilância. Reciclar terreno básico {2} ({2}, Descarte este card: Procure em seu grimório por um card de terreno básico, revele-o, coloque-o em sua mão e depois embaralhe.)</t>
        </is>
      </c>
      <c r="E401" s="11" t="inlineStr">
        <is>
          <t>4{W}</t>
        </is>
      </c>
      <c r="F401" s="11" t="inlineStr">
        <is>
          <t>Branco</t>
        </is>
      </c>
      <c r="G401" s="8" t="n">
        <v>0.13</v>
      </c>
      <c r="H401" s="11" t="inlineStr">
        <is>
          <t>Marvel</t>
        </is>
      </c>
      <c r="I401" s="11" t="inlineStr">
        <is>
          <t>Não</t>
        </is>
      </c>
      <c r="J401" s="11" t="n">
        <v>2026</v>
      </c>
      <c r="L401" s="11" t="n">
        <v>1</v>
      </c>
      <c r="M401" s="8">
        <f>L401*G401</f>
        <v/>
      </c>
      <c r="P401" s="9" t="n"/>
    </row>
    <row r="402">
      <c r="A402" s="11" t="inlineStr">
        <is>
          <t>Crowd of True Believers / Multidão de Espectadores Féis</t>
        </is>
      </c>
      <c r="B402" s="11" t="inlineStr">
        <is>
          <t>Criatura — Humano Cidadão</t>
        </is>
      </c>
      <c r="C402" s="11" t="inlineStr">
        <is>
          <t>Comum</t>
        </is>
      </c>
      <c r="D402" s="11" t="inlineStr">
        <is>
          <t>{T}: A criatura alvo que você controla que estiver atacando sozinha recebe +1/+0 até o final do turno. Você ganha 1 de vida.</t>
        </is>
      </c>
      <c r="E402" s="11" t="inlineStr">
        <is>
          <t>{W}</t>
        </is>
      </c>
      <c r="F402" s="11" t="inlineStr">
        <is>
          <t>Branco</t>
        </is>
      </c>
      <c r="G402" s="8" t="n">
        <v>0.13</v>
      </c>
      <c r="H402" s="11" t="inlineStr">
        <is>
          <t>Marvel</t>
        </is>
      </c>
      <c r="I402" s="11" t="inlineStr">
        <is>
          <t>Não</t>
        </is>
      </c>
      <c r="J402" s="11" t="n">
        <v>2026</v>
      </c>
      <c r="K402" s="10" t="n">
        <v>46054</v>
      </c>
      <c r="L402" s="11" t="n">
        <v>2</v>
      </c>
      <c r="M402" s="8">
        <f>L402*G402</f>
        <v/>
      </c>
      <c r="P402" s="9" t="n"/>
    </row>
    <row r="403">
      <c r="A403" s="11" t="inlineStr">
        <is>
          <t>Aerial Doombot / Doombot Aéreo</t>
        </is>
      </c>
      <c r="B403" s="11" t="inlineStr">
        <is>
          <t>Criatura Artefato — Robô Vilão</t>
        </is>
      </c>
      <c r="C403" s="11" t="inlineStr">
        <is>
          <t>Comum</t>
        </is>
      </c>
      <c r="D403" s="11" t="inlineStr">
        <is>
          <t>Voar. Fortalecer — {5}{U}: Coloque três marcadores +1/+1 nesta criatura. (Ative cada habilidade de fortalecer apenas uma vez. Reduza o custo em seu custo de mana se ela entrou neste turno.)</t>
        </is>
      </c>
      <c r="E403" s="11" t="inlineStr">
        <is>
          <t>{U}</t>
        </is>
      </c>
      <c r="F403" s="11" t="inlineStr">
        <is>
          <t>Azul</t>
        </is>
      </c>
      <c r="G403" s="8" t="n">
        <v>0.13</v>
      </c>
      <c r="H403" s="11" t="inlineStr">
        <is>
          <t>Marvel</t>
        </is>
      </c>
      <c r="I403" s="11" t="inlineStr">
        <is>
          <t>Não</t>
        </is>
      </c>
      <c r="J403" s="11" t="n">
        <v>2026</v>
      </c>
      <c r="K403" s="10" t="n">
        <v>46023</v>
      </c>
      <c r="L403" s="11" t="n">
        <v>2</v>
      </c>
      <c r="M403" s="8">
        <f>L403*G403</f>
        <v/>
      </c>
      <c r="P403" s="9" t="n"/>
    </row>
    <row r="404">
      <c r="A404" s="11" t="inlineStr">
        <is>
          <t>Atlantis Attacks / Ataque de Atlântida</t>
        </is>
      </c>
      <c r="B404" s="11" t="inlineStr">
        <is>
          <t>Feitiço</t>
        </is>
      </c>
      <c r="C404" s="11" t="inlineStr">
        <is>
          <t>Comum</t>
        </is>
      </c>
      <c r="D404" s="11"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4" s="11" t="inlineStr">
        <is>
          <t>5{U}{U}</t>
        </is>
      </c>
      <c r="F404" s="11" t="inlineStr">
        <is>
          <t>Azul</t>
        </is>
      </c>
      <c r="G404" s="8" t="n">
        <v>0.13</v>
      </c>
      <c r="H404" s="11" t="inlineStr">
        <is>
          <t>Marvel</t>
        </is>
      </c>
      <c r="I404" s="11" t="inlineStr">
        <is>
          <t>Não</t>
        </is>
      </c>
      <c r="J404" s="11" t="n">
        <v>2026</v>
      </c>
      <c r="L404" s="11" t="n">
        <v>1</v>
      </c>
      <c r="M404" s="8">
        <f>L404*G404</f>
        <v/>
      </c>
      <c r="P404" s="9" t="n"/>
    </row>
    <row r="405">
      <c r="A405" s="11" t="inlineStr">
        <is>
          <t>Falcon, Winged Wonder / Falcão, Prodígio Alado</t>
        </is>
      </c>
      <c r="B405" s="11" t="inlineStr">
        <is>
          <t>Criatura Lendária — Humano Herói</t>
        </is>
      </c>
      <c r="C405" s="11" t="inlineStr">
        <is>
          <t>Incomum</t>
        </is>
      </c>
      <c r="D405" s="11" t="inlineStr">
        <is>
          <t>Voar. Telepatia Aviária — Quando Falcão entrar, crie Asa Vermelha, uma ficha de criatura lendária Ave Batedor azul 1/1 com voar e "Sempre que Asa Vermelha atacar, vigie 1." (Olhe o card do topo de seu grimório. Você pode colocá-lo em seu cemitério.)</t>
        </is>
      </c>
      <c r="E405" s="11" t="inlineStr">
        <is>
          <t>4{U}</t>
        </is>
      </c>
      <c r="F405" s="11" t="inlineStr">
        <is>
          <t>Azul</t>
        </is>
      </c>
      <c r="G405" s="8" t="n">
        <v>0.6899999999999999</v>
      </c>
      <c r="H405" s="11" t="inlineStr">
        <is>
          <t>Marvel</t>
        </is>
      </c>
      <c r="I405" s="11" t="inlineStr">
        <is>
          <t>Não</t>
        </is>
      </c>
      <c r="J405" s="11" t="n">
        <v>2026</v>
      </c>
      <c r="K405" s="10" t="n">
        <v>46115</v>
      </c>
      <c r="L405" s="11" t="n">
        <v>1</v>
      </c>
      <c r="M405" s="8">
        <f>L405*G405</f>
        <v/>
      </c>
      <c r="P405" s="9" t="n"/>
    </row>
    <row r="406">
      <c r="A406" s="11" t="inlineStr">
        <is>
          <t>Frozen in Ice / Congelado no Gelo</t>
        </is>
      </c>
      <c r="B406" s="11" t="inlineStr">
        <is>
          <t>Encantamento — Aura</t>
        </is>
      </c>
      <c r="C406" s="11" t="inlineStr">
        <is>
          <t>Comum</t>
        </is>
      </c>
      <c r="D406" s="11" t="inlineStr">
        <is>
          <t>Encantar criatura. Quando esta Aura entrar, vire a criatura encantada. A criatura encantada perde todas as habilidades e não pode ser desvirada.</t>
        </is>
      </c>
      <c r="E406" s="11" t="inlineStr">
        <is>
          <t>2{U}</t>
        </is>
      </c>
      <c r="F406" s="11" t="inlineStr">
        <is>
          <t>Azul</t>
        </is>
      </c>
      <c r="G406" s="8" t="n">
        <v>0.13</v>
      </c>
      <c r="H406" s="11" t="inlineStr">
        <is>
          <t>Marvel</t>
        </is>
      </c>
      <c r="I406" s="11" t="inlineStr">
        <is>
          <t>Não</t>
        </is>
      </c>
      <c r="J406" s="11" t="n">
        <v>2026</v>
      </c>
      <c r="L406" s="11" t="n">
        <v>1</v>
      </c>
      <c r="M406" s="8">
        <f>L406*G406</f>
        <v/>
      </c>
      <c r="P406" s="9" t="n"/>
    </row>
    <row r="407">
      <c r="A407" s="11" t="inlineStr">
        <is>
          <t>Hydraulic Helper / Ajudante Hidráulico</t>
        </is>
      </c>
      <c r="B407" s="11" t="inlineStr">
        <is>
          <t>Criatura Artefato — Robô</t>
        </is>
      </c>
      <c r="C407" s="11" t="inlineStr">
        <is>
          <t>Comum</t>
        </is>
      </c>
      <c r="D407" s="11" t="inlineStr">
        <is>
          <t>Defensor. {T}: Adicione {U}. Este mana não pode ser gasto para conjurar uma mágica que não seja de artefato.</t>
        </is>
      </c>
      <c r="E407" s="11" t="inlineStr">
        <is>
          <t>1{U}</t>
        </is>
      </c>
      <c r="F407" s="11" t="inlineStr">
        <is>
          <t>Azul</t>
        </is>
      </c>
      <c r="G407" s="8" t="n">
        <v>0.13</v>
      </c>
      <c r="H407" s="11" t="inlineStr">
        <is>
          <t>Marvel</t>
        </is>
      </c>
      <c r="I407" s="11" t="inlineStr">
        <is>
          <t>Não</t>
        </is>
      </c>
      <c r="J407" s="11" t="n">
        <v>2026</v>
      </c>
      <c r="K407" s="10" t="n">
        <v>46083</v>
      </c>
      <c r="L407" s="11" t="n">
        <v>1</v>
      </c>
      <c r="M407" s="8">
        <f>L407*G407</f>
        <v/>
      </c>
      <c r="P407" s="9" t="n"/>
    </row>
    <row r="408">
      <c r="A408" s="11" t="inlineStr">
        <is>
          <t>I Am Iron Man / Eu Sou o Homem de Ferro</t>
        </is>
      </c>
      <c r="B408" s="11" t="inlineStr">
        <is>
          <t>Mágica Instantânea</t>
        </is>
      </c>
      <c r="C408" s="11" t="inlineStr">
        <is>
          <t>Comum</t>
        </is>
      </c>
      <c r="D408" s="11" t="inlineStr">
        <is>
          <t>Até o final do turno, o artefato ou criatura alvo torna-se uma criatura artefato com poder e resistência básicos 4/4 e ganha voar. Compre um card.</t>
        </is>
      </c>
      <c r="E408" s="11" t="inlineStr">
        <is>
          <t>2{U}</t>
        </is>
      </c>
      <c r="F408" s="11" t="inlineStr">
        <is>
          <t>Azul</t>
        </is>
      </c>
      <c r="G408" s="8" t="n">
        <v>0.13</v>
      </c>
      <c r="H408" s="11" t="inlineStr">
        <is>
          <t>Marvel</t>
        </is>
      </c>
      <c r="I408" s="11" t="inlineStr">
        <is>
          <t>Não</t>
        </is>
      </c>
      <c r="J408" s="11" t="n">
        <v>2026</v>
      </c>
      <c r="L408" s="11" t="n">
        <v>1</v>
      </c>
      <c r="M408" s="8">
        <f>L408*G408</f>
        <v/>
      </c>
      <c r="P408" s="9" t="n"/>
    </row>
    <row r="409">
      <c r="A409" s="11" t="inlineStr">
        <is>
          <t>Rewrite History / Reescrever a História</t>
        </is>
      </c>
      <c r="B409" s="11" t="inlineStr">
        <is>
          <t>Encantamento — Plano</t>
        </is>
      </c>
      <c r="C409" s="11" t="inlineStr">
        <is>
          <t>Incomum</t>
        </is>
      </c>
      <c r="D409" s="11"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9" s="11" t="inlineStr">
        <is>
          <t>2{U}</t>
        </is>
      </c>
      <c r="F409" s="11" t="inlineStr">
        <is>
          <t>Azul</t>
        </is>
      </c>
      <c r="G409" s="8" t="n">
        <v>0.6899999999999999</v>
      </c>
      <c r="H409" s="11" t="inlineStr">
        <is>
          <t>Marvel</t>
        </is>
      </c>
      <c r="I409" s="11" t="inlineStr">
        <is>
          <t>Não</t>
        </is>
      </c>
      <c r="J409" s="11" t="n">
        <v>2026</v>
      </c>
      <c r="L409" s="11" t="n">
        <v>2</v>
      </c>
      <c r="M409" s="8">
        <f>L409*G409</f>
        <v/>
      </c>
      <c r="P409" s="9" t="n"/>
    </row>
    <row r="410">
      <c r="A410" s="11" t="inlineStr">
        <is>
          <t>S.H.I.E.L.D. Deployment Drone / Drone de Implantação da S.H.I.E.L.D.</t>
        </is>
      </c>
      <c r="B410" s="11" t="inlineStr">
        <is>
          <t>Criatura Artefato — Robô</t>
        </is>
      </c>
      <c r="C410" s="11" t="inlineStr">
        <is>
          <t>Comum</t>
        </is>
      </c>
      <c r="D410" s="11" t="inlineStr">
        <is>
          <t>Voar. Quando esta criatura entrar, crie uma ficha de criatura Soldado branca 1/1.</t>
        </is>
      </c>
      <c r="E410" s="11" t="inlineStr">
        <is>
          <t>2{U}</t>
        </is>
      </c>
      <c r="F410" s="11" t="inlineStr">
        <is>
          <t>Azul</t>
        </is>
      </c>
      <c r="G410" s="8" t="n">
        <v>0.13</v>
      </c>
      <c r="H410" s="11" t="inlineStr">
        <is>
          <t>Marvel</t>
        </is>
      </c>
      <c r="I410" s="11" t="inlineStr">
        <is>
          <t>Não</t>
        </is>
      </c>
      <c r="J410" s="11" t="n">
        <v>2026</v>
      </c>
      <c r="K410" s="10" t="n">
        <v>46055</v>
      </c>
      <c r="L410" s="11" t="n">
        <v>1</v>
      </c>
      <c r="M410" s="8">
        <f>L410*G410</f>
        <v/>
      </c>
      <c r="P410" s="9" t="n"/>
    </row>
    <row r="411">
      <c r="A411" s="11" t="inlineStr">
        <is>
          <t>Dependable Quinjet / Quinjet Confiável</t>
        </is>
      </c>
      <c r="B411" s="11" t="inlineStr">
        <is>
          <t>Artefato — Veículo</t>
        </is>
      </c>
      <c r="C411" s="11" t="inlineStr">
        <is>
          <t>Comum</t>
        </is>
      </c>
      <c r="D411" s="11" t="inlineStr">
        <is>
          <t>Voar. {T}: Adicione um mana de qualquer cor. Tripular 4 (Vire qualquer número de criaturas que você controla com poder total igual ou superior a 4: Este Veículo torna-se uma criatura artefato até o final do turno.)</t>
        </is>
      </c>
      <c r="E411" s="11" t="inlineStr">
        <is>
          <t>{3}</t>
        </is>
      </c>
      <c r="F411" s="11" t="inlineStr">
        <is>
          <t>Incolor</t>
        </is>
      </c>
      <c r="G411" s="8" t="n">
        <v>0.13</v>
      </c>
      <c r="H411" s="11" t="inlineStr">
        <is>
          <t>Marvel</t>
        </is>
      </c>
      <c r="I411" s="11" t="inlineStr">
        <is>
          <t>Não</t>
        </is>
      </c>
      <c r="J411" s="11" t="n">
        <v>2026</v>
      </c>
      <c r="K411" s="10" t="n">
        <v>46084</v>
      </c>
      <c r="L411" s="11" t="n">
        <v>1</v>
      </c>
      <c r="M411" s="8">
        <f>L411*G411</f>
        <v/>
      </c>
      <c r="P411" s="9" t="n"/>
    </row>
    <row r="412">
      <c r="A412" s="11" t="inlineStr">
        <is>
          <t>A.I.M. Synthoids / Sintóides da I.E.A.</t>
        </is>
      </c>
      <c r="B412" s="11" t="inlineStr">
        <is>
          <t>Criatura Artefato — Robô Vilão</t>
        </is>
      </c>
      <c r="C412" s="11" t="inlineStr">
        <is>
          <t>Comum</t>
        </is>
      </c>
      <c r="D412" s="11" t="inlineStr">
        <is>
          <t>Quando esta criatura entrar, vigie 2. (Olhe os dois cards do topo de seu grimório, depois coloque qualquer número deles em seu cemitério e o restante no topo de seu grimório em qualquer ordem.)</t>
        </is>
      </c>
      <c r="E412" s="11" t="inlineStr">
        <is>
          <t>{2}</t>
        </is>
      </c>
      <c r="F412" s="11" t="inlineStr">
        <is>
          <t>Incolor</t>
        </is>
      </c>
      <c r="G412" s="8" t="n">
        <v>0.13</v>
      </c>
      <c r="H412" s="11" t="inlineStr">
        <is>
          <t>Marvel</t>
        </is>
      </c>
      <c r="I412" s="11" t="inlineStr">
        <is>
          <t>Não</t>
        </is>
      </c>
      <c r="J412" s="11" t="n">
        <v>2026</v>
      </c>
      <c r="K412" s="10" t="n">
        <v>46082</v>
      </c>
      <c r="L412" s="11" t="n">
        <v>1</v>
      </c>
      <c r="M412" s="8">
        <f>L412*G412</f>
        <v/>
      </c>
      <c r="P412" s="9" t="n"/>
    </row>
    <row r="413">
      <c r="A413" s="11" t="inlineStr">
        <is>
          <t>Ant-Man's Army / Exército do Homem-Formiga</t>
        </is>
      </c>
      <c r="B413" s="11" t="inlineStr">
        <is>
          <t>Criatura — Inseto</t>
        </is>
      </c>
      <c r="C413" s="11" t="inlineStr">
        <is>
          <t>Comum</t>
        </is>
      </c>
      <c r="D413" s="11"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3" s="11" t="inlineStr">
        <is>
          <t>2{G}</t>
        </is>
      </c>
      <c r="F413" s="11" t="inlineStr">
        <is>
          <t>Verde</t>
        </is>
      </c>
      <c r="G413" s="8" t="n">
        <v>0.13</v>
      </c>
      <c r="H413" s="11" t="inlineStr">
        <is>
          <t>Marvel</t>
        </is>
      </c>
      <c r="I413" s="11" t="inlineStr">
        <is>
          <t>Não</t>
        </is>
      </c>
      <c r="J413" s="11" t="n">
        <v>2026</v>
      </c>
      <c r="K413" s="10" t="n">
        <v>46056</v>
      </c>
      <c r="L413" s="11" t="n">
        <v>1</v>
      </c>
      <c r="M413" s="8">
        <f>L413*G413</f>
        <v/>
      </c>
      <c r="P413" s="9" t="n"/>
    </row>
    <row r="414">
      <c r="A414" s="11" t="inlineStr">
        <is>
          <t>Claim the Kingdom / Reivindicar o Reino</t>
        </is>
      </c>
      <c r="B414" s="11" t="inlineStr">
        <is>
          <t>Encantamento — Plano</t>
        </is>
      </c>
      <c r="C414" s="11" t="inlineStr">
        <is>
          <t>Incomum</t>
        </is>
      </c>
      <c r="D414" s="11"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4" s="11" t="inlineStr">
        <is>
          <t>1{G}</t>
        </is>
      </c>
      <c r="F414" s="11" t="inlineStr">
        <is>
          <t>Verde</t>
        </is>
      </c>
      <c r="G414" s="8" t="n">
        <v>0.64</v>
      </c>
      <c r="H414" s="11" t="inlineStr">
        <is>
          <t>Marvel</t>
        </is>
      </c>
      <c r="I414" s="11" t="inlineStr">
        <is>
          <t>Não</t>
        </is>
      </c>
      <c r="J414" s="11" t="n">
        <v>2026</v>
      </c>
      <c r="L414" s="11" t="n">
        <v>2</v>
      </c>
      <c r="M414" s="8">
        <f>L414*G414</f>
        <v/>
      </c>
      <c r="P414" s="9" t="n"/>
    </row>
    <row r="415">
      <c r="A415" s="11" t="inlineStr">
        <is>
          <t>Serpent Specialist / Especialista em Serpentes</t>
        </is>
      </c>
      <c r="B415" s="11" t="inlineStr">
        <is>
          <t>Criatura — Humano Cobra Vilão</t>
        </is>
      </c>
      <c r="C415" s="11" t="inlineStr">
        <is>
          <t>Comum</t>
        </is>
      </c>
      <c r="D415" s="11" t="inlineStr">
        <is>
          <t>Toque mortífero. Fortalecer — {3}{G}: Coloque dois marcadores +1/+1 nesta criatura. (Ative cada habilidade de fortalecer apenas uma vez. Reduza o custo em seu custo de mana se ela entrou neste turno.)</t>
        </is>
      </c>
      <c r="E415" s="11" t="inlineStr">
        <is>
          <t>{G}</t>
        </is>
      </c>
      <c r="F415" s="11" t="inlineStr">
        <is>
          <t>Verde</t>
        </is>
      </c>
      <c r="G415" s="8" t="n">
        <v>0.13</v>
      </c>
      <c r="H415" s="11" t="inlineStr">
        <is>
          <t>Marvel</t>
        </is>
      </c>
      <c r="I415" s="11" t="inlineStr">
        <is>
          <t>Não</t>
        </is>
      </c>
      <c r="J415" s="11" t="n">
        <v>2026</v>
      </c>
      <c r="K415" s="10" t="n">
        <v>46023</v>
      </c>
      <c r="L415" s="11" t="n">
        <v>1</v>
      </c>
      <c r="M415" s="8">
        <f>L415*G415</f>
        <v/>
      </c>
      <c r="P415" s="9" t="n"/>
    </row>
    <row r="416">
      <c r="A416" s="11" t="inlineStr">
        <is>
          <t>Wakandan Royal Guard / Guarda Real de Wakanda</t>
        </is>
      </c>
      <c r="B416" s="11" t="inlineStr">
        <is>
          <t>Criatura — Humano Soldado Herói</t>
        </is>
      </c>
      <c r="C416" s="11" t="inlineStr">
        <is>
          <t>Comum</t>
        </is>
      </c>
      <c r="D416" s="11" t="inlineStr">
        <is>
          <t>Vigilância. Quando esta criatura entrar, coloque um marcador +1/+1 na criatura alvo. Se aquela criatura for outro Herói, em vez disso, coloque dois marcadores +1/+1 nela.</t>
        </is>
      </c>
      <c r="E416" s="11" t="inlineStr">
        <is>
          <t>4{G}</t>
        </is>
      </c>
      <c r="F416" s="11" t="inlineStr">
        <is>
          <t>Verde</t>
        </is>
      </c>
      <c r="G416" s="8" t="n">
        <v>0.13</v>
      </c>
      <c r="H416" s="11" t="inlineStr">
        <is>
          <t>Marvel</t>
        </is>
      </c>
      <c r="I416" s="11" t="inlineStr">
        <is>
          <t>Não</t>
        </is>
      </c>
      <c r="J416" s="11" t="n">
        <v>2026</v>
      </c>
      <c r="K416" s="10" t="n">
        <v>46116</v>
      </c>
      <c r="L416" s="11" t="n">
        <v>1</v>
      </c>
      <c r="M416" s="8">
        <f>L416*G416</f>
        <v/>
      </c>
      <c r="P416" s="9" t="n"/>
    </row>
    <row r="417">
      <c r="A417" s="11" t="inlineStr">
        <is>
          <t>Powerful Broker / Corretor Poderoso</t>
        </is>
      </c>
      <c r="B417" s="11" t="inlineStr">
        <is>
          <t>Criatura — Humano Vilão</t>
        </is>
      </c>
      <c r="C417" s="11" t="inlineStr">
        <is>
          <t>Comum</t>
        </is>
      </c>
      <c r="D417" s="11" t="inlineStr">
        <is>
          <t>{T}: Para cada tipo de marcador na permanente ou jogador alvo, dê àquela permanente ou jogador outro marcador daquele tipo. Ative apenas como um feitiço.</t>
        </is>
      </c>
      <c r="E417" s="11" t="inlineStr">
        <is>
          <t>2{G}</t>
        </is>
      </c>
      <c r="F417" s="11" t="inlineStr">
        <is>
          <t>Verde</t>
        </is>
      </c>
      <c r="G417" s="8" t="n">
        <v>0.13</v>
      </c>
      <c r="H417" s="11" t="inlineStr">
        <is>
          <t>Marvel</t>
        </is>
      </c>
      <c r="I417" s="11" t="inlineStr">
        <is>
          <t>Não</t>
        </is>
      </c>
      <c r="J417" s="11" t="n">
        <v>2026</v>
      </c>
      <c r="K417" s="10" t="n">
        <v>46084</v>
      </c>
      <c r="L417" s="11" t="n">
        <v>4</v>
      </c>
      <c r="M417" s="8">
        <f>L417*G417</f>
        <v/>
      </c>
      <c r="P417" s="9" t="n"/>
    </row>
    <row r="418">
      <c r="A418" s="11" t="inlineStr">
        <is>
          <t>Powerful Broker / Corretor Poderoso</t>
        </is>
      </c>
      <c r="B418" s="11" t="inlineStr">
        <is>
          <t>Criatura — Humano Vilão</t>
        </is>
      </c>
      <c r="C418" s="11" t="inlineStr">
        <is>
          <t>Comum</t>
        </is>
      </c>
      <c r="D418" s="11" t="inlineStr">
        <is>
          <t>{T}: Para cada tipo de marcador na permanente ou jogador alvo, dê àquela permanente ou jogador outro marcador daquele tipo. Ative apenas como um feitiço.</t>
        </is>
      </c>
      <c r="E418" s="11" t="inlineStr">
        <is>
          <t>2{G}</t>
        </is>
      </c>
      <c r="F418" s="11" t="inlineStr">
        <is>
          <t>Verde</t>
        </is>
      </c>
      <c r="G418" s="8" t="n">
        <v>0.84</v>
      </c>
      <c r="H418" s="11" t="inlineStr">
        <is>
          <t>Marvel</t>
        </is>
      </c>
      <c r="I418" s="11" t="inlineStr">
        <is>
          <t>Não</t>
        </is>
      </c>
      <c r="J418" s="11" t="n">
        <v>2026</v>
      </c>
      <c r="K418" s="10" t="n">
        <v>46084</v>
      </c>
      <c r="L418" s="11" t="n">
        <v>1</v>
      </c>
      <c r="M418" s="8">
        <f>L418*G418</f>
        <v/>
      </c>
      <c r="P418" s="9" t="n"/>
    </row>
    <row r="419">
      <c r="A419" s="11" t="inlineStr">
        <is>
          <t>Powerful Broker / Corretor Poderoso</t>
        </is>
      </c>
      <c r="B419" s="11" t="inlineStr">
        <is>
          <t>Criatura — Humano Vilão</t>
        </is>
      </c>
      <c r="C419" s="11" t="inlineStr">
        <is>
          <t>Comum</t>
        </is>
      </c>
      <c r="D419" s="11" t="inlineStr">
        <is>
          <t>{T}: Para cada tipo de marcador na permanente ou jogador alvo, dê àquela permanente ou jogador outro marcador daquele tipo. Ative apenas como um feitiço.</t>
        </is>
      </c>
      <c r="E419" s="11" t="inlineStr">
        <is>
          <t>2{G}</t>
        </is>
      </c>
      <c r="F419" s="11" t="inlineStr">
        <is>
          <t>Verde</t>
        </is>
      </c>
      <c r="G419" s="8" t="n">
        <v>0.13</v>
      </c>
      <c r="H419" s="11" t="inlineStr">
        <is>
          <t>Marvel</t>
        </is>
      </c>
      <c r="I419" s="11" t="inlineStr">
        <is>
          <t>Não</t>
        </is>
      </c>
      <c r="J419" s="11" t="n">
        <v>2026</v>
      </c>
      <c r="K419" s="10" t="n">
        <v>46084</v>
      </c>
      <c r="L419" s="11" t="n">
        <v>2</v>
      </c>
      <c r="M419" s="8">
        <f>L419*G419</f>
        <v/>
      </c>
      <c r="P419" s="9" t="n"/>
    </row>
    <row r="420">
      <c r="A420" s="11" t="inlineStr">
        <is>
          <t>Powerful Broker / Corretor Poderoso</t>
        </is>
      </c>
      <c r="B420" s="11" t="inlineStr">
        <is>
          <t>Criatura — Humano Vilão</t>
        </is>
      </c>
      <c r="C420" s="11" t="inlineStr">
        <is>
          <t>Comum</t>
        </is>
      </c>
      <c r="D420" s="11" t="inlineStr">
        <is>
          <t>{T}: Para cada tipo de marcador na permanente ou jogador alvo, dê àquela permanente ou jogador outro marcador daquele tipo. Ative apenas como um feitiço.</t>
        </is>
      </c>
      <c r="E420" s="11" t="inlineStr">
        <is>
          <t>2{G}</t>
        </is>
      </c>
      <c r="F420" s="11" t="inlineStr">
        <is>
          <t>Verde</t>
        </is>
      </c>
      <c r="G420" s="8" t="n">
        <v>0.34</v>
      </c>
      <c r="H420" s="11" t="inlineStr">
        <is>
          <t>Marvel</t>
        </is>
      </c>
      <c r="I420" s="11" t="inlineStr">
        <is>
          <t>Sim</t>
        </is>
      </c>
      <c r="J420" s="11" t="n">
        <v>2026</v>
      </c>
      <c r="K420" s="10" t="n">
        <v>46084</v>
      </c>
      <c r="L420" s="11" t="n">
        <v>1</v>
      </c>
      <c r="M420" s="8">
        <f>L420*G420</f>
        <v/>
      </c>
      <c r="P420" s="9" t="n"/>
    </row>
    <row r="421">
      <c r="A421" s="11" t="inlineStr">
        <is>
          <t>Guerrilla Gorilla / Gorila Guerrilheiro</t>
        </is>
      </c>
      <c r="B421" s="11" t="inlineStr">
        <is>
          <t>Criatura — Macaco Soldado Herói</t>
        </is>
      </c>
      <c r="C421" s="11" t="inlineStr">
        <is>
          <t>Comum</t>
        </is>
      </c>
      <c r="D421" s="11" t="inlineStr">
        <is>
          <t>Alcance. Sacrifique esta criatura: Destrua o artefato não de criatura ou encantamento não de criatura alvo. Ative apenas como um feitiço.</t>
        </is>
      </c>
      <c r="E421" s="11" t="inlineStr">
        <is>
          <t>1{G}</t>
        </is>
      </c>
      <c r="F421" s="11" t="inlineStr">
        <is>
          <t>Verde</t>
        </is>
      </c>
      <c r="G421" s="8" t="n">
        <v>0.35</v>
      </c>
      <c r="H421" s="11" t="inlineStr">
        <is>
          <t>Marvel</t>
        </is>
      </c>
      <c r="I421" s="11" t="inlineStr">
        <is>
          <t>Sim</t>
        </is>
      </c>
      <c r="J421" s="11" t="n">
        <v>2026</v>
      </c>
      <c r="K421" s="10" t="n">
        <v>46055</v>
      </c>
      <c r="L421" s="11" t="n">
        <v>1</v>
      </c>
      <c r="M421" s="8">
        <f>L421*G421</f>
        <v/>
      </c>
      <c r="P421" s="9" t="n"/>
    </row>
    <row r="422">
      <c r="A422" s="11" t="inlineStr">
        <is>
          <t>Guerrilla Gorilla / Gorila Guerrilheiro</t>
        </is>
      </c>
      <c r="B422" s="11" t="inlineStr">
        <is>
          <t>Criatura — Macaco Soldado Herói</t>
        </is>
      </c>
      <c r="C422" s="11" t="inlineStr">
        <is>
          <t>Comum</t>
        </is>
      </c>
      <c r="D422" s="11" t="inlineStr">
        <is>
          <t>Alcance. Sacrifique esta criatura: Destrua o artefato não de criatura ou encantamento não de criatura alvo. Ative apenas como um feitiço.</t>
        </is>
      </c>
      <c r="E422" s="11" t="inlineStr">
        <is>
          <t>1{G}</t>
        </is>
      </c>
      <c r="F422" s="11" t="inlineStr">
        <is>
          <t>Verde</t>
        </is>
      </c>
      <c r="G422" s="8" t="n">
        <v>0.13</v>
      </c>
      <c r="H422" s="11" t="inlineStr">
        <is>
          <t>Marvel</t>
        </is>
      </c>
      <c r="I422" s="11" t="inlineStr">
        <is>
          <t>Não</t>
        </is>
      </c>
      <c r="J422" s="11" t="n">
        <v>2026</v>
      </c>
      <c r="K422" s="10" t="n">
        <v>46055</v>
      </c>
      <c r="L422" s="11" t="n">
        <v>1</v>
      </c>
      <c r="M422" s="8">
        <f>L422*G422</f>
        <v/>
      </c>
      <c r="P422" s="9" t="n"/>
    </row>
    <row r="423">
      <c r="A423" s="11" t="inlineStr">
        <is>
          <t>Blazing Crescendo / Crescendo Flamejante</t>
        </is>
      </c>
      <c r="B423" s="11" t="inlineStr">
        <is>
          <t>Mágica Instantânea</t>
        </is>
      </c>
      <c r="C423" s="11" t="inlineStr">
        <is>
          <t>Comum</t>
        </is>
      </c>
      <c r="D423" s="11" t="inlineStr">
        <is>
          <t>A criatura alvo recebe +3/+1 até o final do turno. Exile o card do topo de seu grimório. Até o final de seu próximo turno, você poderá jogar aquele card.</t>
        </is>
      </c>
      <c r="E423" s="11" t="inlineStr">
        <is>
          <t>1{R}</t>
        </is>
      </c>
      <c r="F423" s="11" t="inlineStr">
        <is>
          <t>Vermelho</t>
        </is>
      </c>
      <c r="G423" s="8" t="n">
        <v>0.13</v>
      </c>
      <c r="H423" s="11" t="inlineStr">
        <is>
          <t>Marvel</t>
        </is>
      </c>
      <c r="I423" s="11" t="inlineStr">
        <is>
          <t>Não</t>
        </is>
      </c>
      <c r="J423" s="11" t="n">
        <v>2026</v>
      </c>
      <c r="L423" s="11" t="n">
        <v>1</v>
      </c>
      <c r="M423" s="8">
        <f>L423*G423</f>
        <v/>
      </c>
      <c r="P423" s="9" t="n"/>
    </row>
    <row r="424">
      <c r="A424" s="11" t="inlineStr">
        <is>
          <t>Crimson Operative / Operativo Carmesim</t>
        </is>
      </c>
      <c r="B424" s="11" t="inlineStr">
        <is>
          <t>Criatura Artefato — Humano Vilão</t>
        </is>
      </c>
      <c r="C424" s="11" t="inlineStr">
        <is>
          <t>Comum</t>
        </is>
      </c>
      <c r="D424" s="11"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4" s="11" t="inlineStr">
        <is>
          <t>3{R}</t>
        </is>
      </c>
      <c r="F424" s="11" t="inlineStr">
        <is>
          <t>Vermelho</t>
        </is>
      </c>
      <c r="G424" s="8" t="n">
        <v>0.13</v>
      </c>
      <c r="H424" s="11" t="inlineStr">
        <is>
          <t>Marvel</t>
        </is>
      </c>
      <c r="I424" s="11" t="inlineStr">
        <is>
          <t>Não</t>
        </is>
      </c>
      <c r="J424" s="11" t="n">
        <v>2026</v>
      </c>
      <c r="K424" s="10" t="n">
        <v>46056</v>
      </c>
      <c r="L424" s="11" t="n">
        <v>1</v>
      </c>
      <c r="M424" s="8">
        <f>L424*G424</f>
        <v/>
      </c>
      <c r="P424" s="9" t="n"/>
    </row>
    <row r="425">
      <c r="A425" s="11" t="inlineStr">
        <is>
          <t>Lightning Strike / Raio de Solavanco</t>
        </is>
      </c>
      <c r="B425" s="11" t="inlineStr">
        <is>
          <t>Mágica Instantânea</t>
        </is>
      </c>
      <c r="C425" s="11" t="inlineStr">
        <is>
          <t>Comum</t>
        </is>
      </c>
      <c r="D425" s="11" t="inlineStr">
        <is>
          <t>Raio de Solavanco causa 3 de pontos de dano a qualquer alvo.</t>
        </is>
      </c>
      <c r="E425" s="11" t="inlineStr">
        <is>
          <t>1{R}</t>
        </is>
      </c>
      <c r="F425" s="11" t="inlineStr">
        <is>
          <t>Vermelho</t>
        </is>
      </c>
      <c r="G425" s="8" t="n">
        <v>0.13</v>
      </c>
      <c r="H425" s="11" t="inlineStr">
        <is>
          <t>Marvel</t>
        </is>
      </c>
      <c r="I425" s="11" t="inlineStr">
        <is>
          <t>Não</t>
        </is>
      </c>
      <c r="J425" s="11" t="n">
        <v>2026</v>
      </c>
      <c r="L425" s="11" t="n">
        <v>2</v>
      </c>
      <c r="M425" s="8">
        <f>L425*G425</f>
        <v/>
      </c>
      <c r="P425" s="9" t="n"/>
    </row>
    <row r="426">
      <c r="A426" s="11" t="inlineStr">
        <is>
          <t>Stark Industries Executive / Executivo das Indústrias Stark</t>
        </is>
      </c>
      <c r="B426" s="11" t="inlineStr">
        <is>
          <t>Criatura — Humano Conselheiro</t>
        </is>
      </c>
      <c r="C426" s="11" t="inlineStr">
        <is>
          <t>Comum</t>
        </is>
      </c>
      <c r="D426" s="11" t="inlineStr">
        <is>
          <t>{2}, {T}: Crie uma ficha de Tesouro. (Ela é um artefato com "{T}, Sacrifique esta ficha: Adicione um mana de qualquer cor.")</t>
        </is>
      </c>
      <c r="E426" s="11" t="inlineStr">
        <is>
          <t>{R}</t>
        </is>
      </c>
      <c r="F426" s="11" t="inlineStr">
        <is>
          <t>Vermelho</t>
        </is>
      </c>
      <c r="G426" s="8" t="n">
        <v>0.13</v>
      </c>
      <c r="H426" s="11" t="inlineStr">
        <is>
          <t>Marvel</t>
        </is>
      </c>
      <c r="I426" s="11" t="inlineStr">
        <is>
          <t>Não</t>
        </is>
      </c>
      <c r="J426" s="11" t="n">
        <v>2026</v>
      </c>
      <c r="K426" s="10" t="n">
        <v>46054</v>
      </c>
      <c r="L426" s="11" t="n">
        <v>2</v>
      </c>
      <c r="M426" s="8">
        <f>L426*G426</f>
        <v/>
      </c>
      <c r="P426" s="9" t="n"/>
    </row>
    <row r="427">
      <c r="A427" s="11" t="inlineStr">
        <is>
          <t>Truck Toss / Arremesso de Caminhão</t>
        </is>
      </c>
      <c r="B427" s="11" t="inlineStr">
        <is>
          <t>Mágica Instantânea</t>
        </is>
      </c>
      <c r="C427" s="11" t="inlineStr">
        <is>
          <t>Incomum</t>
        </is>
      </c>
      <c r="D427" s="11" t="inlineStr">
        <is>
          <t>Esta mágica custa {2} a menos para ser conjurada se você controlar um Veículo. Arremesso de Caminhão causa 4 de dano a qualquer alvo.</t>
        </is>
      </c>
      <c r="E427" s="11" t="inlineStr">
        <is>
          <t>2{R}{R}</t>
        </is>
      </c>
      <c r="F427" s="11" t="inlineStr">
        <is>
          <t>Vermelho</t>
        </is>
      </c>
      <c r="G427" s="8" t="n">
        <v>0.44</v>
      </c>
      <c r="H427" s="11" t="inlineStr">
        <is>
          <t>Marvel</t>
        </is>
      </c>
      <c r="I427" s="11" t="inlineStr">
        <is>
          <t>Não</t>
        </is>
      </c>
      <c r="J427" s="11" t="n">
        <v>2026</v>
      </c>
      <c r="L427" s="11" t="n">
        <v>1</v>
      </c>
      <c r="M427" s="8">
        <f>L427*G427</f>
        <v/>
      </c>
      <c r="P427" s="9" t="n"/>
    </row>
    <row r="428">
      <c r="A428" s="11" t="inlineStr">
        <is>
          <t>Volcanic Villain / Vilã Vulcânica</t>
        </is>
      </c>
      <c r="B428" s="11" t="inlineStr">
        <is>
          <t>Criatura — Elemental Vilão</t>
        </is>
      </c>
      <c r="C428" s="11" t="inlineStr">
        <is>
          <t>Comum</t>
        </is>
      </c>
      <c r="D428" s="11" t="inlineStr">
        <is>
          <t>Ímpeto. Fortalecer — {5}{R}: Coloque dois marcadores +1/+1 nesta criatura. (Ative cada habilidade de fortalecer apenas uma vez. Reduza o custo pelo custo de mana dela se ela entrou neste turno.)</t>
        </is>
      </c>
      <c r="E428" s="11" t="inlineStr">
        <is>
          <t>2{R}</t>
        </is>
      </c>
      <c r="F428" s="11" t="inlineStr">
        <is>
          <t>Vermelho</t>
        </is>
      </c>
      <c r="G428" s="8" t="n">
        <v>0.13</v>
      </c>
      <c r="H428" s="11" t="inlineStr">
        <is>
          <t>Marvel</t>
        </is>
      </c>
      <c r="I428" s="11" t="inlineStr">
        <is>
          <t>Não</t>
        </is>
      </c>
      <c r="J428" s="11" t="n">
        <v>2026</v>
      </c>
      <c r="K428" s="10" t="n">
        <v>46056</v>
      </c>
      <c r="L428" s="11" t="n">
        <v>1</v>
      </c>
      <c r="M428" s="8">
        <f>L428*G428</f>
        <v/>
      </c>
      <c r="P428" s="9" t="n"/>
    </row>
    <row r="429">
      <c r="A429" s="11" t="inlineStr">
        <is>
          <t>Roxxon Brutes / Brutos da Roxxon</t>
        </is>
      </c>
      <c r="B429" s="11" t="inlineStr">
        <is>
          <t>Criatura — Humano Berserker Vilão</t>
        </is>
      </c>
      <c r="C429" s="11" t="inlineStr">
        <is>
          <t>Comum</t>
        </is>
      </c>
      <c r="D429" s="11"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9" s="11" t="inlineStr">
        <is>
          <t>4{B}</t>
        </is>
      </c>
      <c r="F429" s="11" t="inlineStr">
        <is>
          <t>Preto</t>
        </is>
      </c>
      <c r="G429" s="8" t="n">
        <v>0.13</v>
      </c>
      <c r="H429" s="11" t="inlineStr">
        <is>
          <t>Marvel</t>
        </is>
      </c>
      <c r="I429" s="11" t="inlineStr">
        <is>
          <t>Não</t>
        </is>
      </c>
      <c r="J429" s="11" t="n">
        <v>2026</v>
      </c>
      <c r="K429" s="10" t="n">
        <v>46116</v>
      </c>
      <c r="L429" s="11" t="n">
        <v>1</v>
      </c>
      <c r="M429" s="8">
        <f>L429*G429</f>
        <v/>
      </c>
      <c r="P429" s="9" t="n"/>
    </row>
    <row r="430">
      <c r="A430" s="11" t="inlineStr">
        <is>
          <t>Visions of Villainy / Visões de Vilania</t>
        </is>
      </c>
      <c r="B430" s="11" t="inlineStr">
        <is>
          <t>Mágica Instantânea</t>
        </is>
      </c>
      <c r="C430" s="11" t="inlineStr">
        <is>
          <t>Comum</t>
        </is>
      </c>
      <c r="D430" s="11" t="inlineStr">
        <is>
          <t>Esta mágica custa {1} a menos para ser conjurada se você controlar um Vilão. Você compra dois cards e perde 2 de vida.</t>
        </is>
      </c>
      <c r="E430" s="11" t="inlineStr">
        <is>
          <t>2{B}</t>
        </is>
      </c>
      <c r="F430" s="11" t="inlineStr">
        <is>
          <t>Preto</t>
        </is>
      </c>
      <c r="G430" s="8" t="n">
        <v>0.24</v>
      </c>
      <c r="H430" s="11" t="inlineStr">
        <is>
          <t>Marvel</t>
        </is>
      </c>
      <c r="I430" s="11" t="inlineStr">
        <is>
          <t>Não</t>
        </is>
      </c>
      <c r="J430" s="11" t="n">
        <v>2026</v>
      </c>
      <c r="L430" s="11" t="n">
        <v>2</v>
      </c>
      <c r="M430" s="8">
        <f>L430*G430</f>
        <v/>
      </c>
      <c r="P430" s="9" t="n"/>
    </row>
    <row r="431">
      <c r="A431" s="11" t="inlineStr">
        <is>
          <t>Red Room Recruit / Recruta da Sala Vermelha</t>
        </is>
      </c>
      <c r="B431" s="11" t="inlineStr">
        <is>
          <t>Criatura — Humano Espião Vilão</t>
        </is>
      </c>
      <c r="C431" s="11" t="inlineStr">
        <is>
          <t>Comum</t>
        </is>
      </c>
      <c r="D431" s="11" t="inlineStr">
        <is>
          <t>Quando esta criatura entrar, ela conspira. (Compre um card, depois descarte um card. Se você descartou um card não de terreno, coloque um marcador +1/+1 nesta criatura.)</t>
        </is>
      </c>
      <c r="E431" s="11" t="inlineStr">
        <is>
          <t>1{B}</t>
        </is>
      </c>
      <c r="F431" s="11" t="inlineStr">
        <is>
          <t>Preto</t>
        </is>
      </c>
      <c r="G431" s="8" t="n">
        <v>0.35</v>
      </c>
      <c r="H431" s="11" t="inlineStr">
        <is>
          <t>Marvel</t>
        </is>
      </c>
      <c r="I431" s="11" t="inlineStr">
        <is>
          <t>Sim</t>
        </is>
      </c>
      <c r="J431" s="11" t="n">
        <v>2026</v>
      </c>
      <c r="K431" s="10" t="n">
        <v>46054</v>
      </c>
      <c r="L431" s="11" t="n">
        <v>1</v>
      </c>
      <c r="M431" s="8">
        <f>L431*G431</f>
        <v/>
      </c>
      <c r="P431" s="9" t="n"/>
    </row>
    <row r="432">
      <c r="A432" s="11" t="inlineStr">
        <is>
          <t>Red Room Recruit / Recruta da Sala Vermelha</t>
        </is>
      </c>
      <c r="B432" s="11" t="inlineStr">
        <is>
          <t>Criatura — Humano Espião Vilão</t>
        </is>
      </c>
      <c r="C432" s="11" t="inlineStr">
        <is>
          <t>Comum</t>
        </is>
      </c>
      <c r="D432" s="11" t="inlineStr">
        <is>
          <t>Quando esta criatura entrar, ela conspira. (Compre um card, depois descarte um card. Se você descartou um card não de terreno, coloque um marcador +1/+1 nesta criatura.)</t>
        </is>
      </c>
      <c r="E432" s="11" t="inlineStr">
        <is>
          <t>1{B}</t>
        </is>
      </c>
      <c r="F432" s="11" t="inlineStr">
        <is>
          <t>Preto</t>
        </is>
      </c>
      <c r="G432" s="8" t="n">
        <v>0.13</v>
      </c>
      <c r="H432" s="11" t="inlineStr">
        <is>
          <t>Marvel</t>
        </is>
      </c>
      <c r="I432" s="11" t="inlineStr">
        <is>
          <t>Não</t>
        </is>
      </c>
      <c r="J432" s="11" t="n">
        <v>2026</v>
      </c>
      <c r="K432" s="10" t="n">
        <v>46054</v>
      </c>
      <c r="L432" s="11" t="n">
        <v>1</v>
      </c>
      <c r="M432" s="8">
        <f>L432*G432</f>
        <v/>
      </c>
      <c r="P432" s="9" t="n"/>
    </row>
    <row r="433">
      <c r="A433" s="11" t="inlineStr">
        <is>
          <t>Cruel Alliance / Aliança Cruel</t>
        </is>
      </c>
      <c r="B433" s="11" t="inlineStr">
        <is>
          <t>Feitiço</t>
        </is>
      </c>
      <c r="C433" s="11" t="inlineStr">
        <is>
          <t>Comum</t>
        </is>
      </c>
      <c r="D433" s="11"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3" s="11" t="inlineStr">
        <is>
          <t>2{B}</t>
        </is>
      </c>
      <c r="F433" s="11" t="inlineStr">
        <is>
          <t>Preto</t>
        </is>
      </c>
      <c r="G433" s="8" t="n">
        <v>0.13</v>
      </c>
      <c r="H433" s="11" t="inlineStr">
        <is>
          <t>Marvel</t>
        </is>
      </c>
      <c r="I433" s="11" t="inlineStr">
        <is>
          <t>Não</t>
        </is>
      </c>
      <c r="J433" s="11" t="n">
        <v>2026</v>
      </c>
      <c r="L433" s="11" t="n">
        <v>1</v>
      </c>
      <c r="M433" s="8">
        <f>L433*G433</f>
        <v/>
      </c>
      <c r="P433" s="9" t="n"/>
    </row>
    <row r="434">
      <c r="A434" s="11" t="inlineStr">
        <is>
          <t>Hour of Defeat / Hora da Derrota</t>
        </is>
      </c>
      <c r="B434" s="11" t="inlineStr">
        <is>
          <t>Mágica Instantânea</t>
        </is>
      </c>
      <c r="C434" s="11" t="inlineStr">
        <is>
          <t>Comum</t>
        </is>
      </c>
      <c r="D434" s="11" t="inlineStr">
        <is>
          <t>Destrua a criatura alvo. Vigie 1. (Olhe o card do topo de seu grimório. Você pode colocá-lo em seu cemitério.)</t>
        </is>
      </c>
      <c r="E434" s="11" t="inlineStr">
        <is>
          <t>3{B}</t>
        </is>
      </c>
      <c r="F434" s="11" t="inlineStr">
        <is>
          <t>Preto</t>
        </is>
      </c>
      <c r="G434" s="8" t="n">
        <v>0.03</v>
      </c>
      <c r="H434" s="11" t="inlineStr">
        <is>
          <t>Marvel</t>
        </is>
      </c>
      <c r="I434" s="11" t="inlineStr">
        <is>
          <t>Não</t>
        </is>
      </c>
      <c r="J434" s="11" t="n">
        <v>2026</v>
      </c>
      <c r="L434" s="11" t="n">
        <v>1</v>
      </c>
      <c r="M434" s="8">
        <f>L434*G434</f>
        <v/>
      </c>
      <c r="P434" s="9" t="n"/>
    </row>
    <row r="435">
      <c r="A435" s="11" t="inlineStr">
        <is>
          <t>Raft Security Officer / Oficial de Segurança da Balsa</t>
        </is>
      </c>
      <c r="B435" s="11" t="inlineStr">
        <is>
          <t>Criatura — Humano Soldado</t>
        </is>
      </c>
      <c r="C435" s="11" t="inlineStr">
        <is>
          <t>Comum</t>
        </is>
      </c>
      <c r="D435" s="11" t="inlineStr">
        <is>
          <t>{2}, {T}: Vire a criatura alvo. Esta habilidade custa {1} a menos para ser ativada se tiver como alvo uma criatura com poder igual ou inferior a 3.</t>
        </is>
      </c>
      <c r="E435" s="11" t="inlineStr">
        <is>
          <t>1{W}</t>
        </is>
      </c>
      <c r="F435" s="11" t="inlineStr">
        <is>
          <t>Branco</t>
        </is>
      </c>
      <c r="G435" s="8" t="n">
        <v>0.13</v>
      </c>
      <c r="H435" s="11" t="inlineStr">
        <is>
          <t>Marvel</t>
        </is>
      </c>
      <c r="I435" s="11" t="inlineStr">
        <is>
          <t>Não</t>
        </is>
      </c>
      <c r="J435" s="11" t="n">
        <v>2026</v>
      </c>
      <c r="K435" s="10" t="n">
        <v>46082</v>
      </c>
      <c r="L435" s="11" t="n">
        <v>1</v>
      </c>
      <c r="M435" s="8">
        <f>L435*G435</f>
        <v/>
      </c>
      <c r="P435" s="9" t="n"/>
    </row>
    <row r="436">
      <c r="A436" s="11" t="inlineStr">
        <is>
          <t>Raft Security Officer / Oficial de Segurança da Balsa</t>
        </is>
      </c>
      <c r="B436" s="11" t="inlineStr">
        <is>
          <t>Criatura — Humano Soldado</t>
        </is>
      </c>
      <c r="C436" s="11" t="inlineStr">
        <is>
          <t>Comum</t>
        </is>
      </c>
      <c r="D436" s="11" t="inlineStr">
        <is>
          <t>{2}, {T}: Vire a criatura alvo. Esta habilidade custa {1} a menos para ser ativada se tiver como alvo uma criatura com poder igual ou inferior a 3.</t>
        </is>
      </c>
      <c r="E436" s="11" t="inlineStr">
        <is>
          <t>1{W}</t>
        </is>
      </c>
      <c r="F436" s="11" t="inlineStr">
        <is>
          <t>Branco</t>
        </is>
      </c>
      <c r="G436" s="8" t="n">
        <v>0.11</v>
      </c>
      <c r="H436" s="11" t="inlineStr">
        <is>
          <t>Marvel</t>
        </is>
      </c>
      <c r="I436" s="11" t="inlineStr">
        <is>
          <t>Não</t>
        </is>
      </c>
      <c r="J436" s="11" t="n">
        <v>2026</v>
      </c>
      <c r="K436" s="10" t="n">
        <v>46082</v>
      </c>
      <c r="L436" s="11" t="n">
        <v>2</v>
      </c>
      <c r="M436" s="8">
        <f>L436*G436</f>
        <v/>
      </c>
      <c r="P436" s="9" t="n"/>
    </row>
    <row r="437">
      <c r="A437" s="11" t="inlineStr">
        <is>
          <t>Kavaron Harrier / Predador de Kavaron</t>
        </is>
      </c>
      <c r="B437" s="11" t="inlineStr">
        <is>
          <t>Criatura Artefato — Robô Soldado</t>
        </is>
      </c>
      <c r="C437" s="11" t="inlineStr">
        <is>
          <t>Incomum</t>
        </is>
      </c>
      <c r="D437" s="11" t="inlineStr">
        <is>
          <t>Sempre que esta criatura atacar, você pode pagar {2}. Se fizer isso, crie uma ficha de criatura artefato Robô incolor 2/2 virada e atacando. Sacrifique aquela ficha no final do combate.</t>
        </is>
      </c>
      <c r="E437" s="11" t="inlineStr">
        <is>
          <t>{R}</t>
        </is>
      </c>
      <c r="F437" s="11" t="inlineStr">
        <is>
          <t>Vermelho</t>
        </is>
      </c>
      <c r="G437" s="8" t="n">
        <v>0.2</v>
      </c>
      <c r="H437" s="11" t="inlineStr">
        <is>
          <t>Edge of Eternity</t>
        </is>
      </c>
      <c r="I437" s="11" t="inlineStr">
        <is>
          <t>Não</t>
        </is>
      </c>
      <c r="J437" s="11" t="n">
        <v>2025</v>
      </c>
      <c r="K437" s="10" t="n">
        <v>46024</v>
      </c>
      <c r="L437" s="11" t="n">
        <v>1</v>
      </c>
      <c r="M437" s="8">
        <f>L437*G437</f>
        <v/>
      </c>
      <c r="P437" s="9" t="n"/>
    </row>
    <row r="438">
      <c r="A438" s="11" t="inlineStr">
        <is>
          <t>Pull Through the Weft / Atravessar a Trama</t>
        </is>
      </c>
      <c r="B438" s="11" t="inlineStr">
        <is>
          <t>Feitiço</t>
        </is>
      </c>
      <c r="C438" s="11" t="inlineStr">
        <is>
          <t>Raro</t>
        </is>
      </c>
      <c r="D438" s="11" t="inlineStr">
        <is>
          <t>Devolva até dois cards de permanente não de terreno alvos de seu cemitério para sua mão, depois devolva até dois cards de terreno alvos de seu cemitério para o campo de batalha virados.</t>
        </is>
      </c>
      <c r="E438" s="11" t="inlineStr">
        <is>
          <t>3{G}{G}</t>
        </is>
      </c>
      <c r="F438" s="11" t="inlineStr">
        <is>
          <t>Verde</t>
        </is>
      </c>
      <c r="G438" s="8" t="n">
        <v>0.41</v>
      </c>
      <c r="H438" s="11" t="inlineStr">
        <is>
          <t>Edge of Eternity</t>
        </is>
      </c>
      <c r="I438" s="11" t="inlineStr">
        <is>
          <t>Não</t>
        </is>
      </c>
      <c r="J438" s="11" t="n">
        <v>2025</v>
      </c>
      <c r="L438" s="11" t="n">
        <v>1</v>
      </c>
      <c r="M438" s="8">
        <f>L438*G438</f>
        <v/>
      </c>
      <c r="P438" s="9" t="n"/>
    </row>
    <row r="439">
      <c r="A439" s="11" t="inlineStr">
        <is>
          <t>Pillar of Flame / Pilar de Chamas</t>
        </is>
      </c>
      <c r="B439" s="11" t="inlineStr">
        <is>
          <t>Feitiço</t>
        </is>
      </c>
      <c r="C439" s="11" t="inlineStr">
        <is>
          <t>Comum</t>
        </is>
      </c>
      <c r="D439" s="11" t="inlineStr">
        <is>
          <t>Pilar de Chamas causa 2 de dano à criatura ou ao jogador alvo. Se uma criatura que sofreu dano desta forma fosse morrer neste turno, em vez disso, exile-a.</t>
        </is>
      </c>
      <c r="E439" s="11" t="inlineStr">
        <is>
          <t>{R}</t>
        </is>
      </c>
      <c r="F439" s="11" t="inlineStr">
        <is>
          <t>Vermelho</t>
        </is>
      </c>
      <c r="G439" s="8" t="n">
        <v>0.33</v>
      </c>
      <c r="H439" s="11" t="inlineStr">
        <is>
          <t>Avacyn Restored</t>
        </is>
      </c>
      <c r="I439" s="11" t="inlineStr">
        <is>
          <t>Não</t>
        </is>
      </c>
      <c r="J439" s="11" t="n">
        <v>2012</v>
      </c>
      <c r="L439" s="11" t="n">
        <v>1</v>
      </c>
      <c r="M439" s="8">
        <f>L439*G439</f>
        <v/>
      </c>
      <c r="P439" s="9" t="n"/>
    </row>
    <row r="440">
      <c r="A440" s="11" t="inlineStr">
        <is>
          <t>Experimental Frenzy / Frenesi Experimental</t>
        </is>
      </c>
      <c r="B440" s="11" t="inlineStr">
        <is>
          <t>Encantamento</t>
        </is>
      </c>
      <c r="C440" s="11" t="inlineStr">
        <is>
          <t>Raro</t>
        </is>
      </c>
      <c r="D440" s="11" t="inlineStr">
        <is>
          <t>Você pode olhar o card do topo de seu grimório a qualquer momento. Você pode jogar o card do topo de seu grimório. Você não pode jogar cards da sua mão. {3}{R}: Destrua Frenesi Experimental.</t>
        </is>
      </c>
      <c r="E440" s="11" t="inlineStr">
        <is>
          <t>3{R}</t>
        </is>
      </c>
      <c r="F440" s="11" t="inlineStr">
        <is>
          <t>Vermelho</t>
        </is>
      </c>
      <c r="G440" s="8" t="n">
        <v>0.2</v>
      </c>
      <c r="H440" s="11" t="inlineStr">
        <is>
          <t>Guilds of Ravnica</t>
        </is>
      </c>
      <c r="I440" s="11" t="inlineStr">
        <is>
          <t>Não</t>
        </is>
      </c>
      <c r="J440" s="11" t="n">
        <v>2018</v>
      </c>
      <c r="L440" s="11" t="n">
        <v>1</v>
      </c>
      <c r="M440" s="8">
        <f>L440*G440</f>
        <v/>
      </c>
      <c r="P440" s="9" t="n"/>
    </row>
    <row r="441">
      <c r="A441" s="11" t="inlineStr">
        <is>
          <t>Amplifire / Amplifogo</t>
        </is>
      </c>
      <c r="B441" s="11" t="inlineStr">
        <is>
          <t>Criatura — Elemental</t>
        </is>
      </c>
      <c r="C441" s="11" t="inlineStr">
        <is>
          <t>Raro</t>
        </is>
      </c>
      <c r="D441" s="11"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41" s="11" t="inlineStr">
        <is>
          <t>2{R}{R}</t>
        </is>
      </c>
      <c r="F441" s="11" t="inlineStr">
        <is>
          <t>Vermelho</t>
        </is>
      </c>
      <c r="G441" s="8" t="n">
        <v>0.05</v>
      </c>
      <c r="H441" s="11" t="inlineStr">
        <is>
          <t>Ravnica Allegiance</t>
        </is>
      </c>
      <c r="I441" s="11" t="inlineStr">
        <is>
          <t>Não</t>
        </is>
      </c>
      <c r="J441" s="11" t="n">
        <v>2019</v>
      </c>
      <c r="K441" s="10" t="n">
        <v>46023</v>
      </c>
      <c r="L441" s="11" t="n">
        <v>1</v>
      </c>
      <c r="M441" s="8">
        <f>L441*G441</f>
        <v/>
      </c>
      <c r="P441" s="9" t="n"/>
    </row>
    <row r="442">
      <c r="A442" s="11" t="inlineStr">
        <is>
          <t>Skarrgan Hellkite / Dragão Avérneo de Skarrgan</t>
        </is>
      </c>
      <c r="B442" s="11" t="inlineStr">
        <is>
          <t>Criatura — Dragão</t>
        </is>
      </c>
      <c r="C442" s="11" t="inlineStr">
        <is>
          <t>Mítica Rara</t>
        </is>
      </c>
      <c r="D442" s="11"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2" s="11" t="inlineStr">
        <is>
          <t>3{R}{R}</t>
        </is>
      </c>
      <c r="F442" s="11" t="inlineStr">
        <is>
          <t>Vermelho</t>
        </is>
      </c>
      <c r="G442" s="8" t="n">
        <v>0.43</v>
      </c>
      <c r="H442" s="11" t="inlineStr">
        <is>
          <t>Ravnica Allegiance</t>
        </is>
      </c>
      <c r="I442" s="11" t="inlineStr">
        <is>
          <t>Não</t>
        </is>
      </c>
      <c r="J442" s="11" t="n">
        <v>2019</v>
      </c>
      <c r="K442" s="10" t="n">
        <v>46116</v>
      </c>
      <c r="L442" s="11" t="n">
        <v>2</v>
      </c>
      <c r="M442" s="8">
        <f>L442*G442</f>
        <v/>
      </c>
      <c r="P442" s="9" t="n"/>
    </row>
    <row r="443">
      <c r="A443" s="11" t="inlineStr">
        <is>
          <t>Goblin Cratermaker / Cratereiro Goblin</t>
        </is>
      </c>
      <c r="B443" s="11" t="inlineStr">
        <is>
          <t>Criatura — Goblin Guerreiro</t>
        </is>
      </c>
      <c r="C443" s="11" t="inlineStr">
        <is>
          <t>Incomum</t>
        </is>
      </c>
      <c r="D443" s="11" t="inlineStr">
        <is>
          <t>{1}, sacrifique Cratereiro Goblin: Escolha um — • Cratereiro Goblin causa 2 pontos de dano à criatura alvo. • Destrua a permanente incolor alvo que não seja um terreno.</t>
        </is>
      </c>
      <c r="E443" s="11" t="inlineStr">
        <is>
          <t>1{R}</t>
        </is>
      </c>
      <c r="F443" s="11" t="inlineStr">
        <is>
          <t>Vermelho</t>
        </is>
      </c>
      <c r="G443" s="8" t="n">
        <v>0.19</v>
      </c>
      <c r="H443" s="11" t="inlineStr">
        <is>
          <t>Guilds of Ravnica</t>
        </is>
      </c>
      <c r="I443" s="11" t="inlineStr">
        <is>
          <t>Não</t>
        </is>
      </c>
      <c r="J443" s="11" t="n">
        <v>2018</v>
      </c>
      <c r="K443" s="10" t="n">
        <v>46055</v>
      </c>
      <c r="L443" s="11" t="n">
        <v>1</v>
      </c>
      <c r="M443" s="8">
        <f>L443*G443</f>
        <v/>
      </c>
      <c r="P443" s="9" t="n"/>
    </row>
    <row r="444">
      <c r="A444" s="11" t="inlineStr">
        <is>
          <t>Gravel-Hide Goblin / Goblin Pele-de-cascalho</t>
        </is>
      </c>
      <c r="B444" s="11" t="inlineStr">
        <is>
          <t>Criatura — Goblin Xamã</t>
        </is>
      </c>
      <c r="C444" s="11" t="inlineStr">
        <is>
          <t>Comum</t>
        </is>
      </c>
      <c r="D444" s="11" t="inlineStr">
        <is>
          <t>{3}{G}: Goblin Pele-de-cascalho recebe +2/+2 até o final do turno.</t>
        </is>
      </c>
      <c r="E444" s="11" t="inlineStr">
        <is>
          <t>1{R}</t>
        </is>
      </c>
      <c r="F444" s="11" t="inlineStr">
        <is>
          <t>Vermelho</t>
        </is>
      </c>
      <c r="G444" s="8" t="n">
        <v>0.03</v>
      </c>
      <c r="H444" s="11" t="inlineStr">
        <is>
          <t>Ravnica Allegiance</t>
        </is>
      </c>
      <c r="I444" s="11" t="inlineStr">
        <is>
          <t>Não</t>
        </is>
      </c>
      <c r="J444" s="11" t="n">
        <v>2019</v>
      </c>
      <c r="K444" s="10" t="n">
        <v>46024</v>
      </c>
      <c r="L444" s="11" t="n">
        <v>1</v>
      </c>
      <c r="M444" s="8">
        <f>L444*G444</f>
        <v/>
      </c>
      <c r="P444" s="9" t="n"/>
    </row>
    <row r="445">
      <c r="A445" s="11" t="inlineStr">
        <is>
          <t>Rix Maadi Reveler / Farrista de Rix Maadi</t>
        </is>
      </c>
      <c r="B445" s="11" t="inlineStr">
        <is>
          <t>Criatura — Humano Xamã</t>
        </is>
      </c>
      <c r="C445" s="11" t="inlineStr">
        <is>
          <t>Raro</t>
        </is>
      </c>
      <c r="D445" s="11"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5" s="11" t="inlineStr">
        <is>
          <t>1{R}</t>
        </is>
      </c>
      <c r="F445" s="11" t="inlineStr">
        <is>
          <t>Vermelho</t>
        </is>
      </c>
      <c r="G445" s="8" t="n">
        <v>0.18</v>
      </c>
      <c r="H445" s="11" t="inlineStr">
        <is>
          <t>Ravnica Allegiance</t>
        </is>
      </c>
      <c r="I445" s="11" t="inlineStr">
        <is>
          <t>Não</t>
        </is>
      </c>
      <c r="J445" s="11" t="n">
        <v>2019</v>
      </c>
      <c r="K445" s="10" t="n">
        <v>46055</v>
      </c>
      <c r="L445" s="11" t="n">
        <v>4</v>
      </c>
      <c r="M445" s="8">
        <f>L445*G445</f>
        <v/>
      </c>
      <c r="P445" s="9" t="n"/>
    </row>
    <row r="446">
      <c r="A446" s="11" t="inlineStr">
        <is>
          <t>Lava Coil / Hélice de Lava</t>
        </is>
      </c>
      <c r="B446" s="11" t="inlineStr">
        <is>
          <t>Feitiço</t>
        </is>
      </c>
      <c r="C446" s="11" t="inlineStr">
        <is>
          <t>Incomum</t>
        </is>
      </c>
      <c r="D446" s="11" t="inlineStr">
        <is>
          <t>Hélice de Lava causa 4 pontos de dano à criatura alvo. Se aquela criatura for morrer neste turno, em vez disso, exile-a.</t>
        </is>
      </c>
      <c r="E446" s="11" t="inlineStr">
        <is>
          <t>1{R}</t>
        </is>
      </c>
      <c r="F446" s="11" t="inlineStr">
        <is>
          <t>Vermelho</t>
        </is>
      </c>
      <c r="G446" s="8" t="n">
        <v>0.08</v>
      </c>
      <c r="H446" s="11" t="inlineStr">
        <is>
          <t>Guilds of Ravnica</t>
        </is>
      </c>
      <c r="I446" s="11" t="inlineStr">
        <is>
          <t>Não</t>
        </is>
      </c>
      <c r="J446" s="11" t="n">
        <v>2018</v>
      </c>
      <c r="L446" s="11" t="n">
        <v>2</v>
      </c>
      <c r="M446" s="8">
        <f>L446*G446</f>
        <v/>
      </c>
      <c r="P446" s="9" t="n"/>
    </row>
    <row r="447">
      <c r="A447" s="11" t="inlineStr">
        <is>
          <t>Spawn of Mayhem / Prole do Pandemônio</t>
        </is>
      </c>
      <c r="B447" s="11" t="inlineStr">
        <is>
          <t>Criatura — Demônio</t>
        </is>
      </c>
      <c r="C447" s="11" t="inlineStr">
        <is>
          <t>Mítica Rara</t>
        </is>
      </c>
      <c r="D447" s="11"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7" s="11" t="inlineStr">
        <is>
          <t>2{B}{B}</t>
        </is>
      </c>
      <c r="F447" s="11" t="inlineStr">
        <is>
          <t>Preto</t>
        </is>
      </c>
      <c r="G447" s="8" t="n">
        <v>2.17</v>
      </c>
      <c r="H447" s="11" t="inlineStr">
        <is>
          <t>Ravnica Allegiance</t>
        </is>
      </c>
      <c r="I447" s="11" t="inlineStr">
        <is>
          <t>Não</t>
        </is>
      </c>
      <c r="J447" s="11" t="n">
        <v>2019</v>
      </c>
      <c r="K447" s="10" t="n">
        <v>46116</v>
      </c>
      <c r="L447" s="11" t="n">
        <v>1</v>
      </c>
      <c r="M447" s="8">
        <f>L447*G447</f>
        <v/>
      </c>
      <c r="P447" s="9" t="n"/>
    </row>
    <row r="448">
      <c r="A448" s="11" t="inlineStr">
        <is>
          <t>Vindictive Vampire / Vampira Vingativa</t>
        </is>
      </c>
      <c r="B448" s="11" t="inlineStr">
        <is>
          <t>Criatura — Vampiro</t>
        </is>
      </c>
      <c r="C448" s="11" t="inlineStr">
        <is>
          <t>Incomum</t>
        </is>
      </c>
      <c r="D448" s="11" t="inlineStr">
        <is>
          <t>Toda vez que outra criatura que você controla morre, Vampira Vingativa causa 1 ponto de dano a cada oponente e você ganha 1 ponto de vida.</t>
        </is>
      </c>
      <c r="E448" s="11" t="inlineStr">
        <is>
          <t>3{B}</t>
        </is>
      </c>
      <c r="F448" s="11" t="inlineStr">
        <is>
          <t>Preto</t>
        </is>
      </c>
      <c r="G448" s="8" t="n">
        <v>0.25</v>
      </c>
      <c r="H448" s="11" t="inlineStr">
        <is>
          <t>Ravnica Allegiance</t>
        </is>
      </c>
      <c r="I448" s="11" t="inlineStr">
        <is>
          <t>Não</t>
        </is>
      </c>
      <c r="J448" s="11" t="n">
        <v>2019</v>
      </c>
      <c r="K448" s="10" t="n">
        <v>46083</v>
      </c>
      <c r="L448" s="11" t="n">
        <v>1</v>
      </c>
      <c r="M448" s="8">
        <f>L448*G448</f>
        <v/>
      </c>
      <c r="P448" s="9" t="n"/>
    </row>
    <row r="449">
      <c r="A449" s="11" t="inlineStr">
        <is>
          <t>Whispering Madness / Loucura Sussurrante</t>
        </is>
      </c>
      <c r="B449" s="11" t="inlineStr">
        <is>
          <t>Feitiço</t>
        </is>
      </c>
      <c r="C449" s="11" t="inlineStr">
        <is>
          <t>Raro</t>
        </is>
      </c>
      <c r="D449" s="11"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9" s="11" t="inlineStr">
        <is>
          <t>2{U}{B}</t>
        </is>
      </c>
      <c r="F449" s="11" t="inlineStr">
        <is>
          <t>Multicolorido</t>
        </is>
      </c>
      <c r="G449" s="8" t="n">
        <v>1.99</v>
      </c>
      <c r="H449" s="11" t="inlineStr">
        <is>
          <t>Gatecrash</t>
        </is>
      </c>
      <c r="I449" s="11" t="inlineStr">
        <is>
          <t>Não</t>
        </is>
      </c>
      <c r="J449" s="11" t="n">
        <v>2013</v>
      </c>
      <c r="L449" s="11" t="n">
        <v>1</v>
      </c>
      <c r="M449" s="8">
        <f>L449*G449</f>
        <v/>
      </c>
      <c r="P449" s="9" t="n"/>
    </row>
    <row r="450">
      <c r="A450" s="11" t="inlineStr">
        <is>
          <t>Bedevil / Atormentar</t>
        </is>
      </c>
      <c r="B450" s="11" t="inlineStr">
        <is>
          <t>Mágica Instantânea</t>
        </is>
      </c>
      <c r="C450" s="11" t="inlineStr">
        <is>
          <t>Raro</t>
        </is>
      </c>
      <c r="D450" s="11" t="inlineStr">
        <is>
          <t>Destrua o artefato, a criatura ou o planeswalker alvo.</t>
        </is>
      </c>
      <c r="E450" s="11" t="inlineStr">
        <is>
          <t>{B}{B}{R}</t>
        </is>
      </c>
      <c r="F450" s="11" t="inlineStr">
        <is>
          <t>Multicolorido</t>
        </is>
      </c>
      <c r="G450" s="8" t="n">
        <v>1.5</v>
      </c>
      <c r="H450" s="11" t="inlineStr">
        <is>
          <t>Ravnica Allegiance</t>
        </is>
      </c>
      <c r="I450" s="11" t="inlineStr">
        <is>
          <t>Não</t>
        </is>
      </c>
      <c r="J450" s="11" t="n">
        <v>2019</v>
      </c>
      <c r="L450" s="11" t="n">
        <v>1</v>
      </c>
      <c r="M450" s="8">
        <f>L450*G450</f>
        <v/>
      </c>
      <c r="P450" s="9" t="n"/>
    </row>
    <row r="451">
      <c r="A451" s="11" t="inlineStr">
        <is>
          <t>Breaking // Entering // Quebrar // Entrar</t>
        </is>
      </c>
      <c r="B451" s="11" t="inlineStr">
        <is>
          <t>Feitiço // Feitiço</t>
        </is>
      </c>
      <c r="C451" s="11" t="inlineStr">
        <is>
          <t>Raro</t>
        </is>
      </c>
      <c r="D451" s="11"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51" s="11" t="inlineStr">
        <is>
          <t>{U}{B} // 4{B}{R}</t>
        </is>
      </c>
      <c r="F451" s="11" t="inlineStr">
        <is>
          <t>Multicolorido</t>
        </is>
      </c>
      <c r="G451" s="8" t="n">
        <v>0.92</v>
      </c>
      <c r="H451" s="11" t="inlineStr">
        <is>
          <t>Dragon's Maze</t>
        </is>
      </c>
      <c r="I451" s="11" t="inlineStr">
        <is>
          <t>Sim</t>
        </is>
      </c>
      <c r="J451" s="11" t="n">
        <v>2013</v>
      </c>
      <c r="L451" s="11" t="n">
        <v>1</v>
      </c>
      <c r="M451" s="8">
        <f>L451*G451</f>
        <v/>
      </c>
      <c r="P451" s="9" t="n"/>
    </row>
    <row r="452">
      <c r="A452" s="11" t="inlineStr">
        <is>
          <t>Mechanical Mobster / Mafioso Mecânico</t>
        </is>
      </c>
      <c r="B452" s="11" t="inlineStr">
        <is>
          <t>Criatura Artefato — Humano Robô Vilão</t>
        </is>
      </c>
      <c r="C452" s="11" t="inlineStr">
        <is>
          <t>Comum</t>
        </is>
      </c>
      <c r="D452" s="11" t="inlineStr">
        <is>
          <t>Quando esta criatura entrar, exile até um card alvo de um cemitério. A criatura alvo que você controla conspira. (Compre um card, depois descarte um card. Se você descartou um card não de terreno, coloque um marcador +1/+1 naquela criatura.)</t>
        </is>
      </c>
      <c r="E452" s="11" t="inlineStr">
        <is>
          <t>{3}</t>
        </is>
      </c>
      <c r="F452" s="11" t="inlineStr">
        <is>
          <t>Incolor</t>
        </is>
      </c>
      <c r="G452" s="8" t="n">
        <v>0.05</v>
      </c>
      <c r="H452" s="11" t="inlineStr">
        <is>
          <t>Marvel</t>
        </is>
      </c>
      <c r="I452" s="11" t="inlineStr">
        <is>
          <t>Não</t>
        </is>
      </c>
      <c r="J452" s="11" t="n">
        <v>2025</v>
      </c>
      <c r="K452" s="10" t="n">
        <v>46024</v>
      </c>
      <c r="L452" s="11" t="n">
        <v>1</v>
      </c>
      <c r="M452" s="8">
        <f>L452*G452</f>
        <v/>
      </c>
      <c r="P452" s="9" t="n"/>
    </row>
    <row r="453">
      <c r="A453" s="11" t="inlineStr">
        <is>
          <t>Spider-Man, Web-Slinger / Homem-Aranha, Lançador de Teias</t>
        </is>
      </c>
      <c r="B453" s="11" t="inlineStr">
        <is>
          <t>Criatura Lendária — Aranha Humano Herói</t>
        </is>
      </c>
      <c r="C453" s="11" t="inlineStr">
        <is>
          <t>Comum</t>
        </is>
      </c>
      <c r="D453" s="11" t="inlineStr">
        <is>
          <t>Lançamento de Teia {W} (Você pode conjurar esta mágica por {W} se você também devolver uma criatura virada que você controla para a mão de seu dono.)</t>
        </is>
      </c>
      <c r="E453" s="11" t="inlineStr">
        <is>
          <t>2{W}</t>
        </is>
      </c>
      <c r="F453" s="11" t="inlineStr">
        <is>
          <t>Branco</t>
        </is>
      </c>
      <c r="G453" s="8" t="n">
        <v>0.25</v>
      </c>
      <c r="H453" s="11" t="inlineStr">
        <is>
          <t>Marvel</t>
        </is>
      </c>
      <c r="I453" s="11" t="inlineStr">
        <is>
          <t>Não</t>
        </is>
      </c>
      <c r="J453" s="11" t="n">
        <v>2025</v>
      </c>
      <c r="K453" s="10" t="n">
        <v>46084</v>
      </c>
      <c r="L453" s="11" t="n">
        <v>3</v>
      </c>
      <c r="M453" s="8">
        <f>L453*G453</f>
        <v/>
      </c>
      <c r="P453" s="9" t="n"/>
    </row>
    <row r="454">
      <c r="A454" s="11" t="inlineStr">
        <is>
          <t>Invisible Woman, Sue Storm / Mulher Invisível, Sue Storm</t>
        </is>
      </c>
      <c r="B454" s="11" t="inlineStr">
        <is>
          <t>Criatura Lendária — Humano Herói</t>
        </is>
      </c>
      <c r="C454" s="11" t="inlineStr">
        <is>
          <t>Incomum</t>
        </is>
      </c>
      <c r="D454" s="11" t="inlineStr">
        <is>
          <t>Vínculo com a vida. Sempre que você colocar um ou mais marcadores +1/+1 em um ou mais outros Heróis que você controla, você pode criar uma ficha de criatura Barreira incolor 0/4 com defensor.</t>
        </is>
      </c>
      <c r="E454" s="11" t="inlineStr">
        <is>
          <t>4{W}</t>
        </is>
      </c>
      <c r="F454" s="11" t="inlineStr">
        <is>
          <t>Branco</t>
        </is>
      </c>
      <c r="G454" s="8" t="n">
        <v>0.99</v>
      </c>
      <c r="H454" s="11" t="inlineStr">
        <is>
          <t>Marvel</t>
        </is>
      </c>
      <c r="I454" s="11" t="inlineStr">
        <is>
          <t>Não</t>
        </is>
      </c>
      <c r="J454" s="11" t="n">
        <v>2026</v>
      </c>
      <c r="K454" s="10" t="n">
        <v>46144</v>
      </c>
      <c r="L454" s="11" t="n">
        <v>1</v>
      </c>
      <c r="M454" s="8">
        <f>L454*G454</f>
        <v/>
      </c>
      <c r="P454" s="9" t="n"/>
    </row>
    <row r="455">
      <c r="A455" s="11" t="inlineStr">
        <is>
          <t>U.S. Agent, John Walker / Agente Americano, John Walker</t>
        </is>
      </c>
      <c r="B455" s="11" t="inlineStr">
        <is>
          <t>Criatura Lendária — Humano Soldado Herói</t>
        </is>
      </c>
      <c r="C455" s="11" t="inlineStr">
        <is>
          <t>Incomum</t>
        </is>
      </c>
      <c r="D455" s="11" t="inlineStr">
        <is>
          <t>Quando Agente Americano entrar, crie uma ficha de artefato do tipo Equipamento incolor chamada Escudo Resistente com "A criatura equipada recebe +1/+2" e equipar {2}. Anexe-a a Agente Americano.</t>
        </is>
      </c>
      <c r="E455" s="11" t="inlineStr">
        <is>
          <t>3{W/B}</t>
        </is>
      </c>
      <c r="F455" s="11" t="inlineStr">
        <is>
          <t>Multicolorido</t>
        </is>
      </c>
      <c r="G455" s="8" t="n">
        <v>0.89</v>
      </c>
      <c r="H455" s="11" t="inlineStr">
        <is>
          <t>Marvel</t>
        </is>
      </c>
      <c r="I455" s="11" t="inlineStr">
        <is>
          <t>Sim</t>
        </is>
      </c>
      <c r="J455" s="11" t="n">
        <v>2026</v>
      </c>
      <c r="K455" s="10" t="n">
        <v>46056</v>
      </c>
      <c r="L455" s="11" t="n">
        <v>1</v>
      </c>
      <c r="M455" s="8">
        <f>L455*G455</f>
        <v/>
      </c>
      <c r="P455" s="9" t="n"/>
    </row>
    <row r="456">
      <c r="A456" s="11" t="inlineStr">
        <is>
          <t>War Machine, Legacy of Iron / Máquina de Combate, Legado de Ferro</t>
        </is>
      </c>
      <c r="B456" s="11" t="inlineStr">
        <is>
          <t>Criatura Artefato Lendária — Humano Herói</t>
        </is>
      </c>
      <c r="C456" s="11" t="inlineStr">
        <is>
          <t>Incomum</t>
        </is>
      </c>
      <c r="D456" s="11" t="inlineStr">
        <is>
          <t>Voar. No início do combate no seu turno, outra criatura alvo que você controla recebe +X/+0 até o final do turno, onde X é o poder de Máquina de Combate.</t>
        </is>
      </c>
      <c r="E456" s="11" t="inlineStr">
        <is>
          <t>2{R/W}</t>
        </is>
      </c>
      <c r="F456" s="11" t="inlineStr">
        <is>
          <t>Multicolorido</t>
        </is>
      </c>
      <c r="G456" s="8" t="n">
        <v>0.44</v>
      </c>
      <c r="H456" s="11" t="inlineStr">
        <is>
          <t>Marvel</t>
        </is>
      </c>
      <c r="I456" s="11" t="inlineStr">
        <is>
          <t>Não</t>
        </is>
      </c>
      <c r="J456" s="11" t="n">
        <v>2026</v>
      </c>
      <c r="K456" s="10" t="n">
        <v>46082</v>
      </c>
      <c r="L456" s="11" t="n">
        <v>1</v>
      </c>
      <c r="M456" s="8">
        <f>L456*G456</f>
        <v/>
      </c>
      <c r="P456" s="9" t="n"/>
    </row>
    <row r="457">
      <c r="A457" s="11" t="inlineStr">
        <is>
          <t>Baron Strucker, HYDRA Overlord / Barão Strucker, Soberano da HIDRA</t>
        </is>
      </c>
      <c r="B457" s="11" t="inlineStr">
        <is>
          <t>Criatura Lendária — Humano Vilão</t>
        </is>
      </c>
      <c r="C457" s="11" t="inlineStr">
        <is>
          <t>Incomum</t>
        </is>
      </c>
      <c r="D457" s="11"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7" s="11" t="inlineStr">
        <is>
          <t>2{B}</t>
        </is>
      </c>
      <c r="F457" s="11" t="inlineStr">
        <is>
          <t>Preto</t>
        </is>
      </c>
      <c r="G457" s="8" t="n">
        <v>0.2</v>
      </c>
      <c r="H457" s="11" t="inlineStr">
        <is>
          <t>Marvel</t>
        </is>
      </c>
      <c r="I457" s="11" t="inlineStr">
        <is>
          <t>Não</t>
        </is>
      </c>
      <c r="J457" s="11" t="n">
        <v>2026</v>
      </c>
      <c r="K457" s="10" t="n">
        <v>46055</v>
      </c>
      <c r="L457" s="11" t="n">
        <v>1</v>
      </c>
      <c r="M457" s="8">
        <f>L457*G457</f>
        <v/>
      </c>
      <c r="P457" s="9" t="n"/>
    </row>
    <row r="458">
      <c r="A458" s="11" t="inlineStr">
        <is>
          <t>Klaw, Sonic Subjugator / Garra, Subjugador Sônico</t>
        </is>
      </c>
      <c r="B458" s="11" t="inlineStr">
        <is>
          <t>Criatura Lendária — Humano Ladino Vilão</t>
        </is>
      </c>
      <c r="C458" s="11" t="inlineStr">
        <is>
          <t>Incomum</t>
        </is>
      </c>
      <c r="D458" s="11" t="inlineStr">
        <is>
          <t>Ataque Sônico — Quando Garra entrar, o jogador alvo revela uma quantidade de cards de sua própria mão igual a um mais a quantidade de cards de criatura no seu cemitério. Você escolhe um deles. Aquele jogador descarta aquele card.</t>
        </is>
      </c>
      <c r="E458" s="11" t="inlineStr">
        <is>
          <t>2{B}</t>
        </is>
      </c>
      <c r="F458" s="11" t="inlineStr">
        <is>
          <t>Preto</t>
        </is>
      </c>
      <c r="G458" s="8" t="n">
        <v>0.7</v>
      </c>
      <c r="H458" s="11" t="inlineStr">
        <is>
          <t>Marvel</t>
        </is>
      </c>
      <c r="I458" s="11" t="inlineStr">
        <is>
          <t>Não</t>
        </is>
      </c>
      <c r="J458" s="11" t="n">
        <v>2026</v>
      </c>
      <c r="K458" s="10" t="n">
        <v>46055</v>
      </c>
      <c r="L458" s="11" t="n">
        <v>1</v>
      </c>
      <c r="M458" s="8">
        <f>L458*G458</f>
        <v/>
      </c>
      <c r="P458" s="9" t="n"/>
    </row>
    <row r="459">
      <c r="A459" s="11" t="inlineStr">
        <is>
          <t>The Masters of Evil / Os Mestres do Terror</t>
        </is>
      </c>
      <c r="B459" s="11" t="inlineStr">
        <is>
          <t>Criatura Lendária — Humano Vilão</t>
        </is>
      </c>
      <c r="C459" s="11" t="inlineStr">
        <is>
          <t>Incomum</t>
        </is>
      </c>
      <c r="D459" s="11" t="inlineStr">
        <is>
          <t>Outros Vilões que você controla recebem +2/+1. {1}{B}, Descarte este card: Procure em seu grimório por um card de Plano, revele-o, coloque-o em sua mão e depois embaralhe.</t>
        </is>
      </c>
      <c r="E459" s="11" t="inlineStr">
        <is>
          <t>5{B}</t>
        </is>
      </c>
      <c r="F459" s="11" t="inlineStr">
        <is>
          <t>Preto</t>
        </is>
      </c>
      <c r="G459" s="8" t="n">
        <v>0.44</v>
      </c>
      <c r="H459" s="11" t="inlineStr">
        <is>
          <t>Marvel</t>
        </is>
      </c>
      <c r="I459" s="11" t="inlineStr">
        <is>
          <t>Não</t>
        </is>
      </c>
      <c r="J459" s="11" t="n">
        <v>2026</v>
      </c>
      <c r="K459" s="10" t="n">
        <v>46178</v>
      </c>
      <c r="L459" s="11" t="n">
        <v>1</v>
      </c>
      <c r="M459" s="8">
        <f>L459*G459</f>
        <v/>
      </c>
      <c r="P459" s="9" t="n"/>
    </row>
    <row r="460">
      <c r="A460" s="11" t="inlineStr">
        <is>
          <t>Ronin, Shadow Stalker / Ronin, Perseguidor das Sombras</t>
        </is>
      </c>
      <c r="B460" s="11" t="inlineStr">
        <is>
          <t>Criatura Lendária — Humano Ladino Herói</t>
        </is>
      </c>
      <c r="C460" s="11" t="inlineStr">
        <is>
          <t>Incomum</t>
        </is>
      </c>
      <c r="D460" s="11"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60" s="11" t="inlineStr">
        <is>
          <t>2{B}</t>
        </is>
      </c>
      <c r="F460" s="11" t="inlineStr">
        <is>
          <t>Preto</t>
        </is>
      </c>
      <c r="G460" s="8" t="n">
        <v>0.79</v>
      </c>
      <c r="H460" s="11" t="inlineStr">
        <is>
          <t>Marvel</t>
        </is>
      </c>
      <c r="I460" s="11" t="inlineStr">
        <is>
          <t>Não</t>
        </is>
      </c>
      <c r="J460" s="11" t="n">
        <v>2026</v>
      </c>
      <c r="K460" s="10" t="n">
        <v>46084</v>
      </c>
      <c r="L460" s="11" t="n">
        <v>1</v>
      </c>
      <c r="M460" s="8">
        <f>L460*G460</f>
        <v/>
      </c>
      <c r="P460" s="9" t="n"/>
    </row>
    <row r="461">
      <c r="A461" s="11" t="inlineStr">
        <is>
          <t>Luke Cage, Power Man / Luke Cage, Poderoso</t>
        </is>
      </c>
      <c r="B461" s="11" t="inlineStr">
        <is>
          <t>Criatura Lendária — Humano Herói</t>
        </is>
      </c>
      <c r="C461" s="11" t="inlineStr">
        <is>
          <t>Incomum</t>
        </is>
      </c>
      <c r="D461" s="11" t="inlineStr">
        <is>
          <t>Pele Inquebrável — Sempre que Luke Cage atacar sozinho, ele recebe +2/+0 e ganha indestrutível até o final do turno. (Dano e efeitos que dizem "destrua" não o destroem.)</t>
        </is>
      </c>
      <c r="E461" s="11" t="inlineStr">
        <is>
          <t>3{W}</t>
        </is>
      </c>
      <c r="F461" s="11" t="inlineStr">
        <is>
          <t>Branco</t>
        </is>
      </c>
      <c r="G461" s="8" t="n">
        <v>0.44</v>
      </c>
      <c r="H461" s="11" t="inlineStr">
        <is>
          <t>Marvel</t>
        </is>
      </c>
      <c r="I461" s="11" t="inlineStr">
        <is>
          <t>Não</t>
        </is>
      </c>
      <c r="J461" s="11" t="n">
        <v>2026</v>
      </c>
      <c r="K461" s="10" t="n">
        <v>46144</v>
      </c>
      <c r="L461" s="11" t="n">
        <v>1</v>
      </c>
      <c r="M461" s="8">
        <f>L461*G461</f>
        <v/>
      </c>
      <c r="P461" s="9" t="n"/>
    </row>
    <row r="462">
      <c r="A462" s="11" t="inlineStr">
        <is>
          <t>Mister Hyde, Monster Within / Senhor Hyde, O Monstro Interior</t>
        </is>
      </c>
      <c r="B462" s="11" t="inlineStr">
        <is>
          <t>Criatura Lendária — Humano Vilão</t>
        </is>
      </c>
      <c r="C462" s="11" t="inlineStr">
        <is>
          <t>Incomum</t>
        </is>
      </c>
      <c r="D462" s="11" t="inlineStr">
        <is>
          <t>No início de sua manutenção, escolha um — • Coloque um marcador +1/+1 em Senhor Hyde. • Remova um marcador de uma criatura que você controla. Se fizer isso, compre um card.</t>
        </is>
      </c>
      <c r="E462" s="11" t="inlineStr">
        <is>
          <t>2{G}</t>
        </is>
      </c>
      <c r="F462" s="11" t="inlineStr">
        <is>
          <t>Verde</t>
        </is>
      </c>
      <c r="G462" s="8" t="n">
        <v>0.8</v>
      </c>
      <c r="H462" s="11" t="inlineStr">
        <is>
          <t>Marvel</t>
        </is>
      </c>
      <c r="I462" s="11" t="inlineStr">
        <is>
          <t>Não</t>
        </is>
      </c>
      <c r="J462" s="11" t="n">
        <v>2026</v>
      </c>
      <c r="K462" s="10" t="n">
        <v>46055</v>
      </c>
      <c r="L462" s="11" t="n">
        <v>1</v>
      </c>
      <c r="M462" s="8">
        <f>L462*G462</f>
        <v/>
      </c>
      <c r="P462" s="9" t="n"/>
    </row>
    <row r="463">
      <c r="A463" s="11" t="inlineStr">
        <is>
          <t>Rick Jones, Destined Sidekick / Rick Jones, Parceiro Predestinado</t>
        </is>
      </c>
      <c r="B463" s="11" t="inlineStr">
        <is>
          <t>Criatura Lendária — Humano Conselheiro</t>
        </is>
      </c>
      <c r="C463" s="11" t="inlineStr">
        <is>
          <t>Incomum</t>
        </is>
      </c>
      <c r="D463" s="11" t="inlineStr">
        <is>
          <t>{3}, {T}: Triture quatro cards. Você pode colocar um card de Herói ou de encantamento dentre aqueles cards em sua mão. (Para triturar quatro cards, coloque os quatro cards do topo de seu grimório em seu cemitério.)</t>
        </is>
      </c>
      <c r="E463" s="11" t="inlineStr">
        <is>
          <t>{G}</t>
        </is>
      </c>
      <c r="F463" s="11" t="inlineStr">
        <is>
          <t>Verde</t>
        </is>
      </c>
      <c r="G463" s="8" t="n">
        <v>0.65</v>
      </c>
      <c r="H463" s="11" t="inlineStr">
        <is>
          <t>Marvel</t>
        </is>
      </c>
      <c r="I463" s="11" t="inlineStr">
        <is>
          <t>Não</t>
        </is>
      </c>
      <c r="J463" s="11" t="n">
        <v>2026</v>
      </c>
      <c r="K463" s="11" t="inlineStr">
        <is>
          <t>0/3</t>
        </is>
      </c>
      <c r="L463" s="11" t="n">
        <v>1</v>
      </c>
      <c r="M463" s="8">
        <f>L463*G463</f>
        <v/>
      </c>
      <c r="P463" s="9" t="n"/>
    </row>
    <row r="464">
      <c r="A464" s="11" t="inlineStr">
        <is>
          <t>Ghost, Spectral Saboteur / Fantasma, Sabotador Espectral</t>
        </is>
      </c>
      <c r="B464" s="11" t="inlineStr">
        <is>
          <t>Criatura Lendária — Humano Ladino Vilão</t>
        </is>
      </c>
      <c r="C464" s="11" t="inlineStr">
        <is>
          <t>Incomum</t>
        </is>
      </c>
      <c r="D464" s="11" t="inlineStr">
        <is>
          <t>Lampejo. Intangibilidade — Fantasma não pode ser bloqueado.</t>
        </is>
      </c>
      <c r="E464" s="11" t="inlineStr">
        <is>
          <t>2{U/B}</t>
        </is>
      </c>
      <c r="F464" s="11" t="inlineStr">
        <is>
          <t>Multicolorido</t>
        </is>
      </c>
      <c r="G464" s="8" t="n">
        <v>0.44</v>
      </c>
      <c r="H464" s="11" t="inlineStr">
        <is>
          <t>Marvel</t>
        </is>
      </c>
      <c r="I464" s="11" t="inlineStr">
        <is>
          <t>Não</t>
        </is>
      </c>
      <c r="J464" s="11" t="n">
        <v>2026</v>
      </c>
      <c r="K464" s="10" t="n">
        <v>46055</v>
      </c>
      <c r="L464" s="11" t="n">
        <v>1</v>
      </c>
      <c r="M464" s="8">
        <f>L464*G464</f>
        <v/>
      </c>
      <c r="P464" s="9" t="n"/>
    </row>
    <row r="465">
      <c r="A465" s="11" t="inlineStr">
        <is>
          <t>Bullseye, Death Dealer / Mercenário, Negociante da Morte</t>
        </is>
      </c>
      <c r="B465" s="11" t="inlineStr">
        <is>
          <t>Criatura Lendária — Humano Assassino Vilão</t>
        </is>
      </c>
      <c r="C465" s="11" t="inlineStr">
        <is>
          <t>Incomum</t>
        </is>
      </c>
      <c r="D465" s="11"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5" s="11" t="inlineStr">
        <is>
          <t>2{B/R}</t>
        </is>
      </c>
      <c r="F465" s="11" t="inlineStr">
        <is>
          <t>Multicolorido</t>
        </is>
      </c>
      <c r="G465" s="8" t="n">
        <v>1.86</v>
      </c>
      <c r="H465" s="11" t="inlineStr">
        <is>
          <t>Marvel</t>
        </is>
      </c>
      <c r="I465" s="11" t="inlineStr">
        <is>
          <t>Não</t>
        </is>
      </c>
      <c r="J465" s="11" t="n">
        <v>2026</v>
      </c>
      <c r="K465" s="10" t="n">
        <v>46083</v>
      </c>
      <c r="L465" s="11" t="n">
        <v>1</v>
      </c>
      <c r="M465" s="8">
        <f>L465*G465</f>
        <v/>
      </c>
      <c r="P465" s="9" t="n"/>
    </row>
    <row r="466">
      <c r="A466" s="11" t="inlineStr">
        <is>
          <t>Viv Vision, Teen Synthezoid / Viv Visão, Sintozóide Adolescente</t>
        </is>
      </c>
      <c r="B466" s="11" t="inlineStr">
        <is>
          <t>Criatura Artefato Lendária — Robô Herói</t>
        </is>
      </c>
      <c r="C466" s="11" t="inlineStr">
        <is>
          <t>Incomum</t>
        </is>
      </c>
      <c r="D466" s="11"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6" s="11" t="inlineStr">
        <is>
          <t>{3}</t>
        </is>
      </c>
      <c r="F466" s="11" t="inlineStr">
        <is>
          <t>Incolor</t>
        </is>
      </c>
      <c r="G466" s="8" t="n">
        <v>0.44</v>
      </c>
      <c r="H466" s="11" t="inlineStr">
        <is>
          <t>Marvel</t>
        </is>
      </c>
      <c r="I466" s="11" t="inlineStr">
        <is>
          <t>Não</t>
        </is>
      </c>
      <c r="J466" s="11" t="n">
        <v>2026</v>
      </c>
      <c r="K466" s="10" t="n">
        <v>46055</v>
      </c>
      <c r="L466" s="11" t="n">
        <v>1</v>
      </c>
      <c r="M466" s="8">
        <f>L466*G466</f>
        <v/>
      </c>
      <c r="P466" s="9" t="n"/>
    </row>
    <row r="467">
      <c r="A467" s="11" t="inlineStr">
        <is>
          <t>Balthier and Fran / Balthier e Fran</t>
        </is>
      </c>
      <c r="B467" s="11" t="inlineStr">
        <is>
          <t>Criatura Lendária — Humano Coelho</t>
        </is>
      </c>
      <c r="C467" s="11" t="inlineStr">
        <is>
          <t>Raro</t>
        </is>
      </c>
      <c r="D467" s="11"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7" s="11" t="inlineStr">
        <is>
          <t>1{V/R}</t>
        </is>
      </c>
      <c r="F467" s="11" t="inlineStr">
        <is>
          <t>Vermelho e verde</t>
        </is>
      </c>
      <c r="G467" s="8" t="n">
        <v>1.2</v>
      </c>
      <c r="H467" s="11" t="inlineStr">
        <is>
          <t>Final Fantasy</t>
        </is>
      </c>
      <c r="I467" s="11" t="inlineStr">
        <is>
          <t>Não</t>
        </is>
      </c>
      <c r="J467" s="11" t="n">
        <v>2025</v>
      </c>
      <c r="K467" s="10" t="n">
        <v>46085</v>
      </c>
      <c r="L467" s="11" t="n">
        <v>1</v>
      </c>
      <c r="M467" s="8">
        <f>L467*G467</f>
        <v/>
      </c>
      <c r="P467" s="9" t="n"/>
    </row>
    <row r="468">
      <c r="A468" s="11" t="inlineStr">
        <is>
          <t>Foe-liage / Inimigo-lhagem</t>
        </is>
      </c>
      <c r="B468" s="11" t="inlineStr">
        <is>
          <t>Criatura — Planta Mutante</t>
        </is>
      </c>
      <c r="C468" s="11" t="inlineStr">
        <is>
          <t>Comum</t>
        </is>
      </c>
      <c r="D468" s="11" t="inlineStr">
        <is>
          <t>Sempre que um terreno entrar durante o seu turno, coloque um marcador +1/+1 nesta criatura.</t>
        </is>
      </c>
      <c r="E468" s="11" t="inlineStr">
        <is>
          <t>3{G}</t>
        </is>
      </c>
      <c r="F468" s="11" t="inlineStr">
        <is>
          <t>Verde</t>
        </is>
      </c>
      <c r="G468" s="8" t="n">
        <v>0.2</v>
      </c>
      <c r="H468" s="11" t="inlineStr">
        <is>
          <t>Teenage Mutant Ninja Turtles</t>
        </is>
      </c>
      <c r="I468" s="11" t="inlineStr">
        <is>
          <t>Não</t>
        </is>
      </c>
      <c r="J468" s="11" t="n">
        <v>2026</v>
      </c>
      <c r="K468" s="10" t="n">
        <v>46084</v>
      </c>
      <c r="L468" s="11" t="n">
        <v>2</v>
      </c>
      <c r="M468" s="8">
        <f>L468*G468</f>
        <v/>
      </c>
      <c r="P468" s="9" t="n"/>
    </row>
    <row r="469">
      <c r="A469" s="11" t="inlineStr">
        <is>
          <t>Prehistoric Turtlesaurus / Tartarugassauro Pré-histórico</t>
        </is>
      </c>
      <c r="B469" s="11" t="inlineStr">
        <is>
          <t>Criatura — Mutante Ninja Tartaruga Dinossauro</t>
        </is>
      </c>
      <c r="C469" s="11" t="inlineStr">
        <is>
          <t>Comum</t>
        </is>
      </c>
      <c r="D469" s="11" t="inlineStr">
        <is>
          <t>Esta mágica custa {1} a menos para ser conjurada se você controlar uma criatura com um marcador +1/+1 nela. Vigilância (Atacar não faz esta criatura ser virada.)</t>
        </is>
      </c>
      <c r="E469" s="11" t="inlineStr">
        <is>
          <t>4{G}</t>
        </is>
      </c>
      <c r="F469" s="11" t="inlineStr">
        <is>
          <t>Verde</t>
        </is>
      </c>
      <c r="G469" s="8" t="n">
        <v>0.2</v>
      </c>
      <c r="H469" s="11" t="inlineStr">
        <is>
          <t>Teenage Mutant Ninja Turtles</t>
        </is>
      </c>
      <c r="I469" s="11" t="inlineStr">
        <is>
          <t>Não</t>
        </is>
      </c>
      <c r="J469" s="11" t="n">
        <v>2026</v>
      </c>
      <c r="K469" s="10" t="n">
        <v>46146</v>
      </c>
      <c r="L469" s="11" t="n">
        <v>3</v>
      </c>
      <c r="M469" s="8">
        <f>L469*G469</f>
        <v/>
      </c>
      <c r="P469" s="9" t="n"/>
    </row>
    <row r="470">
      <c r="A470" s="11" t="inlineStr">
        <is>
          <t>Turtle Tracks / Rastros de Tartaruga</t>
        </is>
      </c>
      <c r="B470" s="11" t="inlineStr">
        <is>
          <t>Feitiço</t>
        </is>
      </c>
      <c r="C470" s="11" t="inlineStr">
        <is>
          <t>Incomum</t>
        </is>
      </c>
      <c r="D470" s="11" t="inlineStr">
        <is>
          <t>Qualquer número de jogadores alvo pode, cada um, procurar em seu próprio grimório por um card de terreno básico, colocá-lo no campo de batalha sob o controle deles e depois embaralhar.</t>
        </is>
      </c>
      <c r="E470" s="11" t="inlineStr">
        <is>
          <t>2{G}</t>
        </is>
      </c>
      <c r="F470" s="11" t="inlineStr">
        <is>
          <t>Verde</t>
        </is>
      </c>
      <c r="G470" s="8" t="n">
        <v>0.6899999999999999</v>
      </c>
      <c r="H470" s="11" t="inlineStr">
        <is>
          <t>Teenage Mutant Ninja Turtles</t>
        </is>
      </c>
      <c r="I470" s="11" t="inlineStr">
        <is>
          <t>Não</t>
        </is>
      </c>
      <c r="J470" s="11" t="n">
        <v>2026</v>
      </c>
      <c r="L470" s="11" t="n">
        <v>3</v>
      </c>
      <c r="M470" s="8">
        <f>L470*G470</f>
        <v/>
      </c>
      <c r="P470" s="9" t="n"/>
    </row>
    <row r="471">
      <c r="A471" s="11" t="inlineStr">
        <is>
          <t>Manhole Cover / Tampa de Bueiro</t>
        </is>
      </c>
      <c r="B471" s="11" t="inlineStr">
        <is>
          <t>Artefato</t>
        </is>
      </c>
      <c r="C471" s="11" t="inlineStr">
        <is>
          <t>Incomum</t>
        </is>
      </c>
      <c r="D471" s="11"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71" s="11" t="inlineStr">
        <is>
          <t>{2}</t>
        </is>
      </c>
      <c r="F471" s="11" t="inlineStr">
        <is>
          <t>Incolor</t>
        </is>
      </c>
      <c r="G471" s="8" t="n">
        <v>0.9</v>
      </c>
      <c r="H471" s="11" t="inlineStr">
        <is>
          <t>Teenage Mutant Ninja Turtles</t>
        </is>
      </c>
      <c r="I471" s="11" t="inlineStr">
        <is>
          <t>Não</t>
        </is>
      </c>
      <c r="J471" s="11" t="n">
        <v>2026</v>
      </c>
      <c r="L471" s="11" t="n">
        <v>1</v>
      </c>
      <c r="M471" s="8">
        <f>L471*G471</f>
        <v/>
      </c>
      <c r="P471" s="9" t="n"/>
    </row>
    <row r="472">
      <c r="A472" s="11" t="inlineStr">
        <is>
          <t>Hamato Ninpō / Hamato Ninpō</t>
        </is>
      </c>
      <c r="B472" s="11" t="inlineStr">
        <is>
          <t>Mágica Instantânea</t>
        </is>
      </c>
      <c r="C472" s="11" t="inlineStr">
        <is>
          <t>Comum</t>
        </is>
      </c>
      <c r="D472" s="11" t="inlineStr">
        <is>
          <t>Hamato Ninpō causa 4 pontos de dano à criatura atacante ou bloqueadora alvo.</t>
        </is>
      </c>
      <c r="E472" s="11" t="inlineStr">
        <is>
          <t>1{W}</t>
        </is>
      </c>
      <c r="F472" s="11" t="inlineStr">
        <is>
          <t>Branco</t>
        </is>
      </c>
      <c r="G472" s="8" t="n">
        <v>0.2</v>
      </c>
      <c r="H472" s="11" t="inlineStr">
        <is>
          <t>Teenage Mutant Ninja Turtles</t>
        </is>
      </c>
      <c r="I472" s="11" t="inlineStr">
        <is>
          <t>Não</t>
        </is>
      </c>
      <c r="J472" s="11" t="n">
        <v>2026</v>
      </c>
      <c r="L472" s="11" t="n">
        <v>3</v>
      </c>
      <c r="M472" s="8">
        <f>L472*G472</f>
        <v/>
      </c>
      <c r="P472" s="9" t="n"/>
    </row>
    <row r="473">
      <c r="A473" s="11" t="inlineStr">
        <is>
          <t>Leo's Guidance / Orientação de Leo</t>
        </is>
      </c>
      <c r="B473" s="11" t="inlineStr">
        <is>
          <t>Mágica Instantânea</t>
        </is>
      </c>
      <c r="C473" s="11" t="inlineStr">
        <is>
          <t>Incomum</t>
        </is>
      </c>
      <c r="D473" s="11" t="inlineStr">
        <is>
          <t>Coloque um marcador +1/+1 em cada uma de até três criaturas alvo. Desvire-as.</t>
        </is>
      </c>
      <c r="E473" s="11" t="inlineStr">
        <is>
          <t>2{W}</t>
        </is>
      </c>
      <c r="F473" s="11" t="inlineStr">
        <is>
          <t>Branco</t>
        </is>
      </c>
      <c r="G473" s="8" t="n">
        <v>1.3</v>
      </c>
      <c r="H473" s="11" t="inlineStr">
        <is>
          <t>Teenage Mutant Ninja Turtles</t>
        </is>
      </c>
      <c r="I473" s="11" t="inlineStr">
        <is>
          <t>Não</t>
        </is>
      </c>
      <c r="J473" s="11" t="n">
        <v>2026</v>
      </c>
      <c r="L473" s="11" t="n">
        <v>2</v>
      </c>
      <c r="M473" s="8">
        <f>L473*G473</f>
        <v/>
      </c>
      <c r="P473" s="9" t="n"/>
    </row>
    <row r="474">
      <c r="A474" s="11" t="inlineStr">
        <is>
          <t>Triceraton Regenta / Regenta Triceráton</t>
        </is>
      </c>
      <c r="B474" s="11" t="inlineStr">
        <is>
          <t>Criatura — Dinossauro Nobre</t>
        </is>
      </c>
      <c r="C474" s="11" t="inlineStr">
        <is>
          <t>Comum</t>
        </is>
      </c>
      <c r="D474" s="11" t="inlineStr">
        <is>
          <t>Vigilância (Atacar não faz esta criatura ser virada.) Sempre que esta criatura atacar, desvire até uma outra criatura alvo.</t>
        </is>
      </c>
      <c r="E474" s="11" t="inlineStr">
        <is>
          <t>2{W}</t>
        </is>
      </c>
      <c r="F474" s="11" t="inlineStr">
        <is>
          <t>Branco</t>
        </is>
      </c>
      <c r="G474" s="8" t="n">
        <v>0.2</v>
      </c>
      <c r="H474" s="11" t="inlineStr">
        <is>
          <t>Teenage Mutant Ninja Turtles</t>
        </is>
      </c>
      <c r="I474" s="11" t="inlineStr">
        <is>
          <t>Não</t>
        </is>
      </c>
      <c r="J474" s="11" t="n">
        <v>2026</v>
      </c>
      <c r="K474" s="10" t="n">
        <v>46083</v>
      </c>
      <c r="L474" s="11" t="n">
        <v>3</v>
      </c>
      <c r="M474" s="8">
        <f>L474*G474</f>
        <v/>
      </c>
      <c r="P474" s="9" t="n"/>
    </row>
    <row r="475">
      <c r="A475" s="11" t="inlineStr">
        <is>
          <t>Wooden Cane / Bengala de Madeira</t>
        </is>
      </c>
      <c r="B475" s="11" t="inlineStr">
        <is>
          <t>Artefato — Equipamento</t>
        </is>
      </c>
      <c r="C475" s="11" t="inlineStr">
        <is>
          <t>Incomum</t>
        </is>
      </c>
      <c r="D475" s="11" t="inlineStr">
        <is>
          <t>Quando este Equipamento entrar, crie uma ficha de criatura Mutante vermelha 2/2 e depois anexe este Equipamento a ela. A criatura equipada recebe +2/+1. Equipar {3} ({3}: Anexe à criatura alvo que você controla. Equipe somente como um feitiço.)</t>
        </is>
      </c>
      <c r="E475" s="11" t="inlineStr">
        <is>
          <t>3{W}</t>
        </is>
      </c>
      <c r="F475" s="11" t="inlineStr">
        <is>
          <t>Branco</t>
        </is>
      </c>
      <c r="G475" s="8" t="n">
        <v>0.98</v>
      </c>
      <c r="H475" s="11" t="inlineStr">
        <is>
          <t>Teenage Mutant Ninja Turtles</t>
        </is>
      </c>
      <c r="I475" s="11" t="inlineStr">
        <is>
          <t>Não</t>
        </is>
      </c>
      <c r="J475" s="11" t="n">
        <v>2026</v>
      </c>
      <c r="L475" s="11" t="n">
        <v>2</v>
      </c>
      <c r="M475" s="8">
        <f>L475*G475</f>
        <v/>
      </c>
      <c r="P475" s="9" t="n"/>
    </row>
    <row r="476">
      <c r="A476" s="11" t="inlineStr">
        <is>
          <t>Containment Protocol / Protocolo de Contenção</t>
        </is>
      </c>
      <c r="B476" s="11" t="inlineStr">
        <is>
          <t>Encantamento — Aura</t>
        </is>
      </c>
      <c r="C476" s="11" t="inlineStr">
        <is>
          <t>Comum</t>
        </is>
      </c>
      <c r="D476" s="11" t="inlineStr">
        <is>
          <t>Encantar criatura. Quando esta Aura entrar, vire a criatura encantada. A criatura encantada não desvira durante a etapa de desvirar de seu controlador.</t>
        </is>
      </c>
      <c r="E476" s="11" t="inlineStr">
        <is>
          <t>2{U}</t>
        </is>
      </c>
      <c r="F476" s="11" t="inlineStr">
        <is>
          <t>Azul</t>
        </is>
      </c>
      <c r="G476" s="8" t="n">
        <v>0.2</v>
      </c>
      <c r="H476" s="11" t="inlineStr">
        <is>
          <t>Teenage Mutant Ninja Turtles</t>
        </is>
      </c>
      <c r="I476" s="11" t="inlineStr">
        <is>
          <t>Não</t>
        </is>
      </c>
      <c r="J476" s="11" t="n">
        <v>2026</v>
      </c>
      <c r="L476" s="11" t="n">
        <v>4</v>
      </c>
      <c r="M476" s="8">
        <f>L476*G476</f>
        <v/>
      </c>
      <c r="P476" s="9" t="n"/>
    </row>
    <row r="477">
      <c r="A477" s="11" t="inlineStr">
        <is>
          <t>Donatello's Science Lesson / Lição de Ciência de Donatello</t>
        </is>
      </c>
      <c r="B477" s="11" t="inlineStr">
        <is>
          <t>Mágica Instantânea</t>
        </is>
      </c>
      <c r="C477" s="11" t="inlineStr">
        <is>
          <t>Incomum</t>
        </is>
      </c>
      <c r="D477" s="11" t="inlineStr">
        <is>
          <t>Vire até duas criaturas alvo. Até dois jogadores alvo compram, cada um, um card.</t>
        </is>
      </c>
      <c r="E477" s="11" t="inlineStr">
        <is>
          <t>2{U}</t>
        </is>
      </c>
      <c r="F477" s="11" t="inlineStr">
        <is>
          <t>Azul</t>
        </is>
      </c>
      <c r="G477" s="8" t="n">
        <v>1.29</v>
      </c>
      <c r="H477" s="11" t="inlineStr">
        <is>
          <t>Teenage Mutant Ninja Turtles</t>
        </is>
      </c>
      <c r="I477" s="11" t="inlineStr">
        <is>
          <t>Não</t>
        </is>
      </c>
      <c r="J477" s="11" t="n">
        <v>2026</v>
      </c>
      <c r="L477" s="11" t="n">
        <v>2</v>
      </c>
      <c r="M477" s="8">
        <f>L477*G477</f>
        <v/>
      </c>
      <c r="P477" s="9" t="n"/>
    </row>
    <row r="478">
      <c r="A478" s="11" t="inlineStr">
        <is>
          <t>Monster Mashup / Mistureba de Monstros</t>
        </is>
      </c>
      <c r="B478" s="11" t="inlineStr">
        <is>
          <t>Criatura — Lobisomem Peixe Zumbi Vampiro</t>
        </is>
      </c>
      <c r="C478" s="11" t="inlineStr">
        <is>
          <t>Comum</t>
        </is>
      </c>
      <c r="D478" s="11" t="inlineStr">
        <is>
          <t>Alcance (Esta criatura pode bloquear criaturas com voar.) Ameaça (Esta criatura não pode ser bloqueada a não ser por duas ou mais criaturas.)</t>
        </is>
      </c>
      <c r="E478" s="11" t="inlineStr">
        <is>
          <t>3{R}</t>
        </is>
      </c>
      <c r="F478" s="11" t="inlineStr">
        <is>
          <t>Vermelho</t>
        </is>
      </c>
      <c r="G478" s="8" t="n">
        <v>0.2</v>
      </c>
      <c r="H478" s="11" t="inlineStr">
        <is>
          <t>Teenage Mutant Ninja Turtles</t>
        </is>
      </c>
      <c r="I478" s="11" t="inlineStr">
        <is>
          <t>Não</t>
        </is>
      </c>
      <c r="J478" s="11" t="n">
        <v>2026</v>
      </c>
      <c r="K478" s="10" t="n">
        <v>46085</v>
      </c>
      <c r="L478" s="11" t="n">
        <v>3</v>
      </c>
      <c r="M478" s="8">
        <f>L478*G478</f>
        <v/>
      </c>
      <c r="P478" s="9" t="n"/>
    </row>
    <row r="479">
      <c r="A479" s="11" t="inlineStr">
        <is>
          <t>Raph's Bravado / Bravata de Raph</t>
        </is>
      </c>
      <c r="B479" s="11" t="inlineStr">
        <is>
          <t>Encantamento</t>
        </is>
      </c>
      <c r="C479" s="11" t="inlineStr">
        <is>
          <t>Incomum</t>
        </is>
      </c>
      <c r="D479" s="11" t="inlineStr">
        <is>
          <t>Durante o seu turno, as criaturas atacantes recebem +1/+0.</t>
        </is>
      </c>
      <c r="E479" s="11" t="inlineStr">
        <is>
          <t>1{R}</t>
        </is>
      </c>
      <c r="F479" s="11" t="inlineStr">
        <is>
          <t>Vermelho</t>
        </is>
      </c>
      <c r="G479" s="8" t="n">
        <v>0.29</v>
      </c>
      <c r="H479" s="11" t="inlineStr">
        <is>
          <t>Teenage Mutant Ninja Turtles</t>
        </is>
      </c>
      <c r="I479" s="11" t="inlineStr">
        <is>
          <t>Não</t>
        </is>
      </c>
      <c r="J479" s="11" t="n">
        <v>2026</v>
      </c>
      <c r="L479" s="11" t="n">
        <v>2</v>
      </c>
      <c r="M479" s="8">
        <f>L479*G479</f>
        <v/>
      </c>
      <c r="P479" s="9" t="n"/>
    </row>
    <row r="480">
      <c r="A480" s="11" t="inlineStr">
        <is>
          <t>Storm of Steel / Tempestade de Aço</t>
        </is>
      </c>
      <c r="B480" s="11" t="inlineStr">
        <is>
          <t>Feitiço</t>
        </is>
      </c>
      <c r="C480" s="11" t="inlineStr">
        <is>
          <t>Incomum</t>
        </is>
      </c>
      <c r="D480" s="11" t="inlineStr">
        <is>
          <t>Storm of Steel causa 2 pontos de dano a cada um de um ou dois alvos.</t>
        </is>
      </c>
      <c r="E480" s="11" t="inlineStr">
        <is>
          <t>3{R}</t>
        </is>
      </c>
      <c r="F480" s="11" t="inlineStr">
        <is>
          <t>Vermelho</t>
        </is>
      </c>
      <c r="G480" s="8" t="n">
        <v>0.29</v>
      </c>
      <c r="H480" s="11" t="inlineStr">
        <is>
          <t>Teenage Mutant Ninja Turtles</t>
        </is>
      </c>
      <c r="I480" s="11" t="inlineStr">
        <is>
          <t>Não</t>
        </is>
      </c>
      <c r="J480" s="11" t="n">
        <v>2026</v>
      </c>
      <c r="L480" s="11" t="n">
        <v>2</v>
      </c>
      <c r="M480" s="8">
        <f>L480*G480</f>
        <v/>
      </c>
      <c r="P480" s="9" t="n"/>
    </row>
    <row r="481">
      <c r="A481" s="11" t="inlineStr">
        <is>
          <t>Ticked Off / Irritado</t>
        </is>
      </c>
      <c r="B481" s="11" t="inlineStr">
        <is>
          <t>Feitiço</t>
        </is>
      </c>
      <c r="C481" s="11" t="inlineStr">
        <is>
          <t>Comum</t>
        </is>
      </c>
      <c r="D481" s="11" t="inlineStr">
        <is>
          <t>A criatura alvo ganha golpe duplo até o final do turno. (Ela causa tanto dano de iniciativa quanto dano de combate normal.)</t>
        </is>
      </c>
      <c r="E481" s="11" t="inlineStr">
        <is>
          <t>1{R}</t>
        </is>
      </c>
      <c r="F481" s="11" t="inlineStr">
        <is>
          <t>Vermelho</t>
        </is>
      </c>
      <c r="G481" s="8" t="n">
        <v>0.21</v>
      </c>
      <c r="H481" s="11" t="inlineStr">
        <is>
          <t>Teenage Mutant Ninja Turtles</t>
        </is>
      </c>
      <c r="I481" s="11" t="inlineStr">
        <is>
          <t>Não</t>
        </is>
      </c>
      <c r="J481" s="11" t="n">
        <v>2026</v>
      </c>
      <c r="L481" s="11" t="n">
        <v>2</v>
      </c>
      <c r="M481" s="8">
        <f>L481*G481</f>
        <v/>
      </c>
      <c r="P481" s="9" t="n"/>
    </row>
    <row r="482">
      <c r="A482" s="11" t="inlineStr">
        <is>
          <t>Galvanizing Sawship / Nauserra Galvanizante</t>
        </is>
      </c>
      <c r="B482" s="11" t="inlineStr">
        <is>
          <t>Artefato — Nave Espacial</t>
        </is>
      </c>
      <c r="C482" s="11" t="inlineStr">
        <is>
          <t>Incomum</t>
        </is>
      </c>
      <c r="D482" s="11" t="inlineStr">
        <is>
          <t>Estação (Vire outra criatura que você controla: Coloque marcadores de carga iguais ao poder dela nesta Nave Espacial. Estacione somente como um feitiço. É uma criatura artefato enquanto tiver 3+.) Voar, ímpeto</t>
        </is>
      </c>
      <c r="E482" s="11" t="inlineStr">
        <is>
          <t>5{R}</t>
        </is>
      </c>
      <c r="F482" s="11" t="inlineStr">
        <is>
          <t>Vermelho</t>
        </is>
      </c>
      <c r="G482" s="8" t="n">
        <v>0.26</v>
      </c>
      <c r="H482" s="11" t="inlineStr">
        <is>
          <t>Edge of Eternity</t>
        </is>
      </c>
      <c r="I482" s="11" t="inlineStr">
        <is>
          <t>Sim</t>
        </is>
      </c>
      <c r="J482" s="11" t="n">
        <v>2025</v>
      </c>
      <c r="K482" s="10" t="n">
        <v>46148</v>
      </c>
      <c r="L482" s="11" t="n">
        <v>1</v>
      </c>
      <c r="M482" s="8">
        <f>L482*G482</f>
        <v/>
      </c>
      <c r="P482" s="9" t="n"/>
    </row>
    <row r="483">
      <c r="A483" s="11" t="inlineStr">
        <is>
          <t>Pain for All / Dor para Todos</t>
        </is>
      </c>
      <c r="B483" s="11" t="inlineStr">
        <is>
          <t>Encantamento — Aura</t>
        </is>
      </c>
      <c r="C483" s="11" t="inlineStr">
        <is>
          <t>Raro</t>
        </is>
      </c>
      <c r="D483" s="11" t="inlineStr">
        <is>
          <t>Encantar criatura que você controla. Quando esta Aura entrar, a criatura encantada causa dano igual ao seu poder a qualquer outro alvo. Sempre que causar dano à criatura encantada, ela causa aquela mesma quantidade de dano a cada oponente.</t>
        </is>
      </c>
      <c r="E483" s="11" t="inlineStr">
        <is>
          <t>2{R}</t>
        </is>
      </c>
      <c r="F483" s="11" t="inlineStr">
        <is>
          <t>Vermelho</t>
        </is>
      </c>
      <c r="G483" s="8" t="n">
        <v>0.72</v>
      </c>
      <c r="H483" s="11" t="inlineStr">
        <is>
          <t>Edge of Eternity</t>
        </is>
      </c>
      <c r="I483" s="11" t="inlineStr">
        <is>
          <t>Não</t>
        </is>
      </c>
      <c r="J483" s="11" t="n">
        <v>2025</v>
      </c>
      <c r="L483" s="11" t="n">
        <v>1</v>
      </c>
      <c r="M483" s="8">
        <f>L483*G483</f>
        <v/>
      </c>
      <c r="P483" s="9" t="n"/>
    </row>
    <row r="484">
      <c r="A484" s="11" t="inlineStr">
        <is>
          <t>Red Tiger Mechan / Mecano-tigre Vermelho</t>
        </is>
      </c>
      <c r="B484" s="11" t="inlineStr">
        <is>
          <t>Criatura Artefato — Robô Gato</t>
        </is>
      </c>
      <c r="C484" s="11" t="inlineStr">
        <is>
          <t>Comum</t>
        </is>
      </c>
      <c r="D484" s="11" t="inlineStr">
        <is>
          <t>Ímpeto. Dobra {1}{R} (Você pode conjurar este card de sua mão pelo seu custo de dobra. Exile esta criatura no início da próxima etapa final e depois você poderá conjurá-la do exílio em um turno posterior.)</t>
        </is>
      </c>
      <c r="E484" s="11" t="inlineStr">
        <is>
          <t>3{R}</t>
        </is>
      </c>
      <c r="F484" s="11" t="inlineStr">
        <is>
          <t>Vermelho</t>
        </is>
      </c>
      <c r="G484" s="8" t="n">
        <v>0.05</v>
      </c>
      <c r="H484" s="11" t="inlineStr">
        <is>
          <t>Edge of Eternity</t>
        </is>
      </c>
      <c r="I484" s="11" t="inlineStr">
        <is>
          <t>Não</t>
        </is>
      </c>
      <c r="J484" s="11" t="n">
        <v>2025</v>
      </c>
      <c r="K484" s="10" t="n">
        <v>46084</v>
      </c>
      <c r="L484" s="11" t="n">
        <v>1</v>
      </c>
      <c r="M484" s="8">
        <f>L484*G484</f>
        <v/>
      </c>
      <c r="P484" s="9" t="n"/>
    </row>
    <row r="485">
      <c r="A485" s="11" t="inlineStr">
        <is>
          <t>Roving Actuator / Atuador Itinerante</t>
        </is>
      </c>
      <c r="B485" s="11" t="inlineStr">
        <is>
          <t>Criatura Artefato — Robô</t>
        </is>
      </c>
      <c r="C485" s="11" t="inlineStr">
        <is>
          <t>Incomum</t>
        </is>
      </c>
      <c r="D485" s="11"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5" s="11" t="inlineStr">
        <is>
          <t>3{R}</t>
        </is>
      </c>
      <c r="F485" s="11" t="inlineStr">
        <is>
          <t>Vermelho</t>
        </is>
      </c>
      <c r="G485" s="8" t="n">
        <v>0.11</v>
      </c>
      <c r="H485" s="11" t="inlineStr">
        <is>
          <t>Edge of Eternity</t>
        </is>
      </c>
      <c r="I485" s="11" t="inlineStr">
        <is>
          <t>Não</t>
        </is>
      </c>
      <c r="J485" s="11" t="n">
        <v>2025</v>
      </c>
      <c r="K485" s="10" t="n">
        <v>46115</v>
      </c>
      <c r="L485" s="11" t="n">
        <v>2</v>
      </c>
      <c r="M485" s="8">
        <f>L485*G485</f>
        <v/>
      </c>
      <c r="P485" s="9" t="n"/>
    </row>
    <row r="486">
      <c r="A486" s="11" t="inlineStr">
        <is>
          <t>Oreplate Pangolin / Pangolim das Placas de Minério</t>
        </is>
      </c>
      <c r="B486" s="11" t="inlineStr">
        <is>
          <t>Criatura Artefato — Robô Pangolim</t>
        </is>
      </c>
      <c r="C486" s="11" t="inlineStr">
        <is>
          <t>Comum</t>
        </is>
      </c>
      <c r="D486" s="11" t="inlineStr">
        <is>
          <t>Sempre que um outro artefato que você controla entrar, você pode pagar {1}. Se fizer isso, coloque um marcador +1/+1 nesta criatura.</t>
        </is>
      </c>
      <c r="E486" s="11" t="inlineStr">
        <is>
          <t>1{R}</t>
        </is>
      </c>
      <c r="F486" s="11" t="inlineStr">
        <is>
          <t>Vermelho</t>
        </is>
      </c>
      <c r="G486" s="8" t="n">
        <v>0.05</v>
      </c>
      <c r="H486" s="11" t="inlineStr">
        <is>
          <t>Edge of Eternity</t>
        </is>
      </c>
      <c r="I486" s="11" t="inlineStr">
        <is>
          <t>Não</t>
        </is>
      </c>
      <c r="J486" s="11" t="n">
        <v>2025</v>
      </c>
      <c r="K486" s="10" t="n">
        <v>46055</v>
      </c>
      <c r="L486" s="11" t="n">
        <v>2</v>
      </c>
      <c r="M486" s="8">
        <f>L486*G486</f>
        <v/>
      </c>
      <c r="P486" s="9" t="n"/>
    </row>
    <row r="487">
      <c r="A487" s="11" t="inlineStr">
        <is>
          <t>Kavaron Skywarden / Guarda dos Céus de Kavaron</t>
        </is>
      </c>
      <c r="B487" s="11" t="inlineStr">
        <is>
          <t>Criatura — Kavu Soldado</t>
        </is>
      </c>
      <c r="C487" s="11" t="inlineStr">
        <is>
          <t>Comum</t>
        </is>
      </c>
      <c r="D487" s="11" t="inlineStr">
        <is>
          <t>Alcance. Vazio — No início de sua etapa final, se uma permanente não de terreno tiver deixado o campo de batalha neste turno ou se uma mágica tiver sido dobrada neste turno, coloque um marcador +1/+1 nesta criatura.</t>
        </is>
      </c>
      <c r="E487" s="11" t="inlineStr">
        <is>
          <t>4{R}</t>
        </is>
      </c>
      <c r="F487" s="11" t="inlineStr">
        <is>
          <t>Vermelho</t>
        </is>
      </c>
      <c r="G487" s="8" t="n">
        <v>0.05</v>
      </c>
      <c r="H487" s="11" t="inlineStr">
        <is>
          <t>Edge of Eternity</t>
        </is>
      </c>
      <c r="I487" s="11" t="inlineStr">
        <is>
          <t>Não</t>
        </is>
      </c>
      <c r="J487" s="11" t="n">
        <v>2025</v>
      </c>
      <c r="K487" s="10" t="n">
        <v>46146</v>
      </c>
      <c r="L487" s="11" t="n">
        <v>1</v>
      </c>
      <c r="M487" s="8">
        <f>L487*G487</f>
        <v/>
      </c>
      <c r="P487" s="9" t="n"/>
    </row>
    <row r="488">
      <c r="A488" s="11" t="inlineStr">
        <is>
          <t>Plasma Bolt / Raio de Plasma</t>
        </is>
      </c>
      <c r="B488" s="11" t="inlineStr">
        <is>
          <t>Feitiço</t>
        </is>
      </c>
      <c r="C488" s="11" t="inlineStr">
        <is>
          <t>Comum</t>
        </is>
      </c>
      <c r="D488" s="11" t="inlineStr">
        <is>
          <t>Plasma Bolt causa 2 pontos de dano a qualquer alvo. Vazio — Plasma Bolt causa 3 pontos de dano em vez disso se uma permanente não de terreno tiver deixado o campo de batalha neste turno ou se uma mágica tiver sido dobrada neste turno.</t>
        </is>
      </c>
      <c r="E488" s="11" t="inlineStr">
        <is>
          <t>{R}</t>
        </is>
      </c>
      <c r="F488" s="11" t="inlineStr">
        <is>
          <t>Vermelho</t>
        </is>
      </c>
      <c r="G488" s="8" t="n">
        <v>0.05</v>
      </c>
      <c r="H488" s="11" t="inlineStr">
        <is>
          <t>Edge of Eternity</t>
        </is>
      </c>
      <c r="I488" s="11" t="inlineStr">
        <is>
          <t>Não</t>
        </is>
      </c>
      <c r="J488" s="11" t="n">
        <v>2025</v>
      </c>
      <c r="L488" s="11" t="n">
        <v>2</v>
      </c>
      <c r="M488" s="8">
        <f>L488*G488</f>
        <v/>
      </c>
      <c r="P488" s="9" t="n"/>
    </row>
    <row r="489">
      <c r="A489" s="11" t="inlineStr">
        <is>
          <t>Invasive Maneuvers / Manobras Invasivas</t>
        </is>
      </c>
      <c r="B489" s="11" t="inlineStr">
        <is>
          <t>Mágica Instantânea</t>
        </is>
      </c>
      <c r="C489" s="11" t="inlineStr">
        <is>
          <t>Incomum</t>
        </is>
      </c>
      <c r="D489" s="11" t="inlineStr">
        <is>
          <t>Invasive Maneuvers causa 3 pontos de dano à criatura alvo. Ele causa 5 pontos de dano em vez disso se você controlar uma Nave Espacial.</t>
        </is>
      </c>
      <c r="E489" s="11" t="inlineStr">
        <is>
          <t>1{R}</t>
        </is>
      </c>
      <c r="F489" s="11" t="inlineStr">
        <is>
          <t>Vermelho</t>
        </is>
      </c>
      <c r="G489" s="8" t="n">
        <v>0.09</v>
      </c>
      <c r="H489" s="11" t="inlineStr">
        <is>
          <t>Edge of Eternity</t>
        </is>
      </c>
      <c r="I489" s="11" t="inlineStr">
        <is>
          <t>Não</t>
        </is>
      </c>
      <c r="J489" s="11" t="n">
        <v>2025</v>
      </c>
      <c r="L489" s="11" t="n">
        <v>1</v>
      </c>
      <c r="M489" s="8">
        <f>L489*G489</f>
        <v/>
      </c>
      <c r="P489" s="9" t="n"/>
    </row>
    <row r="490">
      <c r="A490" s="11" t="inlineStr">
        <is>
          <t>Bombard / Bombardear</t>
        </is>
      </c>
      <c r="B490" s="11" t="inlineStr">
        <is>
          <t>Mágica Instantânea</t>
        </is>
      </c>
      <c r="C490" s="11" t="inlineStr">
        <is>
          <t>Comum</t>
        </is>
      </c>
      <c r="D490" s="11" t="inlineStr">
        <is>
          <t>Bombard causa 4 pontos de dano à criatura alvo.</t>
        </is>
      </c>
      <c r="E490" s="11" t="inlineStr">
        <is>
          <t>2{R}</t>
        </is>
      </c>
      <c r="F490" s="11" t="inlineStr">
        <is>
          <t>Vermelho</t>
        </is>
      </c>
      <c r="G490" s="8" t="n">
        <v>0.05</v>
      </c>
      <c r="H490" s="11" t="inlineStr">
        <is>
          <t>Edge of Eternity</t>
        </is>
      </c>
      <c r="I490" s="11" t="inlineStr">
        <is>
          <t>Não</t>
        </is>
      </c>
      <c r="J490" s="11" t="n">
        <v>2025</v>
      </c>
      <c r="L490" s="11" t="n">
        <v>1</v>
      </c>
      <c r="M490" s="8">
        <f>L490*G490</f>
        <v/>
      </c>
      <c r="P490" s="9" t="n"/>
    </row>
    <row r="491">
      <c r="A491" s="11" t="inlineStr">
        <is>
          <t>Bombard / Bombardear</t>
        </is>
      </c>
      <c r="B491" s="11" t="inlineStr">
        <is>
          <t>Mágica Instantânea</t>
        </is>
      </c>
      <c r="C491" s="11" t="inlineStr">
        <is>
          <t>Comum</t>
        </is>
      </c>
      <c r="D491" s="11" t="inlineStr">
        <is>
          <t>Bombard causa 4 pontos de dano à criatura alvo.</t>
        </is>
      </c>
      <c r="E491" s="11" t="inlineStr">
        <is>
          <t>2{R}</t>
        </is>
      </c>
      <c r="F491" s="11" t="inlineStr">
        <is>
          <t>Vermelho</t>
        </is>
      </c>
      <c r="G491" s="8" t="n">
        <v>0.03</v>
      </c>
      <c r="H491" s="11" t="inlineStr">
        <is>
          <t xml:space="preserve">Rivais de Ixalan </t>
        </is>
      </c>
      <c r="I491" s="11" t="inlineStr">
        <is>
          <t>Não</t>
        </is>
      </c>
      <c r="J491" s="11" t="n">
        <v>2025</v>
      </c>
      <c r="L491" s="11" t="n">
        <v>1</v>
      </c>
      <c r="M491" s="8">
        <f>L491*G491</f>
        <v/>
      </c>
      <c r="P491" s="9" t="n"/>
    </row>
    <row r="492">
      <c r="A492" s="11" t="inlineStr">
        <is>
          <t>Meltstrider's Gear / Equipamento do熔passo</t>
        </is>
      </c>
      <c r="B492" s="11" t="inlineStr">
        <is>
          <t>Artefato — Equipamento</t>
        </is>
      </c>
      <c r="C492" s="11" t="inlineStr">
        <is>
          <t>Comum</t>
        </is>
      </c>
      <c r="D492" s="11" t="inlineStr">
        <is>
          <t>Quando este Equipamento entrar, anexe-o à criatura alvo que você controla. A criatura equipada recebe +2/+1 e tem alcance. Equipar {5} ({5}: Anexe à criatura alvo que você controla. Equipe somente como um feitiço.)</t>
        </is>
      </c>
      <c r="E492" s="11" t="inlineStr">
        <is>
          <t>{G}</t>
        </is>
      </c>
      <c r="F492" s="11" t="inlineStr">
        <is>
          <t>Verde</t>
        </is>
      </c>
      <c r="G492" s="8" t="n">
        <v>0.05</v>
      </c>
      <c r="H492" s="11" t="inlineStr">
        <is>
          <t>Edge of Eternity</t>
        </is>
      </c>
      <c r="I492" s="11" t="inlineStr">
        <is>
          <t>Não</t>
        </is>
      </c>
      <c r="J492" s="11" t="n">
        <v>2025</v>
      </c>
      <c r="L492" s="11" t="n">
        <v>1</v>
      </c>
      <c r="M492" s="8">
        <f>L492*G492</f>
        <v/>
      </c>
      <c r="P492" s="9" t="n"/>
    </row>
    <row r="493">
      <c r="A493" s="11" t="inlineStr">
        <is>
          <t>Sami's Curiosity / Curiosidade de Sami</t>
        </is>
      </c>
      <c r="B493" s="11" t="inlineStr">
        <is>
          <t>Feitiço</t>
        </is>
      </c>
      <c r="C493" s="11" t="inlineStr">
        <is>
          <t>Comum</t>
        </is>
      </c>
      <c r="D493" s="11" t="inlineStr">
        <is>
          <t>Você ganha 2 pontos de vida. Crie uma ficha de Módulo de Pouso. (É um artefato com "{2}, {T}, Sacrifique esta ficha: Procure em seu grimório por um card de terreno básico, coloque-o no campo de batalha virado e depois embaralhe.")</t>
        </is>
      </c>
      <c r="E493" s="11" t="inlineStr">
        <is>
          <t>{G}</t>
        </is>
      </c>
      <c r="F493" s="11" t="inlineStr">
        <is>
          <t>Verde</t>
        </is>
      </c>
      <c r="G493" s="8" t="n">
        <v>0.05</v>
      </c>
      <c r="H493" s="11" t="inlineStr">
        <is>
          <t>Edge of Eternity</t>
        </is>
      </c>
      <c r="I493" s="11" t="inlineStr">
        <is>
          <t>Não</t>
        </is>
      </c>
      <c r="J493" s="11" t="n">
        <v>2025</v>
      </c>
      <c r="L493" s="11" t="n">
        <v>1</v>
      </c>
      <c r="M493" s="8">
        <f>L493*G493</f>
        <v/>
      </c>
      <c r="P493" s="9" t="n"/>
    </row>
    <row r="494">
      <c r="A494" s="11" t="inlineStr">
        <is>
          <t>Thawbringer / Trazedor do Degelo</t>
        </is>
      </c>
      <c r="B494" s="11" t="inlineStr">
        <is>
          <t>Criatura — Inseto Patrulheiro</t>
        </is>
      </c>
      <c r="C494" s="11" t="inlineStr">
        <is>
          <t>Comum</t>
        </is>
      </c>
      <c r="D494" s="11" t="inlineStr">
        <is>
          <t>Quando esta criatura entrar ou morrer, vigie 1. (Olhe o card do topo de seu grimório. Você pode colocá-lo em seu cemitério.)</t>
        </is>
      </c>
      <c r="E494" s="11" t="inlineStr">
        <is>
          <t>2{G}</t>
        </is>
      </c>
      <c r="F494" s="11" t="inlineStr">
        <is>
          <t>Verde</t>
        </is>
      </c>
      <c r="G494" s="8" t="n">
        <v>0.05</v>
      </c>
      <c r="H494" s="11" t="inlineStr">
        <is>
          <t>Edge of Eternity</t>
        </is>
      </c>
      <c r="I494" s="11" t="inlineStr">
        <is>
          <t>Não</t>
        </is>
      </c>
      <c r="J494" s="11" t="n">
        <v>2025</v>
      </c>
      <c r="K494" s="10" t="n">
        <v>46057</v>
      </c>
      <c r="L494" s="11" t="n">
        <v>1</v>
      </c>
      <c r="M494" s="8">
        <f>L494*G494</f>
        <v/>
      </c>
      <c r="P494" s="9" t="n"/>
    </row>
    <row r="495">
      <c r="A495" s="11" t="inlineStr">
        <is>
          <t>Larval Scoutlander / Sonda-larval Terrestre</t>
        </is>
      </c>
      <c r="B495" s="11" t="inlineStr">
        <is>
          <t>Artefato — Nave Espacial</t>
        </is>
      </c>
      <c r="C495" s="11" t="inlineStr">
        <is>
          <t>Incomum</t>
        </is>
      </c>
      <c r="D495" s="11"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5" s="11" t="inlineStr">
        <is>
          <t>2{G}</t>
        </is>
      </c>
      <c r="F495" s="11" t="inlineStr">
        <is>
          <t>Verde</t>
        </is>
      </c>
      <c r="G495" s="8" t="n">
        <v>0.15</v>
      </c>
      <c r="H495" s="11" t="inlineStr">
        <is>
          <t>Edge of Eternity</t>
        </is>
      </c>
      <c r="I495" s="11" t="inlineStr">
        <is>
          <t>Não</t>
        </is>
      </c>
      <c r="J495" s="11" t="n">
        <v>2025</v>
      </c>
      <c r="K495" s="10" t="n">
        <v>46084</v>
      </c>
      <c r="L495" s="11" t="n">
        <v>1</v>
      </c>
      <c r="M495" s="8">
        <f>L495*G495</f>
        <v/>
      </c>
      <c r="P495" s="9" t="n"/>
    </row>
    <row r="496">
      <c r="A496" s="11" t="inlineStr">
        <is>
          <t>Intrepid Tenderfoot / Pé-tenro Intrépido</t>
        </is>
      </c>
      <c r="B496" s="11" t="inlineStr">
        <is>
          <t>Criatura — Inseto Cidadão</t>
        </is>
      </c>
      <c r="C496" s="11" t="inlineStr">
        <is>
          <t>Comum</t>
        </is>
      </c>
      <c r="D496" s="11" t="inlineStr">
        <is>
          <t>{3}: Coloque um marcador +1/+1 nesta criatura. Ative somente como um feitiço.</t>
        </is>
      </c>
      <c r="E496" s="11" t="inlineStr">
        <is>
          <t>1{G}</t>
        </is>
      </c>
      <c r="F496" s="11" t="inlineStr">
        <is>
          <t>Verde</t>
        </is>
      </c>
      <c r="G496" s="8" t="n">
        <v>0.07000000000000001</v>
      </c>
      <c r="H496" s="11" t="inlineStr">
        <is>
          <t>Edge of Eternity</t>
        </is>
      </c>
      <c r="I496" s="11" t="inlineStr">
        <is>
          <t>Não</t>
        </is>
      </c>
      <c r="J496" s="11" t="n">
        <v>2025</v>
      </c>
      <c r="K496" s="10" t="n">
        <v>46055</v>
      </c>
      <c r="L496" s="11" t="n">
        <v>1</v>
      </c>
      <c r="M496" s="8">
        <f>L496*G496</f>
        <v/>
      </c>
      <c r="P496" s="9" t="n"/>
    </row>
    <row r="497">
      <c r="A497" s="11" t="inlineStr">
        <is>
          <t>Intrepid Tenderfoot / Pé-tenro Intrépido</t>
        </is>
      </c>
      <c r="B497" s="11" t="inlineStr">
        <is>
          <t>Criatura — Inseto Cidadão</t>
        </is>
      </c>
      <c r="C497" s="11" t="inlineStr">
        <is>
          <t>Comum</t>
        </is>
      </c>
      <c r="D497" s="11" t="inlineStr">
        <is>
          <t>{3}: Coloque um marcador +1/+1 nesta criatura. Ative somente como um feitiço.</t>
        </is>
      </c>
      <c r="E497" s="11" t="inlineStr">
        <is>
          <t>1{G}</t>
        </is>
      </c>
      <c r="F497" s="11" t="inlineStr">
        <is>
          <t>Verde</t>
        </is>
      </c>
      <c r="G497" s="8" t="n">
        <v>0.2</v>
      </c>
      <c r="H497" s="11" t="inlineStr">
        <is>
          <t>Edge of Eternity</t>
        </is>
      </c>
      <c r="I497" s="11" t="inlineStr">
        <is>
          <t>Sim</t>
        </is>
      </c>
      <c r="J497" s="11" t="n">
        <v>2025</v>
      </c>
      <c r="K497" s="10" t="n">
        <v>46055</v>
      </c>
      <c r="L497" s="11" t="n">
        <v>1</v>
      </c>
      <c r="M497" s="8">
        <f>L497*G497</f>
        <v/>
      </c>
      <c r="P497" s="9" t="n"/>
    </row>
    <row r="498">
      <c r="A498" s="11" t="inlineStr">
        <is>
          <t>Biosynthic Burst / Explosão Biossíntese</t>
        </is>
      </c>
      <c r="B498" s="11" t="inlineStr">
        <is>
          <t>Mágica Instantânea</t>
        </is>
      </c>
      <c r="C498" s="11" t="inlineStr">
        <is>
          <t>Comum</t>
        </is>
      </c>
      <c r="D498" s="11" t="inlineStr">
        <is>
          <t>Coloque um marcador +1/+1 na criatura alvo que você controla. Ela ganha alcance, atropelar e indestrutível até o final do turno. Desvire-a. (Dano e efeitos que dizem "destrua" não a destroem.)</t>
        </is>
      </c>
      <c r="E498" s="11" t="inlineStr">
        <is>
          <t>1{G}</t>
        </is>
      </c>
      <c r="F498" s="11" t="inlineStr">
        <is>
          <t>Verde</t>
        </is>
      </c>
      <c r="G498" s="8" t="n">
        <v>0.14</v>
      </c>
      <c r="H498" s="11" t="inlineStr">
        <is>
          <t>Edge of Eternity</t>
        </is>
      </c>
      <c r="I498" s="11" t="inlineStr">
        <is>
          <t>Não</t>
        </is>
      </c>
      <c r="J498" s="11" t="n">
        <v>2025</v>
      </c>
      <c r="L498" s="11" t="n">
        <v>2</v>
      </c>
      <c r="M498" s="8">
        <f>L498*G498</f>
        <v/>
      </c>
      <c r="P498" s="9" t="n"/>
    </row>
    <row r="499">
      <c r="A499" s="11" t="inlineStr">
        <is>
          <t>Broodguard Elite / Elite da Guarda da Ninhada</t>
        </is>
      </c>
      <c r="B499" s="11" t="inlineStr">
        <is>
          <t>Criatura — Inseto Cavaleiro</t>
        </is>
      </c>
      <c r="C499" s="11" t="inlineStr">
        <is>
          <t>Incomum</t>
        </is>
      </c>
      <c r="D499" s="11"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9" s="11" t="inlineStr">
        <is>
          <t>X{G}{G}</t>
        </is>
      </c>
      <c r="F499" s="11" t="inlineStr">
        <is>
          <t>Verde</t>
        </is>
      </c>
      <c r="G499" s="8" t="n">
        <v>0.18</v>
      </c>
      <c r="H499" s="11" t="inlineStr">
        <is>
          <t>Edge of Eternity</t>
        </is>
      </c>
      <c r="I499" s="11" t="inlineStr">
        <is>
          <t>Não</t>
        </is>
      </c>
      <c r="J499" s="11" t="n">
        <v>2025</v>
      </c>
      <c r="K499" s="11" t="inlineStr">
        <is>
          <t>0/0</t>
        </is>
      </c>
      <c r="L499" s="11" t="n">
        <v>2</v>
      </c>
      <c r="M499" s="8">
        <f>L499*G499</f>
        <v/>
      </c>
      <c r="P499" s="9" t="n"/>
    </row>
    <row r="500">
      <c r="A500" s="11" t="inlineStr">
        <is>
          <t>Close Encounter / Encontro Imediato</t>
        </is>
      </c>
      <c r="B500" s="11" t="inlineStr">
        <is>
          <t>Mágica Instantânea</t>
        </is>
      </c>
      <c r="C500" s="11" t="inlineStr">
        <is>
          <t>Incomum</t>
        </is>
      </c>
      <c r="D500" s="11" t="inlineStr">
        <is>
          <t>Como um custo adicional para conjurar esta mágica, escolha uma criatura que você controla ou um card de criatura dobrado que você possui no exílio. Close Encounter causa dano igual ao poder da criatura ou card escolhido à criatura alvo.</t>
        </is>
      </c>
      <c r="E500" s="11" t="inlineStr">
        <is>
          <t>1{G}</t>
        </is>
      </c>
      <c r="F500" s="11" t="inlineStr">
        <is>
          <t>Verde</t>
        </is>
      </c>
      <c r="G500" s="8" t="n">
        <v>0.09</v>
      </c>
      <c r="H500" s="11" t="inlineStr">
        <is>
          <t>Edge of Eternity</t>
        </is>
      </c>
      <c r="I500" s="11" t="inlineStr">
        <is>
          <t>Não</t>
        </is>
      </c>
      <c r="J500" s="11" t="n">
        <v>2025</v>
      </c>
      <c r="L500" s="11" t="n">
        <v>1</v>
      </c>
      <c r="M500" s="8">
        <f>L500*G500</f>
        <v/>
      </c>
      <c r="P500" s="9" t="n"/>
    </row>
    <row r="501">
      <c r="A501" s="11" t="inlineStr">
        <is>
          <t>Diplomatic Relations / Relações Diplomáticas</t>
        </is>
      </c>
      <c r="B501" s="11" t="inlineStr">
        <is>
          <t>Mágica Instantânea</t>
        </is>
      </c>
      <c r="C501" s="11" t="inlineStr">
        <is>
          <t>Comum</t>
        </is>
      </c>
      <c r="D501" s="11" t="inlineStr">
        <is>
          <t>A criatura alvo recebe +1/+0 e ganha vigilância até o final do turno. Ela causa dano igual ao seu poder à criatura alvo que um oponente controla.</t>
        </is>
      </c>
      <c r="E501" s="11" t="inlineStr">
        <is>
          <t>2{G}</t>
        </is>
      </c>
      <c r="F501" s="11" t="inlineStr">
        <is>
          <t>Verde</t>
        </is>
      </c>
      <c r="G501" s="8" t="n">
        <v>0.06</v>
      </c>
      <c r="H501" s="11" t="inlineStr">
        <is>
          <t>Edge of Eternity</t>
        </is>
      </c>
      <c r="I501" s="11" t="inlineStr">
        <is>
          <t>Não</t>
        </is>
      </c>
      <c r="J501" s="11" t="n">
        <v>2025</v>
      </c>
      <c r="L501" s="11" t="n">
        <v>1</v>
      </c>
      <c r="M501" s="8">
        <f>L501*G501</f>
        <v/>
      </c>
      <c r="P501" s="9" t="n"/>
    </row>
    <row r="502">
      <c r="A502" s="11" t="inlineStr">
        <is>
          <t>Eusocial Engineering / Engenharia Eussocial</t>
        </is>
      </c>
      <c r="B502" s="11" t="inlineStr">
        <is>
          <t>Encantamento</t>
        </is>
      </c>
      <c r="C502" s="11" t="inlineStr">
        <is>
          <t>Incomum</t>
        </is>
      </c>
      <c r="D502" s="11"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2" s="11" t="inlineStr">
        <is>
          <t>3{G}{G}</t>
        </is>
      </c>
      <c r="F502" s="11" t="inlineStr">
        <is>
          <t>Verde</t>
        </is>
      </c>
      <c r="G502" s="8" t="n">
        <v>0.15</v>
      </c>
      <c r="H502" s="11" t="inlineStr">
        <is>
          <t>Edge of Eternity</t>
        </is>
      </c>
      <c r="I502" s="11" t="inlineStr">
        <is>
          <t>Não</t>
        </is>
      </c>
      <c r="J502" s="11" t="n">
        <v>2025</v>
      </c>
      <c r="L502" s="11" t="n">
        <v>1</v>
      </c>
      <c r="M502" s="8">
        <f>L502*G502</f>
        <v/>
      </c>
      <c r="P502" s="9" t="n"/>
    </row>
    <row r="503">
      <c r="A503" s="11" t="inlineStr">
        <is>
          <t>Fungal Colossus / Colosso Fúngico</t>
        </is>
      </c>
      <c r="B503" s="11" t="inlineStr">
        <is>
          <t>Criatura — Fungo Besta</t>
        </is>
      </c>
      <c r="C503" s="11" t="inlineStr">
        <is>
          <t>Comum</t>
        </is>
      </c>
      <c r="D503" s="11" t="inlineStr">
        <is>
          <t>Esta mágica custa {X} a menos para ser conjurada, onde X é o número de terrenos com nomes diferentes que você controla.</t>
        </is>
      </c>
      <c r="E503" s="11" t="inlineStr">
        <is>
          <t>6{G}</t>
        </is>
      </c>
      <c r="F503" s="11" t="inlineStr">
        <is>
          <t>Verde</t>
        </is>
      </c>
      <c r="G503" s="8" t="n">
        <v>0.09</v>
      </c>
      <c r="H503" s="11" t="inlineStr">
        <is>
          <t>Edge of Eternity</t>
        </is>
      </c>
      <c r="I503" s="11" t="inlineStr">
        <is>
          <t>Não</t>
        </is>
      </c>
      <c r="J503" s="11" t="n">
        <v>2025</v>
      </c>
      <c r="K503" s="10" t="n">
        <v>46147</v>
      </c>
      <c r="L503" s="11" t="n">
        <v>1</v>
      </c>
      <c r="M503" s="8">
        <f>L503*G503</f>
        <v/>
      </c>
      <c r="P503" s="9" t="n"/>
    </row>
    <row r="504">
      <c r="A504" s="11" t="inlineStr">
        <is>
          <t>Thaumaton Torpedo / Torpede de Taumaton</t>
        </is>
      </c>
      <c r="B504" s="11" t="inlineStr">
        <is>
          <t>Artefato</t>
        </is>
      </c>
      <c r="C504" s="11" t="inlineStr">
        <is>
          <t>Comum</t>
        </is>
      </c>
      <c r="D504" s="11" t="inlineStr">
        <is>
          <t>{6}, {T}, Sacrifique este artefato: Destrua a permanente não de terreno alvo. Esta habilidade custa {3} a menos para ser ativada se você atacou com uma Nave Espacial neste turno.</t>
        </is>
      </c>
      <c r="E504" s="11" t="inlineStr">
        <is>
          <t>{1}</t>
        </is>
      </c>
      <c r="F504" s="11" t="inlineStr">
        <is>
          <t>Incolor</t>
        </is>
      </c>
      <c r="G504" s="8" t="n">
        <v>0.05</v>
      </c>
      <c r="H504" s="11" t="inlineStr">
        <is>
          <t>Edge of Eternity</t>
        </is>
      </c>
      <c r="I504" s="11" t="inlineStr">
        <is>
          <t>Não</t>
        </is>
      </c>
      <c r="J504" s="11" t="n">
        <v>2025</v>
      </c>
      <c r="L504" s="11" t="n">
        <v>1</v>
      </c>
      <c r="M504" s="8">
        <f>L504*G504</f>
        <v/>
      </c>
      <c r="P504" s="9" t="n"/>
    </row>
    <row r="505">
      <c r="A505" s="11" t="inlineStr">
        <is>
          <t>Wurmwall Sweeper / Varredor da Muralha de Vermes</t>
        </is>
      </c>
      <c r="B505" s="11" t="inlineStr">
        <is>
          <t>Artefato — Nave Espacial</t>
        </is>
      </c>
      <c r="C505" s="11" t="inlineStr">
        <is>
          <t>Comum</t>
        </is>
      </c>
      <c r="D505" s="11" t="inlineStr">
        <is>
          <t>Quando esta Nave Espacial entrar, vigie 2. Estação (Vire outra criatura que você controla: Coloque marcadores de carga iguais ao poder dela nesta Nave Espacial. Estacione somente como um feitiço. É uma criatura artefato enquanto tiver 4+.) Voar</t>
        </is>
      </c>
      <c r="E505" s="11" t="inlineStr">
        <is>
          <t>{2}</t>
        </is>
      </c>
      <c r="F505" s="11" t="inlineStr">
        <is>
          <t>Incolor</t>
        </is>
      </c>
      <c r="G505" s="8" t="n">
        <v>0.07000000000000001</v>
      </c>
      <c r="H505" s="11" t="inlineStr">
        <is>
          <t>Edge of Eternity</t>
        </is>
      </c>
      <c r="I505" s="11" t="inlineStr">
        <is>
          <t>Não</t>
        </is>
      </c>
      <c r="J505" s="11" t="n">
        <v>2025</v>
      </c>
      <c r="K505" s="10" t="n">
        <v>46055</v>
      </c>
      <c r="L505" s="11" t="n">
        <v>1</v>
      </c>
      <c r="M505" s="8">
        <f>L505*G505</f>
        <v/>
      </c>
      <c r="P505" s="9" t="n"/>
    </row>
    <row r="506">
      <c r="A506" s="11" t="inlineStr">
        <is>
          <t>Interceptor Mechan / Mecano-interceptador</t>
        </is>
      </c>
      <c r="B506" s="11" t="inlineStr">
        <is>
          <t>Criatura Artefato — Robô</t>
        </is>
      </c>
      <c r="C506" s="11" t="inlineStr">
        <is>
          <t>Incomum</t>
        </is>
      </c>
      <c r="D506" s="11"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6" s="11" t="inlineStr">
        <is>
          <t>2{B}{R}</t>
        </is>
      </c>
      <c r="F506" s="11" t="inlineStr">
        <is>
          <t>Multicolorido</t>
        </is>
      </c>
      <c r="G506" s="8" t="n">
        <v>0.15</v>
      </c>
      <c r="H506" s="11" t="inlineStr">
        <is>
          <t>Edge of Eternity</t>
        </is>
      </c>
      <c r="I506" s="11" t="inlineStr">
        <is>
          <t>Não</t>
        </is>
      </c>
      <c r="J506" s="11" t="n">
        <v>2025</v>
      </c>
      <c r="K506" s="10" t="n">
        <v>46055</v>
      </c>
      <c r="L506" s="11" t="n">
        <v>2</v>
      </c>
      <c r="M506" s="8">
        <f>L506*G506</f>
        <v/>
      </c>
      <c r="P506" s="9" t="n"/>
    </row>
    <row r="507">
      <c r="A507" s="11" t="inlineStr">
        <is>
          <t>Command Bridge / Ponte de Comando</t>
        </is>
      </c>
      <c r="B507" s="11" t="inlineStr">
        <is>
          <t>Terreno</t>
        </is>
      </c>
      <c r="C507" s="11" t="inlineStr">
        <is>
          <t>Comum</t>
        </is>
      </c>
      <c r="D507" s="11" t="inlineStr">
        <is>
          <t>Este terreno entra virado. Quando este terreno entrar, sacrifique-o a menos que você vire uma permanente desvirada que você controla. {T}: Adicione um mana de qualquer cor.</t>
        </is>
      </c>
      <c r="E507" s="11" t="inlineStr">
        <is>
          <t>Não encontrado</t>
        </is>
      </c>
      <c r="F507" s="11" t="inlineStr">
        <is>
          <t>Terreno</t>
        </is>
      </c>
      <c r="G507" s="8" t="n">
        <v>0.15</v>
      </c>
      <c r="H507" s="11" t="inlineStr">
        <is>
          <t>Edge of Eternity</t>
        </is>
      </c>
      <c r="I507" s="11" t="inlineStr">
        <is>
          <t>Não</t>
        </is>
      </c>
      <c r="J507" s="11" t="n">
        <v>2025</v>
      </c>
      <c r="L507" s="11" t="n">
        <v>1</v>
      </c>
      <c r="M507" s="8">
        <f>L507*G507</f>
        <v/>
      </c>
      <c r="P507" s="9" t="n"/>
    </row>
    <row r="508">
      <c r="A508" s="11" t="inlineStr">
        <is>
          <t>Seedship Broodtender / Cuidador da Ninhada da Nave Semente</t>
        </is>
      </c>
      <c r="B508" s="11" t="inlineStr">
        <is>
          <t>Criatura — Inseto Cidadão</t>
        </is>
      </c>
      <c r="C508" s="11" t="inlineStr">
        <is>
          <t>Incomum</t>
        </is>
      </c>
      <c r="D508" s="11"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8" s="11" t="inlineStr">
        <is>
          <t>{B}{G}</t>
        </is>
      </c>
      <c r="F508" s="11" t="inlineStr">
        <is>
          <t>Multicolorido</t>
        </is>
      </c>
      <c r="G508" s="8" t="n">
        <v>0.21</v>
      </c>
      <c r="H508" s="11" t="inlineStr">
        <is>
          <t>Edge of Eternity</t>
        </is>
      </c>
      <c r="I508" s="11" t="inlineStr">
        <is>
          <t>Não</t>
        </is>
      </c>
      <c r="J508" s="11" t="n">
        <v>2025</v>
      </c>
      <c r="K508" s="10" t="n">
        <v>46083</v>
      </c>
      <c r="L508" s="11" t="n">
        <v>1</v>
      </c>
      <c r="M508" s="8">
        <f>L508*G508</f>
        <v/>
      </c>
      <c r="P508" s="9" t="n"/>
    </row>
    <row r="509">
      <c r="A509" s="11" t="inlineStr">
        <is>
          <t>Cosmogoyf / Cosmogoyf</t>
        </is>
      </c>
      <c r="B509" s="11" t="inlineStr">
        <is>
          <t>Criatura — Elemental Lhurgoyf</t>
        </is>
      </c>
      <c r="C509" s="11" t="inlineStr">
        <is>
          <t>Rara</t>
        </is>
      </c>
      <c r="D509" s="11" t="inlineStr">
        <is>
          <t>O poder desta criatura é igual ao número de cards que você possui no exílio e sua resistência é igual a esse número mais 1.</t>
        </is>
      </c>
      <c r="E509" s="11" t="inlineStr">
        <is>
          <t>{B}{G}</t>
        </is>
      </c>
      <c r="F509" s="11" t="inlineStr">
        <is>
          <t>Multicolorido</t>
        </is>
      </c>
      <c r="G509" s="8" t="n">
        <v>1.8</v>
      </c>
      <c r="H509" s="11" t="inlineStr">
        <is>
          <t>Edge of Eternity</t>
        </is>
      </c>
      <c r="I509" s="11" t="inlineStr">
        <is>
          <t>Não</t>
        </is>
      </c>
      <c r="J509" s="11" t="n">
        <v>2025</v>
      </c>
      <c r="K509" s="11" t="inlineStr">
        <is>
          <t>*/1+*</t>
        </is>
      </c>
      <c r="L509" s="11" t="n">
        <v>1</v>
      </c>
      <c r="M509" s="8">
        <f>L509*G509</f>
        <v/>
      </c>
      <c r="P509" s="9" t="n"/>
    </row>
    <row r="510">
      <c r="A510" s="11" t="inlineStr">
        <is>
          <t>Infinite Guideline Station / Estação da Diretriz Infinita</t>
        </is>
      </c>
      <c r="B510" s="11" t="inlineStr">
        <is>
          <t>Artefato Lendário — Nave Espacial</t>
        </is>
      </c>
      <c r="C510" s="11" t="inlineStr">
        <is>
          <t>Rara</t>
        </is>
      </c>
      <c r="D510" s="11"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10" s="11" t="inlineStr">
        <is>
          <t>{W}{U}{B}{R}{G}</t>
        </is>
      </c>
      <c r="F510" s="11" t="inlineStr">
        <is>
          <t>Multicolorido</t>
        </is>
      </c>
      <c r="G510" s="8" t="n">
        <v>0.9</v>
      </c>
      <c r="H510" s="11" t="inlineStr">
        <is>
          <t>Edge of Eternity</t>
        </is>
      </c>
      <c r="I510" s="11" t="inlineStr">
        <is>
          <t>Sim</t>
        </is>
      </c>
      <c r="J510" s="11" t="n">
        <v>2025</v>
      </c>
      <c r="K510" s="11" t="inlineStr">
        <is>
          <t>7/15</t>
        </is>
      </c>
      <c r="L510" s="11" t="n">
        <v>1</v>
      </c>
      <c r="M510" s="8">
        <f>L510*G510</f>
        <v/>
      </c>
      <c r="P510" s="9" t="n"/>
    </row>
    <row r="511">
      <c r="A511" s="11" t="inlineStr">
        <is>
          <t>Desculpting Blast / Explosão Desescultora</t>
        </is>
      </c>
      <c r="B511" s="11" t="inlineStr">
        <is>
          <t>Mágica Instantânea</t>
        </is>
      </c>
      <c r="C511" s="11" t="inlineStr">
        <is>
          <t>Incomum</t>
        </is>
      </c>
      <c r="D511" s="11" t="inlineStr">
        <is>
          <t>Devolva a permanente não de terreno alvo para a mão de seu dono. Se ela estava atacando, crie uma ficha de criatura artefato Drone incolor 1/1 com voar e "Esta ficha só pode bloquear criaturas com voar."</t>
        </is>
      </c>
      <c r="E511" s="11" t="inlineStr">
        <is>
          <t>1{U}</t>
        </is>
      </c>
      <c r="F511" s="11" t="inlineStr">
        <is>
          <t>Azul</t>
        </is>
      </c>
      <c r="G511" s="8" t="n">
        <v>0.13</v>
      </c>
      <c r="H511" s="11" t="inlineStr">
        <is>
          <t>Edge of Eternity</t>
        </is>
      </c>
      <c r="I511" s="11" t="inlineStr">
        <is>
          <t>Não</t>
        </is>
      </c>
      <c r="J511" s="11" t="n">
        <v>2025</v>
      </c>
      <c r="L511" s="11" t="n">
        <v>1</v>
      </c>
      <c r="M511" s="8">
        <f>L511*G511</f>
        <v/>
      </c>
      <c r="P511" s="9" t="n"/>
    </row>
    <row r="512">
      <c r="A512" s="11" t="inlineStr">
        <is>
          <t>Divert Disaster / Desviar Desastre</t>
        </is>
      </c>
      <c r="B512" s="11" t="inlineStr">
        <is>
          <t>Mágica Instantânea</t>
        </is>
      </c>
      <c r="C512" s="11" t="inlineStr">
        <is>
          <t>Comum</t>
        </is>
      </c>
      <c r="D512" s="11"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2" s="11" t="inlineStr">
        <is>
          <t>1{U}</t>
        </is>
      </c>
      <c r="F512" s="11" t="inlineStr">
        <is>
          <t>Azul</t>
        </is>
      </c>
      <c r="G512" s="8" t="n">
        <v>0.07000000000000001</v>
      </c>
      <c r="H512" s="11" t="inlineStr">
        <is>
          <t>Edge of Eternity</t>
        </is>
      </c>
      <c r="I512" s="11" t="inlineStr">
        <is>
          <t>Não</t>
        </is>
      </c>
      <c r="J512" s="11" t="n">
        <v>2025</v>
      </c>
      <c r="L512" s="11" t="n">
        <v>1</v>
      </c>
      <c r="M512" s="8">
        <f>L512*G512</f>
        <v/>
      </c>
      <c r="P512" s="9" t="n"/>
    </row>
    <row r="513">
      <c r="A513" s="11" t="inlineStr">
        <is>
          <t>Illvoi Light Jammer / Bloqueador de Luz de Illvoi</t>
        </is>
      </c>
      <c r="B513" s="11" t="inlineStr">
        <is>
          <t>Artefato — Equipamento</t>
        </is>
      </c>
      <c r="C513" s="11" t="inlineStr">
        <is>
          <t>Comum</t>
        </is>
      </c>
      <c r="D513" s="11"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3" s="11" t="inlineStr">
        <is>
          <t>1{U}</t>
        </is>
      </c>
      <c r="F513" s="11" t="inlineStr">
        <is>
          <t>Azul</t>
        </is>
      </c>
      <c r="G513" s="8" t="n">
        <v>0.05</v>
      </c>
      <c r="H513" s="11" t="inlineStr">
        <is>
          <t>Edge of Eternity</t>
        </is>
      </c>
      <c r="I513" s="11" t="inlineStr">
        <is>
          <t>Não</t>
        </is>
      </c>
      <c r="J513" s="11" t="n">
        <v>2025</v>
      </c>
      <c r="L513" s="11" t="n">
        <v>1</v>
      </c>
      <c r="M513" s="8">
        <f>L513*G513</f>
        <v/>
      </c>
      <c r="P513" s="9" t="n"/>
    </row>
    <row r="514">
      <c r="A514" s="11" t="inlineStr">
        <is>
          <t>Mechan Assembler / Montador Mecano</t>
        </is>
      </c>
      <c r="B514" s="11" t="inlineStr">
        <is>
          <t>Criatura Artefato — Robô Artífice</t>
        </is>
      </c>
      <c r="C514" s="11" t="inlineStr">
        <is>
          <t>Incomum</t>
        </is>
      </c>
      <c r="D514" s="11" t="inlineStr">
        <is>
          <t>Sempre que outro artefato que você controla entrar, crie uma ficha de criatura artefato Robô incolor 2/2. Esta habilidade é desencadeada apenas uma vez a cada turno.</t>
        </is>
      </c>
      <c r="E514" s="11" t="inlineStr">
        <is>
          <t>4{U}</t>
        </is>
      </c>
      <c r="F514" s="11" t="inlineStr">
        <is>
          <t>Azul</t>
        </is>
      </c>
      <c r="G514" s="8" t="n">
        <v>0.1</v>
      </c>
      <c r="H514" s="11" t="inlineStr">
        <is>
          <t>Edge of Eternity</t>
        </is>
      </c>
      <c r="I514" s="11" t="inlineStr">
        <is>
          <t>Não</t>
        </is>
      </c>
      <c r="J514" s="11" t="n">
        <v>2025</v>
      </c>
      <c r="K514" s="10" t="n">
        <v>46116</v>
      </c>
      <c r="L514" s="11" t="n">
        <v>1</v>
      </c>
      <c r="M514" s="8">
        <f>L514*G514</f>
        <v/>
      </c>
      <c r="P514" s="9" t="n"/>
    </row>
    <row r="515">
      <c r="A515" s="11" t="inlineStr">
        <is>
          <t>Mechanozoa / Mecanozoário</t>
        </is>
      </c>
      <c r="B515" s="11" t="inlineStr">
        <is>
          <t>Criatura Artefato — Robô Água-viva</t>
        </is>
      </c>
      <c r="C515" s="11" t="inlineStr">
        <is>
          <t>Comum</t>
        </is>
      </c>
      <c r="D515" s="11"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5" s="11" t="inlineStr">
        <is>
          <t>4{U}{U}</t>
        </is>
      </c>
      <c r="F515" s="11" t="inlineStr">
        <is>
          <t>Azul</t>
        </is>
      </c>
      <c r="G515" s="8" t="n">
        <v>0.05</v>
      </c>
      <c r="H515" s="11" t="inlineStr">
        <is>
          <t>Edge of Eternity</t>
        </is>
      </c>
      <c r="I515" s="11" t="inlineStr">
        <is>
          <t>Não</t>
        </is>
      </c>
      <c r="J515" s="11" t="n">
        <v>2025</v>
      </c>
      <c r="K515" s="10" t="n">
        <v>46147</v>
      </c>
      <c r="L515" s="11" t="n">
        <v>1</v>
      </c>
      <c r="M515" s="8">
        <f>L515*G515</f>
        <v/>
      </c>
      <c r="P515" s="9" t="n"/>
    </row>
    <row r="516">
      <c r="A516" s="11" t="inlineStr">
        <is>
          <t>Mechanozoa / Mecanozoário</t>
        </is>
      </c>
      <c r="B516" s="11" t="inlineStr">
        <is>
          <t>Criatura Artefato — Robô Água-viva</t>
        </is>
      </c>
      <c r="C516" s="11" t="inlineStr">
        <is>
          <t>Comum</t>
        </is>
      </c>
      <c r="D516" s="11"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6" s="11" t="inlineStr">
        <is>
          <t>4{U}{U}</t>
        </is>
      </c>
      <c r="F516" s="11" t="inlineStr">
        <is>
          <t>Azul</t>
        </is>
      </c>
      <c r="G516" s="8" t="n">
        <v>0.05</v>
      </c>
      <c r="H516" s="11" t="inlineStr">
        <is>
          <t>Edge of Eternity</t>
        </is>
      </c>
      <c r="I516" s="11" t="inlineStr">
        <is>
          <t>Sim</t>
        </is>
      </c>
      <c r="J516" s="11" t="n">
        <v>2025</v>
      </c>
      <c r="K516" s="10" t="n">
        <v>46147</v>
      </c>
      <c r="L516" s="11" t="n">
        <v>1</v>
      </c>
      <c r="M516" s="8" t="n">
        <v>0.2</v>
      </c>
      <c r="P516" s="9" t="n"/>
    </row>
    <row r="517">
      <c r="A517" s="11" t="inlineStr">
        <is>
          <t>Mental Modulation / Modulação Mental</t>
        </is>
      </c>
      <c r="B517" s="11" t="inlineStr">
        <is>
          <t>Mágica Instantânea</t>
        </is>
      </c>
      <c r="C517" s="11" t="inlineStr">
        <is>
          <t>Comum</t>
        </is>
      </c>
      <c r="D517" s="11" t="inlineStr">
        <is>
          <t>Esta mágica custa {1} a menos para ser conjurada durante o seu turno. Vire o artefato ou a criatura alvo. Compre um card.</t>
        </is>
      </c>
      <c r="E517" s="11" t="inlineStr">
        <is>
          <t>1{U}</t>
        </is>
      </c>
      <c r="F517" s="11" t="inlineStr">
        <is>
          <t>Azul</t>
        </is>
      </c>
      <c r="G517" s="8" t="n">
        <v>0.05</v>
      </c>
      <c r="H517" s="11" t="inlineStr">
        <is>
          <t>Edge of Eternity</t>
        </is>
      </c>
      <c r="I517" s="11" t="inlineStr">
        <is>
          <t>Não</t>
        </is>
      </c>
      <c r="J517" s="11" t="n">
        <v>2025</v>
      </c>
      <c r="L517" s="11" t="n">
        <v>2</v>
      </c>
      <c r="M517" s="8">
        <f>L517*G517</f>
        <v/>
      </c>
      <c r="P517" s="9" t="n"/>
    </row>
    <row r="518">
      <c r="A518" s="11" t="inlineStr">
        <is>
          <t>Mental Modulation / Modulação Mental</t>
        </is>
      </c>
      <c r="B518" s="11" t="inlineStr">
        <is>
          <t>Mágica Instantânea</t>
        </is>
      </c>
      <c r="C518" s="11" t="inlineStr">
        <is>
          <t>Comum</t>
        </is>
      </c>
      <c r="D518" s="11" t="inlineStr">
        <is>
          <t>Esta mágica custa {1} a menos para ser conjurada durante o seu turno. Vire o artefato ou a criatura alvo. Compre um card.</t>
        </is>
      </c>
      <c r="E518" s="11" t="inlineStr">
        <is>
          <t>1{U}</t>
        </is>
      </c>
      <c r="F518" s="11" t="inlineStr">
        <is>
          <t>Azul</t>
        </is>
      </c>
      <c r="G518" s="8" t="n">
        <v>0.17</v>
      </c>
      <c r="H518" s="11" t="inlineStr">
        <is>
          <t>Edge of Eternity</t>
        </is>
      </c>
      <c r="I518" s="11" t="inlineStr">
        <is>
          <t>Sim</t>
        </is>
      </c>
      <c r="J518" s="11" t="n">
        <v>2025</v>
      </c>
      <c r="L518" s="11" t="n">
        <v>2</v>
      </c>
      <c r="M518" s="8">
        <f>L518*G518</f>
        <v/>
      </c>
      <c r="P518" s="9" t="n"/>
    </row>
    <row r="519">
      <c r="A519" s="11" t="inlineStr">
        <is>
          <t>Nanoform Sentinel / Sentinela Nanoforma</t>
        </is>
      </c>
      <c r="B519" s="11" t="inlineStr">
        <is>
          <t>Criatura Artefato — Robô</t>
        </is>
      </c>
      <c r="C519" s="11" t="inlineStr">
        <is>
          <t>Comum</t>
        </is>
      </c>
      <c r="D519" s="11" t="inlineStr">
        <is>
          <t>Sempre que esta criatura torna-se virada, desvire outra permanente alvo. Esta habilidade é desencadeada apenas uma vez a cada turno.</t>
        </is>
      </c>
      <c r="E519" s="11" t="inlineStr">
        <is>
          <t>2{U}</t>
        </is>
      </c>
      <c r="F519" s="11" t="inlineStr">
        <is>
          <t>Azul</t>
        </is>
      </c>
      <c r="G519" s="8" t="n">
        <v>0.06</v>
      </c>
      <c r="H519" s="11" t="inlineStr">
        <is>
          <t>Edge of Eternity</t>
        </is>
      </c>
      <c r="I519" s="11" t="inlineStr">
        <is>
          <t>Não</t>
        </is>
      </c>
      <c r="J519" s="11" t="n">
        <v>2025</v>
      </c>
      <c r="K519" s="10" t="n">
        <v>46056</v>
      </c>
      <c r="L519" s="11" t="n">
        <v>1</v>
      </c>
      <c r="M519" s="8">
        <f>L519*G519</f>
        <v/>
      </c>
      <c r="P519" s="9" t="n"/>
    </row>
    <row r="520">
      <c r="A520" s="11" t="inlineStr">
        <is>
          <t>Sinister Cryologist / Criologista Sinistro</t>
        </is>
      </c>
      <c r="B520" s="11" t="inlineStr">
        <is>
          <t>Criatura — Água-viva Mago</t>
        </is>
      </c>
      <c r="C520" s="11" t="inlineStr">
        <is>
          <t>Comum</t>
        </is>
      </c>
      <c r="D520" s="11"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20" s="11" t="inlineStr">
        <is>
          <t>2{U}</t>
        </is>
      </c>
      <c r="F520" s="11" t="inlineStr">
        <is>
          <t>Azul</t>
        </is>
      </c>
      <c r="G520" s="8" t="n">
        <v>0.05</v>
      </c>
      <c r="H520" s="11" t="inlineStr">
        <is>
          <t>Edge of Eternity</t>
        </is>
      </c>
      <c r="I520" s="11" t="inlineStr">
        <is>
          <t>Não</t>
        </is>
      </c>
      <c r="J520" s="11" t="n">
        <v>2025</v>
      </c>
      <c r="K520" s="10" t="n">
        <v>46083</v>
      </c>
      <c r="L520" s="11" t="n">
        <v>1</v>
      </c>
      <c r="M520" s="8">
        <f>L520*G520</f>
        <v/>
      </c>
      <c r="P520" s="9" t="n"/>
    </row>
    <row r="521">
      <c r="A521" s="11" t="inlineStr">
        <is>
          <t>Tractor Beam / Raio Trator</t>
        </is>
      </c>
      <c r="B521" s="11" t="inlineStr">
        <is>
          <t>Encantamento — Aura</t>
        </is>
      </c>
      <c r="C521" s="11" t="inlineStr">
        <is>
          <t>Incomum</t>
        </is>
      </c>
      <c r="D521" s="11" t="inlineStr">
        <is>
          <t>Encantar criatura ou Nave Espacial. Quando esta Aura entrar, vire a permanente encantada. Você controla a permanente encantada. A permanente encantada não é desvirada durante a etapa de desvirar de seu controlador.</t>
        </is>
      </c>
      <c r="E521" s="11" t="inlineStr">
        <is>
          <t>2{U}{U}</t>
        </is>
      </c>
      <c r="F521" s="11" t="inlineStr">
        <is>
          <t>Azul</t>
        </is>
      </c>
      <c r="G521" s="8" t="n">
        <v>0.15</v>
      </c>
      <c r="H521" s="11" t="inlineStr">
        <is>
          <t>Edge of Eternity</t>
        </is>
      </c>
      <c r="I521" s="11" t="inlineStr">
        <is>
          <t>Não</t>
        </is>
      </c>
      <c r="J521" s="11" t="n">
        <v>2025</v>
      </c>
      <c r="L521" s="11" t="n">
        <v>2</v>
      </c>
      <c r="M521" s="8">
        <f>L521*G521</f>
        <v/>
      </c>
      <c r="P521" s="9" t="n"/>
    </row>
    <row r="522">
      <c r="A522" s="11" t="inlineStr">
        <is>
          <t>Chorale of the Void / Coral do Vazio</t>
        </is>
      </c>
      <c r="B522" s="11" t="inlineStr">
        <is>
          <t>Encantamento — Aura</t>
        </is>
      </c>
      <c r="C522" s="11" t="inlineStr">
        <is>
          <t>Rara</t>
        </is>
      </c>
      <c r="D522" s="11"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22" s="11" t="inlineStr">
        <is>
          <t>3{B}</t>
        </is>
      </c>
      <c r="F522" s="11" t="inlineStr">
        <is>
          <t>Preto</t>
        </is>
      </c>
      <c r="G522" s="8" t="n">
        <v>0.32</v>
      </c>
      <c r="H522" s="11" t="inlineStr">
        <is>
          <t>Edge of Eternity</t>
        </is>
      </c>
      <c r="I522" s="11" t="inlineStr">
        <is>
          <t>Não</t>
        </is>
      </c>
      <c r="J522" s="11" t="n">
        <v>2025</v>
      </c>
      <c r="L522" s="11" t="n">
        <v>1</v>
      </c>
      <c r="M522" s="8">
        <f>L522*G522</f>
        <v/>
      </c>
      <c r="P522" s="9" t="n"/>
    </row>
    <row r="523">
      <c r="A523" s="11" t="inlineStr">
        <is>
          <t>Comet Crawler / Rastejador de Cometa</t>
        </is>
      </c>
      <c r="B523" s="11" t="inlineStr">
        <is>
          <t>Criatura — Inseto Horror</t>
        </is>
      </c>
      <c r="C523" s="11" t="inlineStr">
        <is>
          <t>Comum</t>
        </is>
      </c>
      <c r="D523" s="11" t="inlineStr">
        <is>
          <t>Vínculo com a vida. Sempre que esta criatura atacar, você pode sacrificar outra criatura ou artefato. Se fizer isso, esta criatura receberá +2/+0 até o final do turno.</t>
        </is>
      </c>
      <c r="E523" s="11" t="inlineStr">
        <is>
          <t>2{B}</t>
        </is>
      </c>
      <c r="F523" s="11" t="inlineStr">
        <is>
          <t>Preto</t>
        </is>
      </c>
      <c r="G523" s="8" t="n">
        <v>0.05</v>
      </c>
      <c r="H523" s="11" t="inlineStr">
        <is>
          <t>Edge of Eternity</t>
        </is>
      </c>
      <c r="I523" s="11" t="inlineStr">
        <is>
          <t>Não</t>
        </is>
      </c>
      <c r="J523" s="11" t="n">
        <v>2025</v>
      </c>
      <c r="K523" s="10" t="n">
        <v>46083</v>
      </c>
      <c r="L523" s="11" t="n">
        <v>1</v>
      </c>
      <c r="M523" s="8">
        <f>L523*G523</f>
        <v/>
      </c>
      <c r="P523" s="9" t="n"/>
    </row>
    <row r="524">
      <c r="A524" s="11" t="inlineStr">
        <is>
          <t>Dark Endurance / Resistência Sombria</t>
        </is>
      </c>
      <c r="B524" s="11" t="inlineStr">
        <is>
          <t>Mágica Instantânea</t>
        </is>
      </c>
      <c r="C524" s="11" t="inlineStr">
        <is>
          <t>Comum</t>
        </is>
      </c>
      <c r="D524" s="11" t="inlineStr">
        <is>
          <t>Esta mágica custa {1} a menos para ser conjurada se tiver como alvo uma criatura bloqueadora. A criatura alvo recebe +2/+0 e ganha indestrutível até o final do turno. (O dano e os efeitos que dizem "destrua" não a destroem.)</t>
        </is>
      </c>
      <c r="E524" s="11" t="inlineStr">
        <is>
          <t>1{B}</t>
        </is>
      </c>
      <c r="F524" s="11" t="inlineStr">
        <is>
          <t>Preto</t>
        </is>
      </c>
      <c r="G524" s="8" t="n">
        <v>0.05</v>
      </c>
      <c r="H524" s="11" t="inlineStr">
        <is>
          <t>Edge of Eternity</t>
        </is>
      </c>
      <c r="I524" s="11" t="inlineStr">
        <is>
          <t>Não</t>
        </is>
      </c>
      <c r="J524" s="11" t="n">
        <v>2025</v>
      </c>
      <c r="L524" s="11" t="n">
        <v>1</v>
      </c>
      <c r="M524" s="8">
        <f>L524*G524</f>
        <v/>
      </c>
      <c r="P524" s="9" t="n"/>
    </row>
    <row r="525">
      <c r="A525" s="11" t="inlineStr">
        <is>
          <t>Depressurize / Despressurizar</t>
        </is>
      </c>
      <c r="B525" s="11" t="inlineStr">
        <is>
          <t>Mágica Instantânea</t>
        </is>
      </c>
      <c r="C525" s="11" t="inlineStr">
        <is>
          <t>Comum</t>
        </is>
      </c>
      <c r="D525" s="11" t="inlineStr">
        <is>
          <t>A criatura alvo recebe -3/-0 até o final do turno. Depois, se o poder daquela criatura for 0 ou menos, destrua-a.</t>
        </is>
      </c>
      <c r="E525" s="11" t="inlineStr">
        <is>
          <t>1{B}</t>
        </is>
      </c>
      <c r="F525" s="11" t="inlineStr">
        <is>
          <t>Preto</t>
        </is>
      </c>
      <c r="G525" s="8" t="n">
        <v>0.05</v>
      </c>
      <c r="H525" s="11" t="inlineStr">
        <is>
          <t>Edge of Eternity</t>
        </is>
      </c>
      <c r="I525" s="11" t="inlineStr">
        <is>
          <t>Não</t>
        </is>
      </c>
      <c r="J525" s="11" t="n">
        <v>2025</v>
      </c>
      <c r="L525" s="11" t="n">
        <v>1</v>
      </c>
      <c r="M525" s="8">
        <f>L525*G525</f>
        <v/>
      </c>
      <c r="P525" s="9" t="n"/>
    </row>
    <row r="526">
      <c r="A526" s="11" t="inlineStr">
        <is>
          <t>Embrace Oblivion / Abraçar o Esquecimento</t>
        </is>
      </c>
      <c r="B526" s="11" t="inlineStr">
        <is>
          <t>Feitiço</t>
        </is>
      </c>
      <c r="C526" s="11" t="inlineStr">
        <is>
          <t>Comum</t>
        </is>
      </c>
      <c r="D526" s="11" t="inlineStr">
        <is>
          <t>Como um custo adicional para conjurar esta mágica, sacrifique um artefato ou criatura. Destrua a criatura ou Nave Espacial alvo.</t>
        </is>
      </c>
      <c r="E526" s="11" t="inlineStr">
        <is>
          <t>{B}</t>
        </is>
      </c>
      <c r="F526" s="11" t="inlineStr">
        <is>
          <t>Preto</t>
        </is>
      </c>
      <c r="G526" s="8" t="n">
        <v>0.24</v>
      </c>
      <c r="H526" s="11" t="inlineStr">
        <is>
          <t>Edge of Eternity</t>
        </is>
      </c>
      <c r="I526" s="11" t="inlineStr">
        <is>
          <t>Sim</t>
        </is>
      </c>
      <c r="J526" s="11" t="n">
        <v>2025</v>
      </c>
      <c r="L526" s="11" t="n">
        <v>1</v>
      </c>
      <c r="M526" s="8">
        <f>L526*G526</f>
        <v/>
      </c>
      <c r="P526" s="9" t="n"/>
    </row>
    <row r="527">
      <c r="A527" s="11" t="inlineStr">
        <is>
          <t>Hymn of the Faller / Hino do Caído</t>
        </is>
      </c>
      <c r="B527" s="11" t="inlineStr">
        <is>
          <t>Feitiço</t>
        </is>
      </c>
      <c r="C527" s="11" t="inlineStr">
        <is>
          <t>Incomum</t>
        </is>
      </c>
      <c r="D527" s="11"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7" s="11" t="inlineStr">
        <is>
          <t>1{B}</t>
        </is>
      </c>
      <c r="F527" s="11" t="inlineStr">
        <is>
          <t>Preto</t>
        </is>
      </c>
      <c r="G527" s="8" t="n">
        <v>0.2</v>
      </c>
      <c r="H527" s="11" t="inlineStr">
        <is>
          <t>Edge of Eternity</t>
        </is>
      </c>
      <c r="I527" s="11" t="inlineStr">
        <is>
          <t>Não</t>
        </is>
      </c>
      <c r="J527" s="11" t="n">
        <v>2025</v>
      </c>
      <c r="L527" s="11" t="n">
        <v>2</v>
      </c>
      <c r="M527" s="8">
        <f>L527*G527</f>
        <v/>
      </c>
      <c r="P527" s="9" t="n"/>
    </row>
    <row r="528">
      <c r="A528" s="11" t="inlineStr">
        <is>
          <t>Vote Out / Eliminar pelo Voto</t>
        </is>
      </c>
      <c r="B528" s="11" t="inlineStr">
        <is>
          <t>Feitiço</t>
        </is>
      </c>
      <c r="C528" s="11" t="inlineStr">
        <is>
          <t>Incomum</t>
        </is>
      </c>
      <c r="D528" s="11" t="inlineStr">
        <is>
          <t>Convocar (Suas criaturas podem ajudar a conjurar esta mágica. Cada criatura que você vira ao conjurar esta mágica paga por {1} ou por um mana da cor daquela criatura.) Destrua a criatura alvo.</t>
        </is>
      </c>
      <c r="E528" s="11" t="inlineStr">
        <is>
          <t>3{B}</t>
        </is>
      </c>
      <c r="F528" s="11" t="inlineStr">
        <is>
          <t>Preto</t>
        </is>
      </c>
      <c r="G528" s="8" t="n">
        <v>0.09</v>
      </c>
      <c r="H528" s="11" t="inlineStr">
        <is>
          <t>Edge of Eternity</t>
        </is>
      </c>
      <c r="I528" s="11" t="inlineStr">
        <is>
          <t>Não</t>
        </is>
      </c>
      <c r="J528" s="11" t="n">
        <v>2025</v>
      </c>
      <c r="L528" s="11" t="n">
        <v>1</v>
      </c>
      <c r="M528" s="8">
        <f>L528*G528</f>
        <v/>
      </c>
      <c r="P528" s="9" t="n"/>
    </row>
    <row r="529">
      <c r="A529" s="11" t="inlineStr">
        <is>
          <t>Zero Point Ballad / Balada do Ponto Zero</t>
        </is>
      </c>
      <c r="B529" s="11" t="inlineStr">
        <is>
          <t>Feitiço</t>
        </is>
      </c>
      <c r="C529" s="11" t="inlineStr">
        <is>
          <t>Rara</t>
        </is>
      </c>
      <c r="D529" s="11" t="inlineStr">
        <is>
          <t>Destrua todas as criaturas com resistência X ou menos. Você perde X pontos de vida. Se X for 6 ou mais, devolva um card de criatura colocado em um cemitério desta forma para o campo de batalha sob o seu controle.</t>
        </is>
      </c>
      <c r="E529" s="11" t="inlineStr">
        <is>
          <t>{X}{B}</t>
        </is>
      </c>
      <c r="F529" s="11" t="inlineStr">
        <is>
          <t>Preto</t>
        </is>
      </c>
      <c r="G529" s="8" t="n">
        <v>0.95</v>
      </c>
      <c r="H529" s="11" t="inlineStr">
        <is>
          <t>Edge of Eternity</t>
        </is>
      </c>
      <c r="I529" s="11" t="inlineStr">
        <is>
          <t>Não</t>
        </is>
      </c>
      <c r="J529" s="11" t="n">
        <v>2025</v>
      </c>
      <c r="L529" s="11" t="n">
        <v>1</v>
      </c>
      <c r="M529" s="8">
        <f>L529*G529</f>
        <v/>
      </c>
      <c r="P529" s="9" t="n"/>
    </row>
    <row r="530">
      <c r="A530" s="11" t="inlineStr">
        <is>
          <t>Gravpack Monoist / Monoísta de Gravpack</t>
        </is>
      </c>
      <c r="B530" s="11" t="inlineStr">
        <is>
          <t>Criatura — Humano Batedor</t>
        </is>
      </c>
      <c r="C530" s="11" t="inlineStr">
        <is>
          <t>Comum</t>
        </is>
      </c>
      <c r="D530" s="11" t="inlineStr">
        <is>
          <t>Voar. Quando esta criatura morrer, crie uma ficha de criatura artefato Robô incolor 2/2 virada.</t>
        </is>
      </c>
      <c r="E530" s="11" t="inlineStr">
        <is>
          <t>2{B}</t>
        </is>
      </c>
      <c r="F530" s="11" t="inlineStr">
        <is>
          <t>Preto</t>
        </is>
      </c>
      <c r="G530" s="8" t="n">
        <v>0.2</v>
      </c>
      <c r="H530" s="11" t="inlineStr">
        <is>
          <t>Edge of Eternity</t>
        </is>
      </c>
      <c r="I530" s="11" t="inlineStr">
        <is>
          <t>Sim</t>
        </is>
      </c>
      <c r="J530" s="11" t="n">
        <v>2025</v>
      </c>
      <c r="K530" s="10" t="n">
        <v>46024</v>
      </c>
      <c r="L530" s="11" t="n">
        <v>1</v>
      </c>
      <c r="M530" s="8">
        <f>L530*G530</f>
        <v/>
      </c>
      <c r="P530" s="9" t="n"/>
    </row>
    <row r="531">
      <c r="A531" s="11" t="inlineStr">
        <is>
          <t>Hullcarver / Escultor de Cascos</t>
        </is>
      </c>
      <c r="B531" s="11" t="inlineStr">
        <is>
          <t>Criatura Artefato — Robô Assassino</t>
        </is>
      </c>
      <c r="C531" s="11" t="inlineStr">
        <is>
          <t>Comum</t>
        </is>
      </c>
      <c r="D531" s="11" t="inlineStr">
        <is>
          <t>Toque mortífero</t>
        </is>
      </c>
      <c r="E531" s="11" t="inlineStr">
        <is>
          <t>{B}</t>
        </is>
      </c>
      <c r="F531" s="11" t="inlineStr">
        <is>
          <t>Preto</t>
        </is>
      </c>
      <c r="G531" s="8" t="n">
        <v>0.05</v>
      </c>
      <c r="H531" s="11" t="inlineStr">
        <is>
          <t>Edge of Eternity</t>
        </is>
      </c>
      <c r="I531" s="11" t="inlineStr">
        <is>
          <t>Não</t>
        </is>
      </c>
      <c r="J531" s="11" t="n">
        <v>2025</v>
      </c>
      <c r="K531" s="10" t="n">
        <v>46023</v>
      </c>
      <c r="L531" s="11" t="n">
        <v>2</v>
      </c>
      <c r="M531" s="8">
        <f>L531*G531</f>
        <v/>
      </c>
      <c r="P531" s="9" t="n"/>
    </row>
    <row r="532">
      <c r="A532" s="11" t="inlineStr">
        <is>
          <t>Entropic Battlecruiser / Cruzador de Batalha Entrópico</t>
        </is>
      </c>
      <c r="B532" s="11" t="inlineStr">
        <is>
          <t>Artefato — Nave Espacial</t>
        </is>
      </c>
      <c r="C532" s="11" t="inlineStr">
        <is>
          <t>Rara</t>
        </is>
      </c>
      <c r="D532" s="11"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32" s="11" t="inlineStr">
        <is>
          <t>3{B}</t>
        </is>
      </c>
      <c r="F532" s="11" t="inlineStr">
        <is>
          <t>Preto</t>
        </is>
      </c>
      <c r="G532" s="8" t="n">
        <v>0.44</v>
      </c>
      <c r="H532" s="11" t="inlineStr">
        <is>
          <t>Edge of Eternity</t>
        </is>
      </c>
      <c r="I532" s="11" t="inlineStr">
        <is>
          <t>Não</t>
        </is>
      </c>
      <c r="J532" s="11" t="n">
        <v>2025</v>
      </c>
      <c r="K532" s="10" t="n">
        <v>46298</v>
      </c>
      <c r="L532" s="11" t="n">
        <v>1</v>
      </c>
      <c r="M532" s="8">
        <f>L532*G532</f>
        <v/>
      </c>
      <c r="P532" s="9" t="n"/>
    </row>
    <row r="533">
      <c r="A533" s="11" t="inlineStr">
        <is>
          <t>Gravblade Heavy / Pesado de Lâmina Gravitacional</t>
        </is>
      </c>
      <c r="B533" s="11" t="inlineStr">
        <is>
          <t>Criatura — Humano Soldado</t>
        </is>
      </c>
      <c r="C533" s="11" t="inlineStr">
        <is>
          <t>Comum</t>
        </is>
      </c>
      <c r="D533" s="11" t="inlineStr">
        <is>
          <t>Enquanto você controlar um artefato, esta criatura receberá +1/+0 e terá toque mortífero.</t>
        </is>
      </c>
      <c r="E533" s="11" t="inlineStr">
        <is>
          <t>3{B}</t>
        </is>
      </c>
      <c r="F533" s="11" t="inlineStr">
        <is>
          <t>Preto</t>
        </is>
      </c>
      <c r="G533" s="8" t="n">
        <v>0.05</v>
      </c>
      <c r="H533" s="11" t="inlineStr">
        <is>
          <t>Edge of Eternity</t>
        </is>
      </c>
      <c r="I533" s="11" t="inlineStr">
        <is>
          <t>Não</t>
        </is>
      </c>
      <c r="J533" s="11" t="n">
        <v>2025</v>
      </c>
      <c r="K533" s="10" t="n">
        <v>46115</v>
      </c>
      <c r="L533" s="11" t="n">
        <v>1</v>
      </c>
      <c r="M533" s="8">
        <f>L533*G533</f>
        <v/>
      </c>
      <c r="P533" s="9" t="n"/>
    </row>
    <row r="534">
      <c r="A534" s="11" t="inlineStr">
        <is>
          <t>Monoist Sentry / Sentinela Monoísta</t>
        </is>
      </c>
      <c r="B534" s="11" t="inlineStr">
        <is>
          <t>Criatura Artefato — Robô</t>
        </is>
      </c>
      <c r="C534" s="11" t="inlineStr">
        <is>
          <t>Incomum</t>
        </is>
      </c>
      <c r="D534" s="11" t="inlineStr">
        <is>
          <t>Defensor</t>
        </is>
      </c>
      <c r="E534" s="11" t="inlineStr">
        <is>
          <t>{B}</t>
        </is>
      </c>
      <c r="F534" s="11" t="inlineStr">
        <is>
          <t>Preto</t>
        </is>
      </c>
      <c r="G534" s="8" t="n">
        <v>0.14</v>
      </c>
      <c r="H534" s="11" t="inlineStr">
        <is>
          <t>Edge of Eternity</t>
        </is>
      </c>
      <c r="I534" s="11" t="inlineStr">
        <is>
          <t>Não</t>
        </is>
      </c>
      <c r="J534" s="11" t="n">
        <v>2025</v>
      </c>
      <c r="K534" s="10" t="n">
        <v>46026</v>
      </c>
      <c r="L534" s="11" t="n">
        <v>1</v>
      </c>
      <c r="M534" s="8">
        <f>L534*G534</f>
        <v/>
      </c>
      <c r="P534" s="9" t="n"/>
    </row>
    <row r="535">
      <c r="A535" s="11" t="inlineStr">
        <is>
          <t>Banishing Light / Luz Banidora</t>
        </is>
      </c>
      <c r="B535" s="11" t="inlineStr">
        <is>
          <t>Encantamento</t>
        </is>
      </c>
      <c r="C535" s="11" t="inlineStr">
        <is>
          <t>Comum</t>
        </is>
      </c>
      <c r="D535" s="11" t="inlineStr">
        <is>
          <t>Quando este encantamento entrar, exile a permanente não de terreno alvo que um oponente controla até que este encantamento deixe o campo de batalha.</t>
        </is>
      </c>
      <c r="E535" s="11" t="inlineStr">
        <is>
          <t>2{W}</t>
        </is>
      </c>
      <c r="F535" s="11" t="inlineStr">
        <is>
          <t>Branco</t>
        </is>
      </c>
      <c r="G535" s="8" t="n">
        <v>0.05</v>
      </c>
      <c r="H535" s="11" t="inlineStr">
        <is>
          <t>Edge of Eternity</t>
        </is>
      </c>
      <c r="I535" s="11" t="inlineStr">
        <is>
          <t>Não</t>
        </is>
      </c>
      <c r="J535" s="11" t="n">
        <v>2025</v>
      </c>
      <c r="L535" s="11" t="n">
        <v>1</v>
      </c>
      <c r="M535" s="8">
        <f>L535*G535</f>
        <v/>
      </c>
      <c r="P535" s="9" t="n"/>
    </row>
    <row r="536">
      <c r="A536" s="11" t="inlineStr">
        <is>
          <t>Banishing Light / Luz Banidora</t>
        </is>
      </c>
      <c r="B536" s="11" t="inlineStr">
        <is>
          <t>Encantamento</t>
        </is>
      </c>
      <c r="C536" s="11" t="inlineStr">
        <is>
          <t>Comum</t>
        </is>
      </c>
      <c r="D536" s="11" t="inlineStr">
        <is>
          <t>Quando este encantamento entrar, exile a permanente não de terreno alvo que um oponente controla até que este encantamento deixe o campo de batalha.</t>
        </is>
      </c>
      <c r="E536" s="11" t="inlineStr">
        <is>
          <t>2{W}</t>
        </is>
      </c>
      <c r="F536" s="11" t="inlineStr">
        <is>
          <t>Branco</t>
        </is>
      </c>
      <c r="G536" s="8" t="n">
        <v>0.2</v>
      </c>
      <c r="H536" s="11" t="inlineStr">
        <is>
          <t>Edge of Eternity</t>
        </is>
      </c>
      <c r="I536" s="11" t="inlineStr">
        <is>
          <t>Sim</t>
        </is>
      </c>
      <c r="J536" s="11" t="n">
        <v>2025</v>
      </c>
      <c r="L536" s="11" t="n">
        <v>1</v>
      </c>
      <c r="M536" s="8">
        <f>L536*G536</f>
        <v/>
      </c>
      <c r="P536" s="9" t="n"/>
    </row>
    <row r="537">
      <c r="A537" s="11" t="inlineStr">
        <is>
          <t>Banishing Light / Luz Banidora</t>
        </is>
      </c>
      <c r="B537" s="11" t="inlineStr">
        <is>
          <t>Encantamento</t>
        </is>
      </c>
      <c r="C537" s="11" t="inlineStr">
        <is>
          <t>Comum</t>
        </is>
      </c>
      <c r="D537" s="11" t="inlineStr">
        <is>
          <t>Quando este encantamento entrar, exile a permanente não de terreno alvo que um oponente controla até que este encantamento deixe o campo de batalha.</t>
        </is>
      </c>
      <c r="E537" s="11" t="inlineStr">
        <is>
          <t>2{W}</t>
        </is>
      </c>
      <c r="F537" s="11" t="inlineStr">
        <is>
          <t>Branco</t>
        </is>
      </c>
      <c r="G537" s="8" t="n">
        <v>0.05</v>
      </c>
      <c r="H537" s="11" t="inlineStr">
        <is>
          <t>Edge of Eternity</t>
        </is>
      </c>
      <c r="I537" s="11" t="inlineStr">
        <is>
          <t>Não</t>
        </is>
      </c>
      <c r="J537" s="11" t="n">
        <v>2025</v>
      </c>
      <c r="L537" s="11" t="n">
        <v>3</v>
      </c>
      <c r="M537" s="8">
        <f>L537*G537</f>
        <v/>
      </c>
      <c r="P537" s="9" t="n"/>
    </row>
    <row r="538">
      <c r="A538" s="11" t="inlineStr">
        <is>
          <t>Rescue Skiff / Esquife de Resgate</t>
        </is>
      </c>
      <c r="B538" s="11" t="inlineStr">
        <is>
          <t>Artefato — Nave Espacial</t>
        </is>
      </c>
      <c r="C538" s="11" t="inlineStr">
        <is>
          <t>Incomum</t>
        </is>
      </c>
      <c r="D538" s="11"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8" s="11" t="inlineStr">
        <is>
          <t>5{W}</t>
        </is>
      </c>
      <c r="F538" s="11" t="inlineStr">
        <is>
          <t>Branco</t>
        </is>
      </c>
      <c r="G538" s="8" t="n">
        <v>0.09</v>
      </c>
      <c r="H538" s="11" t="inlineStr">
        <is>
          <t>Edge of Eternity</t>
        </is>
      </c>
      <c r="I538" s="11" t="inlineStr">
        <is>
          <t>Não</t>
        </is>
      </c>
      <c r="J538" s="11" t="n">
        <v>2025</v>
      </c>
      <c r="K538" s="10" t="n">
        <v>46178</v>
      </c>
      <c r="L538" s="11" t="n">
        <v>1</v>
      </c>
      <c r="M538" s="8">
        <f>L538*G538</f>
        <v/>
      </c>
      <c r="P538" s="9" t="n"/>
    </row>
    <row r="539">
      <c r="A539" s="11" t="inlineStr">
        <is>
          <t>Squire's Lightblade / Lâmina de Luz do Escudeiro</t>
        </is>
      </c>
      <c r="B539" s="11" t="inlineStr">
        <is>
          <t>Artefato — Equipamento</t>
        </is>
      </c>
      <c r="C539" s="11" t="inlineStr">
        <is>
          <t>Comum</t>
        </is>
      </c>
      <c r="D539" s="11" t="inlineStr">
        <is>
          <t>Lampejo. Quando este Equipamento entrar, anexe-o à criatura alvo que você controla. Aquela criatura ganha iniciativa até o final do turno. A criatura equipada recebe +1/+0. Equipar {3}</t>
        </is>
      </c>
      <c r="E539" s="11" t="inlineStr">
        <is>
          <t>{W}</t>
        </is>
      </c>
      <c r="F539" s="11" t="inlineStr">
        <is>
          <t>Branco</t>
        </is>
      </c>
      <c r="G539" s="8" t="n">
        <v>0.05</v>
      </c>
      <c r="H539" s="11" t="inlineStr">
        <is>
          <t>Edge of Eternity</t>
        </is>
      </c>
      <c r="I539" s="11" t="inlineStr">
        <is>
          <t>Não</t>
        </is>
      </c>
      <c r="J539" s="11" t="n">
        <v>2025</v>
      </c>
      <c r="L539" s="11" t="n">
        <v>1</v>
      </c>
      <c r="M539" s="8">
        <f>L539*G539</f>
        <v/>
      </c>
      <c r="P539" s="9" t="n"/>
    </row>
    <row r="540">
      <c r="A540" s="11" t="inlineStr">
        <is>
          <t>Dockworker Drone / Drone Estivador</t>
        </is>
      </c>
      <c r="B540" s="11" t="inlineStr">
        <is>
          <t>Criatura Artefato — Robô</t>
        </is>
      </c>
      <c r="C540" s="11" t="inlineStr">
        <is>
          <t>Comum</t>
        </is>
      </c>
      <c r="D540" s="11" t="inlineStr">
        <is>
          <t>Esta criatura entra com um marcador +1/+1 nela. Quando esta criatura morrer, coloque os marcadores dela na criatura alvo que você controla.</t>
        </is>
      </c>
      <c r="E540" s="11" t="inlineStr">
        <is>
          <t>1{W}</t>
        </is>
      </c>
      <c r="F540" s="11" t="inlineStr">
        <is>
          <t>Branco</t>
        </is>
      </c>
      <c r="G540" s="8" t="n">
        <v>0.1</v>
      </c>
      <c r="H540" s="11" t="inlineStr">
        <is>
          <t>Edge of Eternity</t>
        </is>
      </c>
      <c r="I540" s="11" t="inlineStr">
        <is>
          <t>Não</t>
        </is>
      </c>
      <c r="J540" s="11" t="n">
        <v>2025</v>
      </c>
      <c r="K540" s="10" t="n">
        <v>46023</v>
      </c>
      <c r="L540" s="11" t="n">
        <v>1</v>
      </c>
      <c r="M540" s="8">
        <f>L540*G540</f>
        <v/>
      </c>
      <c r="P540" s="9" t="n"/>
    </row>
    <row r="541">
      <c r="A541" s="11" t="inlineStr">
        <is>
          <t>Flight-Deck Coordinator / Coordenador de Convés de Voo</t>
        </is>
      </c>
      <c r="B541" s="11" t="inlineStr">
        <is>
          <t>Criatura — Humano Soldado</t>
        </is>
      </c>
      <c r="C541" s="11" t="inlineStr">
        <is>
          <t>Comum</t>
        </is>
      </c>
      <c r="D541" s="11" t="inlineStr">
        <is>
          <t>No início de sua etapa final, se você controlar duas ou mais criaturas viradas, você ganha 2 pontos de vida.</t>
        </is>
      </c>
      <c r="E541" s="11" t="inlineStr">
        <is>
          <t>2{W}</t>
        </is>
      </c>
      <c r="F541" s="11" t="inlineStr">
        <is>
          <t>Branco</t>
        </is>
      </c>
      <c r="G541" s="8" t="n">
        <v>0.05</v>
      </c>
      <c r="H541" s="11" t="inlineStr">
        <is>
          <t>Edge of Eternity</t>
        </is>
      </c>
      <c r="I541" s="11" t="inlineStr">
        <is>
          <t>Não</t>
        </is>
      </c>
      <c r="J541" s="11" t="n">
        <v>2025</v>
      </c>
      <c r="K541" s="10" t="n">
        <v>46084</v>
      </c>
      <c r="L541" s="11" t="n">
        <v>1</v>
      </c>
      <c r="M541" s="8">
        <f>L541*G541</f>
        <v/>
      </c>
      <c r="P541" s="9" t="n"/>
    </row>
    <row r="542">
      <c r="A542" s="11" t="inlineStr">
        <is>
          <t>Radiant Strike / Golpe Radiante</t>
        </is>
      </c>
      <c r="B542" s="11" t="inlineStr">
        <is>
          <t>Mágica Instantânea</t>
        </is>
      </c>
      <c r="C542" s="11" t="inlineStr">
        <is>
          <t>Comum</t>
        </is>
      </c>
      <c r="D542" s="11" t="inlineStr">
        <is>
          <t>Destrua o artefato ou criatura virada alvo. Você ganha 3 pontos de vida.</t>
        </is>
      </c>
      <c r="E542" s="11" t="inlineStr">
        <is>
          <t>3{W}</t>
        </is>
      </c>
      <c r="F542" s="11" t="inlineStr">
        <is>
          <t>Branco</t>
        </is>
      </c>
      <c r="G542" s="8" t="n">
        <v>0.05</v>
      </c>
      <c r="H542" s="11" t="inlineStr">
        <is>
          <t>Edge of Eternity</t>
        </is>
      </c>
      <c r="I542" s="11" t="inlineStr">
        <is>
          <t>Não</t>
        </is>
      </c>
      <c r="J542" s="11" t="n">
        <v>2025</v>
      </c>
      <c r="L542" s="11" t="n">
        <v>1</v>
      </c>
      <c r="M542" s="8">
        <f>L542*G542</f>
        <v/>
      </c>
      <c r="P542" s="9" t="n"/>
    </row>
    <row r="543">
      <c r="A543" s="11" t="inlineStr">
        <is>
          <t>Starfighter Pilot / Piloto de Caça Estelar</t>
        </is>
      </c>
      <c r="B543" s="11" t="inlineStr">
        <is>
          <t>Criatura — Humano Piloto</t>
        </is>
      </c>
      <c r="C543" s="11" t="inlineStr">
        <is>
          <t>Comum</t>
        </is>
      </c>
      <c r="D543" s="11" t="inlineStr">
        <is>
          <t>Sempre que esta criatura tornar-se virada, vigie 1. (Para vigiar 1, olhe o card do topo de seu grimório. Você pode colocá-lo em seu cemitério.)</t>
        </is>
      </c>
      <c r="E543" s="11" t="inlineStr">
        <is>
          <t>1{W}</t>
        </is>
      </c>
      <c r="F543" s="11" t="inlineStr">
        <is>
          <t>Branco</t>
        </is>
      </c>
      <c r="G543" s="8" t="n">
        <v>0.05</v>
      </c>
      <c r="H543" s="11" t="inlineStr">
        <is>
          <t>Edge of Eternity</t>
        </is>
      </c>
      <c r="I543" s="11" t="inlineStr">
        <is>
          <t>Não</t>
        </is>
      </c>
      <c r="J543" s="11" t="n">
        <v>2025</v>
      </c>
      <c r="K543" s="10" t="n">
        <v>46055</v>
      </c>
      <c r="L543" s="11" t="n">
        <v>1</v>
      </c>
      <c r="M543" s="8">
        <f>L543*G543</f>
        <v/>
      </c>
      <c r="P543" s="9" t="n"/>
    </row>
    <row r="544">
      <c r="A544" s="11" t="inlineStr">
        <is>
          <t>Sunstar Lightsmith / Forjador de Luz de Solestrela</t>
        </is>
      </c>
      <c r="B544" s="11" t="inlineStr">
        <is>
          <t>Criatura — Humano Artífice</t>
        </is>
      </c>
      <c r="C544" s="11" t="inlineStr">
        <is>
          <t>Incomum</t>
        </is>
      </c>
      <c r="D544" s="11" t="inlineStr">
        <is>
          <t>Sempre que você conjurar sua segunda mágica a cada turno, coloque um marcador +1/+1 nesta criatura e compre um card.</t>
        </is>
      </c>
      <c r="E544" s="11" t="inlineStr">
        <is>
          <t>3{W}</t>
        </is>
      </c>
      <c r="F544" s="11" t="inlineStr">
        <is>
          <t>Branco</t>
        </is>
      </c>
      <c r="G544" s="8" t="n">
        <v>0.15</v>
      </c>
      <c r="H544" s="11" t="inlineStr">
        <is>
          <t>Edge of Eternity</t>
        </is>
      </c>
      <c r="I544" s="11" t="inlineStr">
        <is>
          <t>Não</t>
        </is>
      </c>
      <c r="J544" s="11" t="n">
        <v>2025</v>
      </c>
      <c r="K544" s="10" t="n">
        <v>46084</v>
      </c>
      <c r="L544" s="11" t="n">
        <v>2</v>
      </c>
      <c r="M544" s="8">
        <f>L544*G544</f>
        <v/>
      </c>
      <c r="P544" s="9" t="n"/>
    </row>
    <row r="545">
      <c r="A545" s="11" t="inlineStr">
        <is>
          <t>Fractal Mascot / Mascote Fractal</t>
        </is>
      </c>
      <c r="B545" s="11" t="inlineStr">
        <is>
          <t>Criatura — Alce Fractal</t>
        </is>
      </c>
      <c r="C545" s="11" t="inlineStr">
        <is>
          <t>Comum</t>
        </is>
      </c>
      <c r="D545" s="11" t="inlineStr">
        <is>
          <t>Atropelar. Quando esta criatura entrar, vire a criatura alvo que um oponente controla. Coloque um marcador de atordoamento nela. (Se uma permanente com um marcador de atordoamento fosse se tornar desvirada, em vez disso, remova um dele.)</t>
        </is>
      </c>
      <c r="E545" s="11" t="inlineStr">
        <is>
          <t>4{G}{U}</t>
        </is>
      </c>
      <c r="F545" s="11" t="inlineStr">
        <is>
          <t>Multicolorido</t>
        </is>
      </c>
      <c r="G545" s="8" t="n">
        <v>0.05</v>
      </c>
      <c r="H545" s="11" t="inlineStr">
        <is>
          <t>Strixhaven: School of Mages (SOS)</t>
        </is>
      </c>
      <c r="I545" s="11" t="inlineStr">
        <is>
          <t>Não</t>
        </is>
      </c>
      <c r="J545" s="11" t="n">
        <v>2026</v>
      </c>
      <c r="K545" s="10" t="n">
        <v>46179</v>
      </c>
      <c r="L545" s="11" t="n">
        <v>5</v>
      </c>
      <c r="M545" s="8">
        <f>L545*G545</f>
        <v/>
      </c>
      <c r="P545" s="9" t="n"/>
    </row>
    <row r="546">
      <c r="A546" s="11" t="inlineStr">
        <is>
          <t>Fractal Mascot / Mascote Fractal</t>
        </is>
      </c>
      <c r="B546" s="11" t="inlineStr">
        <is>
          <t>Criatura — Alce Fractal</t>
        </is>
      </c>
      <c r="C546" s="11" t="inlineStr">
        <is>
          <t>Comum</t>
        </is>
      </c>
      <c r="D546" s="11" t="inlineStr">
        <is>
          <t>Atropelar. Quando esta criatura entrar, vire a criatura alvo que um oponente controla. Coloque um marcador de atordoamento nela. (Se uma permanente com um marcador de atordoamento fosse se tornar desvirada, em vez disso, remova um dele.)</t>
        </is>
      </c>
      <c r="E546" s="11" t="inlineStr">
        <is>
          <t>4{G}{U}</t>
        </is>
      </c>
      <c r="F546" s="11" t="inlineStr">
        <is>
          <t>Multicolorido</t>
        </is>
      </c>
      <c r="G546" s="8" t="n">
        <v>0.29</v>
      </c>
      <c r="H546" s="11" t="inlineStr">
        <is>
          <t>Strixhaven: School of Mages (SOS)</t>
        </is>
      </c>
      <c r="I546" s="11" t="inlineStr">
        <is>
          <t>Sim</t>
        </is>
      </c>
      <c r="J546" s="11" t="n">
        <v>2026</v>
      </c>
      <c r="K546" s="10" t="n">
        <v>46179</v>
      </c>
      <c r="L546" s="11" t="n">
        <v>2</v>
      </c>
      <c r="M546" s="8">
        <f>L546*G546</f>
        <v/>
      </c>
      <c r="P546" s="9" t="n"/>
    </row>
    <row r="547">
      <c r="A547" s="11" t="inlineStr">
        <is>
          <t>Imperious Inkmage / Mago da Tinta Imperioso</t>
        </is>
      </c>
      <c r="B547" s="11" t="inlineStr">
        <is>
          <t>Criatura — Orc Bruxo</t>
        </is>
      </c>
      <c r="C547" s="11" t="inlineStr">
        <is>
          <t>Comum</t>
        </is>
      </c>
      <c r="D547" s="11" t="inlineStr">
        <is>
          <t>Vigilância. Quando esta criatura entrar, vigie 2. (Olhe os dois cards do topo de seu grimório, depois coloque qualquer número deles em seu cemitério e o restante no topo de seu grimório em qualquer ordem.)</t>
        </is>
      </c>
      <c r="E547" s="11" t="inlineStr">
        <is>
          <t>1{W}{B}</t>
        </is>
      </c>
      <c r="F547" s="11" t="inlineStr">
        <is>
          <t>Multicolorido</t>
        </is>
      </c>
      <c r="G547" s="8" t="n">
        <v>0.05</v>
      </c>
      <c r="H547" s="11" t="inlineStr">
        <is>
          <t>Strixhaven: School of Mages (SOS)</t>
        </is>
      </c>
      <c r="I547" s="11" t="inlineStr">
        <is>
          <t>Não</t>
        </is>
      </c>
      <c r="J547" s="11" t="n">
        <v>2026</v>
      </c>
      <c r="K547" s="10" t="n">
        <v>46084</v>
      </c>
      <c r="L547" s="11" t="n">
        <v>1</v>
      </c>
      <c r="M547" s="8">
        <f>L547*G547</f>
        <v/>
      </c>
      <c r="P547" s="9" t="n"/>
    </row>
    <row r="548">
      <c r="A548" s="11" t="inlineStr">
        <is>
          <t>Killian's Confidence / Confiança de Killian</t>
        </is>
      </c>
      <c r="B548" s="11" t="inlineStr">
        <is>
          <t>Feitiço</t>
        </is>
      </c>
      <c r="C548" s="11" t="inlineStr">
        <is>
          <t>Incomum</t>
        </is>
      </c>
      <c r="D548" s="11" t="inlineStr">
        <is>
          <t>A criatura alvo recebe +1/+1 até o final do turno. Compre um card. Sempre que uma ou mais criaturas que você controla causarem dano de combate a um jogador, você pode pagar {W/B}. Se fizer isso, devolva este card de seu cemitério para sua mão.</t>
        </is>
      </c>
      <c r="E548" s="11" t="inlineStr">
        <is>
          <t>{W}{B}</t>
        </is>
      </c>
      <c r="F548" s="11" t="inlineStr">
        <is>
          <t>Multicolorido</t>
        </is>
      </c>
      <c r="G548" s="8" t="n">
        <v>0.3</v>
      </c>
      <c r="H548" s="11" t="inlineStr">
        <is>
          <t>Strixhaven: School of Mages (SOS)</t>
        </is>
      </c>
      <c r="I548" s="11" t="inlineStr">
        <is>
          <t>Não</t>
        </is>
      </c>
      <c r="J548" s="11" t="n">
        <v>2026</v>
      </c>
      <c r="L548" s="11" t="n">
        <v>1</v>
      </c>
      <c r="M548" s="8">
        <f>L548*G548</f>
        <v/>
      </c>
      <c r="P548" s="9" t="n"/>
    </row>
    <row r="549">
      <c r="A549" s="11" t="inlineStr">
        <is>
          <t>Quandrix Charm / Amuleto de Quandrix</t>
        </is>
      </c>
      <c r="B549" s="11" t="inlineStr">
        <is>
          <t>Mágica Instantânea</t>
        </is>
      </c>
      <c r="C549" s="11" t="inlineStr">
        <is>
          <t>Incomum</t>
        </is>
      </c>
      <c r="D549" s="11" t="inlineStr">
        <is>
          <t>Escolha um — • Anule a mágica alvo, a menos que seu controlador pague {2}. • Destrua o encantamento alvo. • A criatura alvo tem poder e resistência básicos 5/5 até o final do turno.</t>
        </is>
      </c>
      <c r="E549" s="11" t="inlineStr">
        <is>
          <t>{G}{U}</t>
        </is>
      </c>
      <c r="F549" s="11" t="inlineStr">
        <is>
          <t>Multicolorido</t>
        </is>
      </c>
      <c r="G549" s="8" t="n">
        <v>0.37</v>
      </c>
      <c r="H549" s="11" t="inlineStr">
        <is>
          <t>Strixhaven: School of Mages (SOS)</t>
        </is>
      </c>
      <c r="I549" s="11" t="inlineStr">
        <is>
          <t>Não</t>
        </is>
      </c>
      <c r="J549" s="11" t="n">
        <v>2026</v>
      </c>
      <c r="L549" s="11" t="n">
        <v>1</v>
      </c>
      <c r="M549" s="8">
        <f>L549*G549</f>
        <v/>
      </c>
      <c r="P549" s="9" t="n"/>
    </row>
    <row r="550">
      <c r="A550" s="11" t="inlineStr">
        <is>
          <t>Render Speechless / Emudecer</t>
        </is>
      </c>
      <c r="B550" s="11" t="inlineStr">
        <is>
          <t>Feitiço</t>
        </is>
      </c>
      <c r="C550" s="11" t="inlineStr">
        <is>
          <t>Comum</t>
        </is>
      </c>
      <c r="D550" s="11" t="inlineStr">
        <is>
          <t>O oponente alvo revela a própria mão. Você escolhe um card não de terreno dela. Aquele jogador descarta aquele card. Coloque dois marcadores +1/+1 em até uma criatura alvo.</t>
        </is>
      </c>
      <c r="E550" s="11" t="inlineStr">
        <is>
          <t>2{W}{B}</t>
        </is>
      </c>
      <c r="F550" s="11" t="inlineStr">
        <is>
          <t>Multicolorido</t>
        </is>
      </c>
      <c r="G550" s="8" t="n">
        <v>0.09</v>
      </c>
      <c r="H550" s="11" t="inlineStr">
        <is>
          <t>Strixhaven: School of Mages (SOS)</t>
        </is>
      </c>
      <c r="I550" s="11" t="inlineStr">
        <is>
          <t>Não</t>
        </is>
      </c>
      <c r="J550" s="11" t="n">
        <v>2026</v>
      </c>
      <c r="L550" s="11" t="n">
        <v>1</v>
      </c>
      <c r="M550" s="8">
        <f>L550*G550</f>
        <v/>
      </c>
      <c r="P550" s="9" t="n"/>
    </row>
    <row r="551">
      <c r="A551" s="11" t="inlineStr">
        <is>
          <t>Scolding Administrator / Administrador Repreensor</t>
        </is>
      </c>
      <c r="B551" s="11" t="inlineStr">
        <is>
          <t>Criatura — Anão Clérigo</t>
        </is>
      </c>
      <c r="C551" s="11" t="inlineStr">
        <is>
          <t>Incomum</t>
        </is>
      </c>
      <c r="D551" s="11"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51" s="11" t="inlineStr">
        <is>
          <t>{W}{B}</t>
        </is>
      </c>
      <c r="F551" s="11" t="inlineStr">
        <is>
          <t>Multicolorido</t>
        </is>
      </c>
      <c r="G551" s="8" t="n">
        <v>0.2</v>
      </c>
      <c r="H551" s="11" t="inlineStr">
        <is>
          <t>Strixhaven: School of Mages (SOS)</t>
        </is>
      </c>
      <c r="I551" s="11" t="inlineStr">
        <is>
          <t>Não</t>
        </is>
      </c>
      <c r="J551" s="11" t="n">
        <v>2026</v>
      </c>
      <c r="K551" s="10" t="n">
        <v>46055</v>
      </c>
      <c r="L551" s="11" t="n">
        <v>1</v>
      </c>
      <c r="M551" s="8">
        <f>L551*G551</f>
        <v/>
      </c>
      <c r="P551" s="9" t="n"/>
    </row>
    <row r="552">
      <c r="A552" s="11" t="inlineStr">
        <is>
          <t>Spectacular Skywhale / Baleia Celestial Espetacular</t>
        </is>
      </c>
      <c r="B552" s="11" t="inlineStr">
        <is>
          <t>Criatura — Baleia Elemental</t>
        </is>
      </c>
      <c r="C552" s="11" t="inlineStr">
        <is>
          <t>Incomum</t>
        </is>
      </c>
      <c r="D552" s="11"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52" s="11" t="inlineStr">
        <is>
          <t>2{U}{R}</t>
        </is>
      </c>
      <c r="F552" s="11" t="inlineStr">
        <is>
          <t>Multicolorido</t>
        </is>
      </c>
      <c r="G552" s="8" t="n">
        <v>0.19</v>
      </c>
      <c r="H552" s="11" t="inlineStr">
        <is>
          <t>Strixhaven: School of Mages (SOS)</t>
        </is>
      </c>
      <c r="I552" s="11" t="inlineStr">
        <is>
          <t>Não</t>
        </is>
      </c>
      <c r="J552" s="11" t="n">
        <v>2026</v>
      </c>
      <c r="K552" s="10" t="n">
        <v>46113</v>
      </c>
      <c r="L552" s="11" t="n">
        <v>1</v>
      </c>
      <c r="M552" s="8">
        <f>L552*G552</f>
        <v/>
      </c>
      <c r="P552" s="9" t="n"/>
    </row>
    <row r="553">
      <c r="A553" s="11" t="inlineStr">
        <is>
          <t>Stadium Tidalmage / Mago das Marés do Estádio</t>
        </is>
      </c>
      <c r="B553" s="11" t="inlineStr">
        <is>
          <t>Criatura — Djinn Feiticeiro</t>
        </is>
      </c>
      <c r="C553" s="11" t="inlineStr">
        <is>
          <t>Comum</t>
        </is>
      </c>
      <c r="D553" s="11" t="inlineStr">
        <is>
          <t>Sempre que esta criatura entrar ou atacar, você pode comprar um card. Se fizer isso, descarte um card.</t>
        </is>
      </c>
      <c r="E553" s="11" t="inlineStr">
        <is>
          <t>2{U}{R}</t>
        </is>
      </c>
      <c r="F553" s="11" t="inlineStr">
        <is>
          <t>Multicolorido</t>
        </is>
      </c>
      <c r="G553" s="8" t="n">
        <v>0.08</v>
      </c>
      <c r="H553" s="11" t="inlineStr">
        <is>
          <t>Strixhaven: School of Mages (SOS)</t>
        </is>
      </c>
      <c r="I553" s="11" t="inlineStr">
        <is>
          <t>Não</t>
        </is>
      </c>
      <c r="J553" s="11" t="n">
        <v>2026</v>
      </c>
      <c r="K553" s="10" t="n">
        <v>46116</v>
      </c>
      <c r="L553" s="11" t="n">
        <v>2</v>
      </c>
      <c r="M553" s="8">
        <f>L553*G553</f>
        <v/>
      </c>
      <c r="P553" s="9" t="n"/>
    </row>
    <row r="554">
      <c r="A554" s="11" t="inlineStr">
        <is>
          <t>Startled Relic Sloth / Preguiça Relíquia Assustada</t>
        </is>
      </c>
      <c r="B554" s="11" t="inlineStr">
        <is>
          <t>Criatura — Preguiça Besta</t>
        </is>
      </c>
      <c r="C554" s="11" t="inlineStr">
        <is>
          <t>Incomum</t>
        </is>
      </c>
      <c r="D554" s="11" t="inlineStr">
        <is>
          <t>Atropelar, vínculo com a vida. No início do combate no seu turno, exile até um card alvo de um cemitério.</t>
        </is>
      </c>
      <c r="E554" s="11" t="inlineStr">
        <is>
          <t>2{R}{W}</t>
        </is>
      </c>
      <c r="F554" s="11" t="inlineStr">
        <is>
          <t>Multicolorido</t>
        </is>
      </c>
      <c r="G554" s="8" t="n">
        <v>0.19</v>
      </c>
      <c r="H554" s="11" t="inlineStr">
        <is>
          <t>Strixhaven: School of Mages (SOS)</t>
        </is>
      </c>
      <c r="I554" s="11" t="inlineStr">
        <is>
          <t>Não</t>
        </is>
      </c>
      <c r="J554" s="11" t="n">
        <v>2026</v>
      </c>
      <c r="K554" s="10" t="n">
        <v>46116</v>
      </c>
      <c r="L554" s="11" t="n">
        <v>2</v>
      </c>
      <c r="M554" s="8">
        <f>L554*G554</f>
        <v/>
      </c>
      <c r="P554" s="9" t="n"/>
    </row>
    <row r="555">
      <c r="A555" s="11" t="inlineStr">
        <is>
          <t>Wilt in the Heat / Murchar no Calor</t>
        </is>
      </c>
      <c r="B555" s="11" t="inlineStr">
        <is>
          <t>Mágica Instantânea</t>
        </is>
      </c>
      <c r="C555" s="11" t="inlineStr">
        <is>
          <t>Comum</t>
        </is>
      </c>
      <c r="D555" s="11" t="inlineStr">
        <is>
          <t>Esta mágica custa {2} menos para ser conjurada se um ou mais cards tiverem deixado o seu cemitério neste turno. Murchar no Calor causa 5 pontos de dano à criatura alvo. Se aquela criatura fosse morrer neste turno, em vez disso, exile-a.</t>
        </is>
      </c>
      <c r="E555" s="11" t="inlineStr">
        <is>
          <t>2{R}{W}</t>
        </is>
      </c>
      <c r="F555" s="11" t="inlineStr">
        <is>
          <t>Multicolorido</t>
        </is>
      </c>
      <c r="G555" s="8" t="n">
        <v>0.08</v>
      </c>
      <c r="H555" s="11" t="inlineStr">
        <is>
          <t>Strixhaven: School of Mages (SOS)</t>
        </is>
      </c>
      <c r="I555" s="11" t="inlineStr">
        <is>
          <t>Não</t>
        </is>
      </c>
      <c r="J555" s="11" t="n">
        <v>2026</v>
      </c>
      <c r="L555" s="11" t="n">
        <v>2</v>
      </c>
      <c r="M555" s="8">
        <f>L555*G555</f>
        <v/>
      </c>
      <c r="P555" s="9" t="n"/>
    </row>
    <row r="556">
      <c r="A556" s="11" t="inlineStr">
        <is>
          <t>Cuboid Colony / Colônia Cuboide</t>
        </is>
      </c>
      <c r="B556" s="11" t="inlineStr">
        <is>
          <t>Criatura — Inseto</t>
        </is>
      </c>
      <c r="C556" s="11" t="inlineStr">
        <is>
          <t>Incomum</t>
        </is>
      </c>
      <c r="D556" s="11" t="inlineStr">
        <is>
          <t>Lampejo. Voar, atropelar. Incrementar (Sempre que você conjurar uma mágica, se a quantidade de mana que você gastou for maior que o poder ou a resistência desta criatura, coloque um marcador +1/+1 nesta criatura.)</t>
        </is>
      </c>
      <c r="E556" s="11" t="inlineStr">
        <is>
          <t>{G}{U}</t>
        </is>
      </c>
      <c r="F556" s="11" t="inlineStr">
        <is>
          <t>Multicolorido</t>
        </is>
      </c>
      <c r="G556" s="8" t="n">
        <v>0.25</v>
      </c>
      <c r="H556" s="11" t="inlineStr">
        <is>
          <t>Strixhaven: School of Mages (SOS)</t>
        </is>
      </c>
      <c r="I556" s="11" t="inlineStr">
        <is>
          <t>Não</t>
        </is>
      </c>
      <c r="J556" s="11" t="n">
        <v>2026</v>
      </c>
      <c r="K556" s="10" t="n">
        <v>46023</v>
      </c>
      <c r="L556" s="11" t="n">
        <v>2</v>
      </c>
      <c r="M556" s="8">
        <f>L556*G556</f>
        <v/>
      </c>
      <c r="P556" s="9" t="n"/>
    </row>
    <row r="557">
      <c r="A557" s="11" t="inlineStr">
        <is>
          <t>Elemental Mascot / Mascote Elemental</t>
        </is>
      </c>
      <c r="B557" s="11" t="inlineStr">
        <is>
          <t>Criatura — Ave Elemental</t>
        </is>
      </c>
      <c r="C557" s="11" t="inlineStr">
        <is>
          <t>Comum</t>
        </is>
      </c>
      <c r="D557" s="11"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7" s="11" t="inlineStr">
        <is>
          <t>1{U}{R}</t>
        </is>
      </c>
      <c r="F557" s="11" t="inlineStr">
        <is>
          <t>Multicolorido</t>
        </is>
      </c>
      <c r="G557" s="8" t="n">
        <v>0.05</v>
      </c>
      <c r="H557" s="11" t="inlineStr">
        <is>
          <t>Strixhaven: School of Mages (SOS)</t>
        </is>
      </c>
      <c r="I557" s="11" t="inlineStr">
        <is>
          <t>Não</t>
        </is>
      </c>
      <c r="J557" s="11" t="n">
        <v>2026</v>
      </c>
      <c r="K557" s="10" t="n">
        <v>46113</v>
      </c>
      <c r="L557" s="11" t="n">
        <v>1</v>
      </c>
      <c r="M557" s="8">
        <f>L557*G557</f>
        <v/>
      </c>
      <c r="P557" s="9" t="n"/>
    </row>
    <row r="558">
      <c r="A558" s="11" t="inlineStr">
        <is>
          <t>Essenceknit Scholar / Estudioso do Tecessência</t>
        </is>
      </c>
      <c r="B558" s="11" t="inlineStr">
        <is>
          <t>Criatura — Dríade Bruxo</t>
        </is>
      </c>
      <c r="C558" s="11" t="inlineStr">
        <is>
          <t>Incomum</t>
        </is>
      </c>
      <c r="D558" s="11" t="inlineStr">
        <is>
          <t>Quando esta criatura entrar, crie uma ficha de criatura Praga preta e verde 1/1 com "Sempre que esta ficha atacar, você ganha 1 ponto de vida." No início de sua etapa final, se uma criatura tiver morrido sob o seu controle neste turno, compre um card.</t>
        </is>
      </c>
      <c r="E558" s="11" t="inlineStr">
        <is>
          <t>{B}{B/G}{G}</t>
        </is>
      </c>
      <c r="F558" s="11" t="inlineStr">
        <is>
          <t>Multicolorido</t>
        </is>
      </c>
      <c r="G558" s="8" t="n">
        <v>0.32</v>
      </c>
      <c r="H558" s="11" t="inlineStr">
        <is>
          <t>Strixhaven: School of Mages (SOS)</t>
        </is>
      </c>
      <c r="I558" s="11" t="inlineStr">
        <is>
          <t>Não</t>
        </is>
      </c>
      <c r="J558" s="11" t="n">
        <v>2026</v>
      </c>
      <c r="K558" s="10" t="n">
        <v>46025</v>
      </c>
      <c r="L558" s="11" t="n">
        <v>1</v>
      </c>
      <c r="M558" s="8">
        <f>L558*G558</f>
        <v/>
      </c>
      <c r="P558" s="9" t="n"/>
    </row>
    <row r="559">
      <c r="A559" s="11" t="inlineStr">
        <is>
          <t>Primary Research / Pesquisa Primária</t>
        </is>
      </c>
      <c r="B559" s="11" t="inlineStr">
        <is>
          <t>Encantamento</t>
        </is>
      </c>
      <c r="C559" s="11" t="inlineStr">
        <is>
          <t>Incomum</t>
        </is>
      </c>
      <c r="D559" s="11"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9" s="11" t="inlineStr">
        <is>
          <t>4{W}</t>
        </is>
      </c>
      <c r="F559" s="11" t="inlineStr">
        <is>
          <t>Branco</t>
        </is>
      </c>
      <c r="G559" s="8" t="n">
        <v>0.28</v>
      </c>
      <c r="H559" s="11" t="inlineStr">
        <is>
          <t>Strixhaven: School of Mages (SOS)</t>
        </is>
      </c>
      <c r="I559" s="11" t="inlineStr">
        <is>
          <t>Não</t>
        </is>
      </c>
      <c r="J559" s="11" t="n">
        <v>2026</v>
      </c>
      <c r="L559" s="11" t="n">
        <v>1</v>
      </c>
      <c r="M559" s="8">
        <f>L559*G559</f>
        <v/>
      </c>
      <c r="P559" s="9" t="n"/>
    </row>
    <row r="560">
      <c r="A560" s="11" t="inlineStr">
        <is>
          <t>Group Project / Trabalho em Grupo</t>
        </is>
      </c>
      <c r="B560" s="11" t="inlineStr">
        <is>
          <t>Feitiço</t>
        </is>
      </c>
      <c r="C560" s="11" t="inlineStr">
        <is>
          <t>Incomum</t>
        </is>
      </c>
      <c r="D560" s="11" t="inlineStr">
        <is>
          <t>Crie uma ficha de criatura Espírito 2/2 vermelha e branca. Recapitular — Vire três criaturas desviradas que você controla. (Você pode conjurar este card de seu cemitério por seu custo de recapitular. Depois, exile-o.)</t>
        </is>
      </c>
      <c r="E560" s="11" t="inlineStr">
        <is>
          <t>1{W}</t>
        </is>
      </c>
      <c r="F560" s="11" t="inlineStr">
        <is>
          <t>Branco</t>
        </is>
      </c>
      <c r="G560" s="8" t="n">
        <v>0.25</v>
      </c>
      <c r="H560" s="11" t="inlineStr">
        <is>
          <t>Strixhaven: School of Mages (SOS)</t>
        </is>
      </c>
      <c r="I560" s="11" t="inlineStr">
        <is>
          <t>Não</t>
        </is>
      </c>
      <c r="J560" s="11" t="n">
        <v>2026</v>
      </c>
      <c r="L560" s="11" t="n">
        <v>1</v>
      </c>
      <c r="M560" s="8">
        <f>L560*G560</f>
        <v/>
      </c>
      <c r="P560" s="9" t="n"/>
    </row>
    <row r="561">
      <c r="A561" s="11" t="inlineStr">
        <is>
          <t>Harsh Annotation / Anotação Ríspida</t>
        </is>
      </c>
      <c r="B561" s="11" t="inlineStr">
        <is>
          <t>Mágica Instantânea</t>
        </is>
      </c>
      <c r="C561" s="11" t="inlineStr">
        <is>
          <t>Incomum</t>
        </is>
      </c>
      <c r="D561" s="11" t="inlineStr">
        <is>
          <t>Destrua a criatura alvo. Seu controlador cria uma ficha de criatura Tinteiro 1/1 branca e preta com voar.</t>
        </is>
      </c>
      <c r="E561" s="11" t="inlineStr">
        <is>
          <t>1{W}</t>
        </is>
      </c>
      <c r="F561" s="11" t="inlineStr">
        <is>
          <t>Branco</t>
        </is>
      </c>
      <c r="G561" s="8" t="n">
        <v>0.28</v>
      </c>
      <c r="H561" s="11" t="inlineStr">
        <is>
          <t>Strixhaven: School of Mages (SOS)</t>
        </is>
      </c>
      <c r="I561" s="11" t="inlineStr">
        <is>
          <t>Não</t>
        </is>
      </c>
      <c r="J561" s="11" t="n">
        <v>2026</v>
      </c>
      <c r="L561" s="11" t="n">
        <v>1</v>
      </c>
      <c r="M561" s="8">
        <f>L561*G561</f>
        <v/>
      </c>
      <c r="P561" s="9" t="n"/>
    </row>
    <row r="562">
      <c r="A562" s="11" t="inlineStr">
        <is>
          <t>Honorbound Page // Forum's Favor / Pajem Vinculado pela Honra // Favor do Fórum</t>
        </is>
      </c>
      <c r="B562" s="11" t="inlineStr">
        <is>
          <t>Criatura — Gato Clérigo // Feitiço</t>
        </is>
      </c>
      <c r="C562" s="11" t="inlineStr">
        <is>
          <t>Comum</t>
        </is>
      </c>
      <c r="D562" s="11" t="inlineStr">
        <is>
          <t>Iniciativa. Esta criatura entra preparada. (Enquanto estiver preparada, você poderá conjurar uma cópia de sua mágica. Fazer isso faz com que ela deixe de ficar preparada.) // A criatura alvo recebe +1/+0 e ganha voar até o final do turno.</t>
        </is>
      </c>
      <c r="E562" s="11" t="inlineStr">
        <is>
          <t>3{W} // {W}</t>
        </is>
      </c>
      <c r="F562" s="11" t="inlineStr">
        <is>
          <t>Branco</t>
        </is>
      </c>
      <c r="G562" s="8" t="n">
        <v>0.05</v>
      </c>
      <c r="H562" s="11" t="inlineStr">
        <is>
          <t>Strixhaven: School of Mages (SOS)</t>
        </is>
      </c>
      <c r="I562" s="11" t="inlineStr">
        <is>
          <t>Não</t>
        </is>
      </c>
      <c r="J562" s="11" t="n">
        <v>2026</v>
      </c>
      <c r="K562" s="10" t="n">
        <v>46084</v>
      </c>
      <c r="L562" s="11" t="n">
        <v>1</v>
      </c>
      <c r="M562" s="8">
        <f>L562*G562</f>
        <v/>
      </c>
      <c r="P562" s="9" t="n"/>
    </row>
    <row r="563">
      <c r="A563" s="11" t="inlineStr">
        <is>
          <t>Dig Site Inventory / Inventário do Sítio de Escavação</t>
        </is>
      </c>
      <c r="B563" s="11" t="inlineStr">
        <is>
          <t>Feitiço</t>
        </is>
      </c>
      <c r="C563" s="11" t="inlineStr">
        <is>
          <t>Comum</t>
        </is>
      </c>
      <c r="D563" s="11" t="inlineStr">
        <is>
          <t>Coloque um marcador +1/+1 na criatura alvo que você controla. Ela ganha vigilância até o final do turno. Recapitular {W} (Você pode conjurar este card de seu cemitério por seu custo de recapitular. Depois, exile-o.)</t>
        </is>
      </c>
      <c r="E563" s="11" t="inlineStr">
        <is>
          <t>{W}</t>
        </is>
      </c>
      <c r="F563" s="11" t="inlineStr">
        <is>
          <t>Branco</t>
        </is>
      </c>
      <c r="G563" s="8" t="n">
        <v>0.15</v>
      </c>
      <c r="H563" s="11" t="inlineStr">
        <is>
          <t>Strixhaven: School of Mages (SOS)</t>
        </is>
      </c>
      <c r="I563" s="11" t="inlineStr">
        <is>
          <t>Não</t>
        </is>
      </c>
      <c r="J563" s="11" t="n">
        <v>2026</v>
      </c>
      <c r="L563" s="11" t="n">
        <v>3</v>
      </c>
      <c r="M563" s="8">
        <f>L563*G563</f>
        <v/>
      </c>
      <c r="P563" s="9" t="n"/>
    </row>
    <row r="564">
      <c r="A564" s="11" t="inlineStr">
        <is>
          <t>Eager Glyphmage / Mago de Glifos Ansioso</t>
        </is>
      </c>
      <c r="B564" s="11" t="inlineStr">
        <is>
          <t>Criatura — Gato Clérigo</t>
        </is>
      </c>
      <c r="C564" s="11" t="inlineStr">
        <is>
          <t>Comum</t>
        </is>
      </c>
      <c r="D564" s="11" t="inlineStr">
        <is>
          <t>Quando esta criatura entrar, crie uma ficha de criatura Tinteiro 1/1 branca e preta com voar.</t>
        </is>
      </c>
      <c r="E564" s="11" t="inlineStr">
        <is>
          <t>3{W}</t>
        </is>
      </c>
      <c r="F564" s="11" t="inlineStr">
        <is>
          <t>Branco</t>
        </is>
      </c>
      <c r="G564" s="8" t="n">
        <v>0.05</v>
      </c>
      <c r="H564" s="11" t="inlineStr">
        <is>
          <t>Strixhaven: School of Mages (SOS)</t>
        </is>
      </c>
      <c r="I564" s="11" t="inlineStr">
        <is>
          <t>Não</t>
        </is>
      </c>
      <c r="J564" s="11" t="n">
        <v>2026</v>
      </c>
      <c r="K564" s="10" t="n">
        <v>46084</v>
      </c>
      <c r="L564" s="11" t="n">
        <v>1</v>
      </c>
      <c r="M564" s="8">
        <f>L564*G564</f>
        <v/>
      </c>
      <c r="P564" s="9" t="n"/>
    </row>
    <row r="565">
      <c r="A565" s="11" t="inlineStr">
        <is>
          <t>Eager Glyphmage / Mago de Glifos Ansioso</t>
        </is>
      </c>
      <c r="B565" s="11" t="inlineStr">
        <is>
          <t>Criatura — Gato Clérigo</t>
        </is>
      </c>
      <c r="C565" s="11" t="inlineStr">
        <is>
          <t>Comum</t>
        </is>
      </c>
      <c r="D565" s="11" t="inlineStr">
        <is>
          <t>Quando esta criatura entrar, crie uma ficha de criatura Tinteiro 1/1 branca e preta com voar.</t>
        </is>
      </c>
      <c r="E565" s="11" t="inlineStr">
        <is>
          <t>3{W}</t>
        </is>
      </c>
      <c r="F565" s="11" t="inlineStr">
        <is>
          <t>Branco</t>
        </is>
      </c>
      <c r="G565" s="8" t="n">
        <v>0.25</v>
      </c>
      <c r="H565" s="11" t="inlineStr">
        <is>
          <t>Strixhaven: School of Mages (SOS)</t>
        </is>
      </c>
      <c r="I565" s="11" t="inlineStr">
        <is>
          <t>Sim</t>
        </is>
      </c>
      <c r="J565" s="11" t="n">
        <v>2026</v>
      </c>
      <c r="K565" s="10" t="n">
        <v>46084</v>
      </c>
      <c r="L565" s="11" t="n">
        <v>1</v>
      </c>
      <c r="M565" s="8">
        <f>L565*G565</f>
        <v/>
      </c>
      <c r="P565" s="9" t="n"/>
    </row>
    <row r="566">
      <c r="A566" s="11" t="inlineStr">
        <is>
          <t>Graduation Day / Dia da Formatura</t>
        </is>
      </c>
      <c r="B566" s="11" t="inlineStr">
        <is>
          <t>Encantamento</t>
        </is>
      </c>
      <c r="C566" s="11" t="inlineStr">
        <is>
          <t>Incomum</t>
        </is>
      </c>
      <c r="D566" s="11" t="inlineStr">
        <is>
          <t>Tréplica — Sempre que você conjurar uma mágica instantânea ou um feitiço que tenha uma criatura como alvo, coloque um marcador +1/+1 na criatura alvo que você controla.</t>
        </is>
      </c>
      <c r="E566" s="11" t="inlineStr">
        <is>
          <t>{W}</t>
        </is>
      </c>
      <c r="F566" s="11" t="inlineStr">
        <is>
          <t>Branco</t>
        </is>
      </c>
      <c r="G566" s="8" t="n">
        <v>0.33</v>
      </c>
      <c r="H566" s="11" t="inlineStr">
        <is>
          <t>Strixhaven: School of Mages (SOS)</t>
        </is>
      </c>
      <c r="I566" s="11" t="inlineStr">
        <is>
          <t>Não</t>
        </is>
      </c>
      <c r="J566" s="11" t="n">
        <v>2026</v>
      </c>
      <c r="L566" s="11" t="n">
        <v>1</v>
      </c>
      <c r="M566" s="8">
        <f>L566*G566</f>
        <v/>
      </c>
      <c r="P566" s="9" t="n"/>
    </row>
    <row r="567">
      <c r="A567" s="11" t="inlineStr">
        <is>
          <t>Rapier Wit / Espírito de Rapas</t>
        </is>
      </c>
      <c r="B567" s="11" t="inlineStr">
        <is>
          <t>Mágica Instantânea</t>
        </is>
      </c>
      <c r="C567" s="11" t="inlineStr">
        <is>
          <t>Comum</t>
        </is>
      </c>
      <c r="D567" s="11" t="inlineStr">
        <is>
          <t>Vire a criatura alvo. Se for o seu turno, coloque um marcador de atordoamento nela. (Se uma permanente com um marcador de atordoamento fosse se tornar desvirada, em vez disso, remova um dele.) Compre um card.</t>
        </is>
      </c>
      <c r="E567" s="11" t="inlineStr">
        <is>
          <t>1{W}</t>
        </is>
      </c>
      <c r="F567" s="11" t="inlineStr">
        <is>
          <t>Branco</t>
        </is>
      </c>
      <c r="G567" s="8" t="n">
        <v>0.08</v>
      </c>
      <c r="H567" s="11" t="inlineStr">
        <is>
          <t>Strixhaven: School of Mages (SOS)</t>
        </is>
      </c>
      <c r="I567" s="11" t="inlineStr">
        <is>
          <t>Não</t>
        </is>
      </c>
      <c r="J567" s="11" t="n">
        <v>2026</v>
      </c>
      <c r="L567" s="11" t="n">
        <v>2</v>
      </c>
      <c r="M567" s="8">
        <f>L567*G567</f>
        <v/>
      </c>
      <c r="P567" s="9" t="n"/>
    </row>
    <row r="568">
      <c r="A568" s="11" t="inlineStr">
        <is>
          <t>Ascendant Dustspeaker / Porta-poeira Ascendente</t>
        </is>
      </c>
      <c r="B568" s="11" t="inlineStr">
        <is>
          <t>Criatura — Orc Clérigo</t>
        </is>
      </c>
      <c r="C568" s="11" t="inlineStr">
        <is>
          <t>Comum</t>
        </is>
      </c>
      <c r="D568" s="11" t="inlineStr">
        <is>
          <t>Voar. Quando esta criatura entrar, coloque um marcador +1/+1 em outra criatura alvo que você controla. No início do combate no seu turno, exile até um card alvo de um cemitério.</t>
        </is>
      </c>
      <c r="E568" s="11" t="inlineStr">
        <is>
          <t>4{W}</t>
        </is>
      </c>
      <c r="F568" s="11" t="inlineStr">
        <is>
          <t>Branco</t>
        </is>
      </c>
      <c r="G568" s="8" t="n">
        <v>0.05</v>
      </c>
      <c r="H568" s="11" t="inlineStr">
        <is>
          <t>Strixhaven: School of Mages (SOS)</t>
        </is>
      </c>
      <c r="I568" s="11" t="inlineStr">
        <is>
          <t>Não</t>
        </is>
      </c>
      <c r="J568" s="11" t="n">
        <v>2026</v>
      </c>
      <c r="K568" s="10" t="n">
        <v>46115</v>
      </c>
      <c r="L568" s="11" t="n">
        <v>1</v>
      </c>
      <c r="M568" s="8">
        <f>L568*G568</f>
        <v/>
      </c>
      <c r="P568" s="9" t="n"/>
    </row>
    <row r="569">
      <c r="A569" s="11" t="inlineStr">
        <is>
          <t>Vibrant Cityscape / Paisagem Urbana Vibrante</t>
        </is>
      </c>
      <c r="B569" s="11" t="inlineStr">
        <is>
          <t>Terreno</t>
        </is>
      </c>
      <c r="C569" s="11" t="inlineStr">
        <is>
          <t>Comum</t>
        </is>
      </c>
      <c r="D569" s="11" t="inlineStr">
        <is>
          <t>{T}, Sacrifique este terreno: Procure em seu grimório por um card de terreno básico, coloque-o no campo de batalha virado e depois embaralhe.</t>
        </is>
      </c>
      <c r="E569" s="11" t="inlineStr">
        <is>
          <t>-</t>
        </is>
      </c>
      <c r="F569" s="11" t="inlineStr">
        <is>
          <t>Incolor</t>
        </is>
      </c>
      <c r="G569" s="8" t="n">
        <v>1.86</v>
      </c>
      <c r="H569" s="11" t="inlineStr">
        <is>
          <t>Teenage Mutant Ninja Turtles (TMC)</t>
        </is>
      </c>
      <c r="I569" s="11" t="inlineStr">
        <is>
          <t>Sim</t>
        </is>
      </c>
      <c r="J569" s="11" t="n">
        <v>2026</v>
      </c>
      <c r="L569" s="11" t="n">
        <v>2</v>
      </c>
      <c r="M569" s="8">
        <f>L569*G569</f>
        <v/>
      </c>
      <c r="P569" s="9" t="n"/>
    </row>
    <row r="570">
      <c r="A570" s="11" t="inlineStr">
        <is>
          <t>City Pigeon / Pombo da Cidade</t>
        </is>
      </c>
      <c r="B570" s="11" t="inlineStr">
        <is>
          <t>Criatura — Ave</t>
        </is>
      </c>
      <c r="C570" s="11" t="inlineStr">
        <is>
          <t>Comum</t>
        </is>
      </c>
      <c r="D570" s="11" t="inlineStr">
        <is>
          <t>Voar. Quando esta criatura deixar o campo de batalha, crie uma ficha de Comida. (Ela é um artefato com "{2}, {T}, Sacrifique esta ficha: Você ganha 3 pontos de vida.")</t>
        </is>
      </c>
      <c r="E570" s="11" t="inlineStr">
        <is>
          <t>{W}</t>
        </is>
      </c>
      <c r="F570" s="11" t="inlineStr">
        <is>
          <t>Branco</t>
        </is>
      </c>
      <c r="G570" s="8" t="n">
        <v>0.05</v>
      </c>
      <c r="H570" s="11" t="inlineStr">
        <is>
          <t>Marvel: Spider-Man (SPM)</t>
        </is>
      </c>
      <c r="I570" s="11" t="inlineStr">
        <is>
          <t>Não</t>
        </is>
      </c>
      <c r="J570" s="11" t="n">
        <v>2025</v>
      </c>
      <c r="K570" s="10" t="n">
        <v>46023</v>
      </c>
      <c r="L570" s="11" t="n">
        <v>7</v>
      </c>
      <c r="M570" s="8">
        <f>L570*G570</f>
        <v/>
      </c>
      <c r="P570" s="9" t="n"/>
    </row>
    <row r="571">
      <c r="A571" s="11" t="inlineStr">
        <is>
          <t>City Pigeon / Pombo da Cidade</t>
        </is>
      </c>
      <c r="B571" s="11" t="inlineStr">
        <is>
          <t>Criatura — Ave</t>
        </is>
      </c>
      <c r="C571" s="11" t="inlineStr">
        <is>
          <t>Comum</t>
        </is>
      </c>
      <c r="D571" s="11" t="inlineStr">
        <is>
          <t>Voar. Quando esta criatura deixar o campo de batalha, crie uma ficha de Comida. (Ela é um artefato com "{2}, {T}, Sacrifique esta ficha: Você ganha 3 pontos de vida.")</t>
        </is>
      </c>
      <c r="E571" s="11" t="inlineStr">
        <is>
          <t>{W}</t>
        </is>
      </c>
      <c r="F571" s="11" t="inlineStr">
        <is>
          <t>Branco</t>
        </is>
      </c>
      <c r="G571" s="8" t="n">
        <v>0.3</v>
      </c>
      <c r="H571" s="11" t="inlineStr">
        <is>
          <t>Marvel: Spider-Man (SPM)</t>
        </is>
      </c>
      <c r="I571" s="11" t="inlineStr">
        <is>
          <t>Não</t>
        </is>
      </c>
      <c r="J571" s="11" t="n">
        <v>2025</v>
      </c>
      <c r="K571" s="10" t="n">
        <v>46023</v>
      </c>
      <c r="L571" s="11" t="n">
        <v>2</v>
      </c>
      <c r="M571" s="8">
        <f>L571*G571</f>
        <v/>
      </c>
      <c r="P571" s="9" t="n"/>
    </row>
    <row r="572">
      <c r="A572" s="11" t="inlineStr">
        <is>
          <t>Spider-Gwen, Free Spirit / Spider-Gwen, Espírito Livre</t>
        </is>
      </c>
      <c r="B572" s="11" t="inlineStr">
        <is>
          <t>Criatura Lendária — Aranha Humano Herói</t>
        </is>
      </c>
      <c r="C572" s="11" t="inlineStr">
        <is>
          <t>Comum</t>
        </is>
      </c>
      <c r="D572" s="11" t="inlineStr">
        <is>
          <t>Alcance. Sempre que Spider-Gwen tornar-se virada, você pode descartar um card. Se fizer isso, compre um card.</t>
        </is>
      </c>
      <c r="E572" s="11" t="inlineStr">
        <is>
          <t>2{R}</t>
        </is>
      </c>
      <c r="F572" s="11" t="inlineStr">
        <is>
          <t>Vermelho</t>
        </is>
      </c>
      <c r="G572" s="8" t="n">
        <v>0.15</v>
      </c>
      <c r="H572" s="11" t="inlineStr">
        <is>
          <t>Marvel: Spider-Man (SPM)</t>
        </is>
      </c>
      <c r="I572" s="11" t="inlineStr">
        <is>
          <t>Não</t>
        </is>
      </c>
      <c r="J572" s="11" t="n">
        <v>2025</v>
      </c>
      <c r="K572" s="10" t="n">
        <v>46083</v>
      </c>
      <c r="L572" s="11" t="n">
        <v>5</v>
      </c>
      <c r="M572" s="8">
        <f>L572*G572</f>
        <v/>
      </c>
      <c r="P572" s="9" t="n"/>
    </row>
    <row r="573">
      <c r="A573" s="11" t="inlineStr">
        <is>
          <t>Stegron the Dinosaur Man / Stegron, o Homem-Dinossauro</t>
        </is>
      </c>
      <c r="B573" s="11" t="inlineStr">
        <is>
          <t>Criatura Lendária — Dinossauro Vilão</t>
        </is>
      </c>
      <c r="C573" s="11" t="inlineStr">
        <is>
          <t>Comum</t>
        </is>
      </c>
      <c r="D573" s="11" t="inlineStr">
        <is>
          <t>Ameaçar (Esta criatura não pode ser bloqueada a não ser por duas ou mais criaturas.) Fórmula de Dinossauro — {1}{R}, Descarte este card: Até o final do turno, a criatura alvo que você controla recebe +3/+1 e torna-se um Dinossauro além de seus outros tipos.</t>
        </is>
      </c>
      <c r="E573" s="11" t="inlineStr">
        <is>
          <t>4{R}</t>
        </is>
      </c>
      <c r="F573" s="11" t="inlineStr">
        <is>
          <t>Vermelho</t>
        </is>
      </c>
      <c r="G573" s="8" t="n">
        <v>0.1</v>
      </c>
      <c r="H573" s="11" t="inlineStr">
        <is>
          <t>Marvel: Spider-Man (SPM)</t>
        </is>
      </c>
      <c r="I573" s="11" t="inlineStr">
        <is>
          <t>Não</t>
        </is>
      </c>
      <c r="J573" s="11" t="n">
        <v>2025</v>
      </c>
      <c r="K573" s="10" t="n">
        <v>46117</v>
      </c>
      <c r="L573" s="11" t="n">
        <v>1</v>
      </c>
      <c r="M573" s="8">
        <f>L573*G573</f>
        <v/>
      </c>
      <c r="P573" s="9" t="n"/>
    </row>
    <row r="574">
      <c r="A574" s="11" t="inlineStr">
        <is>
          <t>Spider-Bot / Aranha-Robô</t>
        </is>
      </c>
      <c r="B574" s="11" t="inlineStr">
        <is>
          <t>Criatura Artefato — Aranha Robô Olheiro</t>
        </is>
      </c>
      <c r="C574" s="11" t="inlineStr">
        <is>
          <t>Comum</t>
        </is>
      </c>
      <c r="D574" s="11" t="inlineStr">
        <is>
          <t>Alcance. Quando esta criatura entrar, você poderá procurar em seu grimório por um card de terreno básico, revelá-lo, depois embaralhar e colocar aquele card no topo.</t>
        </is>
      </c>
      <c r="E574" s="11" t="inlineStr">
        <is>
          <t>{2}</t>
        </is>
      </c>
      <c r="F574" s="11" t="inlineStr">
        <is>
          <t>Incolor</t>
        </is>
      </c>
      <c r="G574" s="8" t="n">
        <v>0.1</v>
      </c>
      <c r="H574" s="11" t="inlineStr">
        <is>
          <t>Marvel: Spider-Man (SPM)</t>
        </is>
      </c>
      <c r="I574" s="11" t="inlineStr">
        <is>
          <t>Não</t>
        </is>
      </c>
      <c r="J574" s="11" t="n">
        <v>2025</v>
      </c>
      <c r="K574" s="10" t="n">
        <v>46024</v>
      </c>
      <c r="L574" s="11" t="n">
        <v>1</v>
      </c>
      <c r="M574" s="8">
        <f>L574*G574</f>
        <v/>
      </c>
      <c r="P574" s="9" t="n"/>
    </row>
    <row r="575">
      <c r="A575" s="11" t="inlineStr">
        <is>
          <t>Hex / Feitiço Bruxaxento</t>
        </is>
      </c>
      <c r="B575" s="11" t="inlineStr">
        <is>
          <t>Feitiço</t>
        </is>
      </c>
      <c r="C575" s="11" t="inlineStr">
        <is>
          <t>Rara</t>
        </is>
      </c>
      <c r="D575" s="11" t="inlineStr">
        <is>
          <t>Destrua seis criaturas alvo.</t>
        </is>
      </c>
      <c r="E575" s="11" t="inlineStr">
        <is>
          <t>4{B}{B}</t>
        </is>
      </c>
      <c r="F575" s="11" t="inlineStr">
        <is>
          <t>Preto</t>
        </is>
      </c>
      <c r="G575" s="8" t="n">
        <v>4</v>
      </c>
      <c r="H575" s="11" t="inlineStr">
        <is>
          <t>Marvel (MAR)</t>
        </is>
      </c>
      <c r="I575" s="11" t="inlineStr">
        <is>
          <t>Não</t>
        </is>
      </c>
      <c r="J575" s="11" t="n">
        <v>2025</v>
      </c>
      <c r="L575" s="11" t="n">
        <v>1</v>
      </c>
      <c r="M575" s="8">
        <f>L575*G575</f>
        <v/>
      </c>
      <c r="P575" s="9" t="n"/>
    </row>
    <row r="576">
      <c r="A576" s="11" t="inlineStr">
        <is>
          <t>Olifante / Oliphaunt</t>
        </is>
      </c>
      <c r="B576" s="11" t="inlineStr">
        <is>
          <t>Criatura — Elefante</t>
        </is>
      </c>
      <c r="C576" s="11" t="inlineStr">
        <is>
          <t>Comum</t>
        </is>
      </c>
      <c r="D576" s="11" t="inlineStr">
        <is>
          <t>Atropelar. Toda vez que Olifante ataca, outra criatura alvo que você controla recebe +2/+0 e ganha atropelar até o final do turno. Reciclar Montanha {1}</t>
        </is>
      </c>
      <c r="E576" s="11" t="inlineStr">
        <is>
          <t>5{R}</t>
        </is>
      </c>
      <c r="F576" s="11" t="inlineStr">
        <is>
          <t>Vermelho</t>
        </is>
      </c>
      <c r="G576" s="8" t="n">
        <v>0.99</v>
      </c>
      <c r="H576" s="11" t="inlineStr">
        <is>
          <t>The Lord of the Rings: Tales of Middle-earth (LTR)</t>
        </is>
      </c>
      <c r="I576" s="11" t="inlineStr">
        <is>
          <t>Não</t>
        </is>
      </c>
      <c r="J576" s="11" t="n">
        <v>2023</v>
      </c>
      <c r="K576" s="10" t="n">
        <v>46118</v>
      </c>
      <c r="L576" s="11" t="n">
        <v>4</v>
      </c>
      <c r="M576" s="8">
        <f>L576*G576</f>
        <v/>
      </c>
      <c r="P576" s="9" t="n"/>
    </row>
    <row r="577">
      <c r="A577" s="11" t="inlineStr">
        <is>
          <t>Vanguarda dos Lestenses / Easterling Vanguard</t>
        </is>
      </c>
      <c r="B577" s="11" t="inlineStr">
        <is>
          <t>Criatura — Humano Guerreiro</t>
        </is>
      </c>
      <c r="C577" s="11" t="inlineStr">
        <is>
          <t>Comum</t>
        </is>
      </c>
      <c r="D577" s="11" t="inlineStr">
        <is>
          <t>Quando Vanguarda dos Lestenses morrer, arregimente Orcs 1. (Coloque um marcador +1/+1 em um Exército que você controla. Ele também é um Orc. Se você não controlar um Exército, crie antes uma ficha de criatura Orc Exército preta 0/0.)</t>
        </is>
      </c>
      <c r="E577" s="11" t="inlineStr">
        <is>
          <t>1{B}</t>
        </is>
      </c>
      <c r="F577" s="11" t="inlineStr">
        <is>
          <t>Preto</t>
        </is>
      </c>
      <c r="G577" s="8" t="n">
        <v>0.09</v>
      </c>
      <c r="H577" s="11" t="inlineStr">
        <is>
          <t>The Lord of the Rings: Tales of Middle-earth (LTR)</t>
        </is>
      </c>
      <c r="I577" s="11" t="inlineStr">
        <is>
          <t>Não</t>
        </is>
      </c>
      <c r="J577" s="11" t="n">
        <v>2023</v>
      </c>
      <c r="K577" s="10" t="n">
        <v>46024</v>
      </c>
      <c r="L577" s="11" t="n">
        <v>1</v>
      </c>
      <c r="M577" s="8">
        <f>L577*G577</f>
        <v/>
      </c>
      <c r="P577" s="9" t="n"/>
    </row>
    <row r="578">
      <c r="A578" s="11" t="inlineStr">
        <is>
          <t>Juramento da Hoste Cinzenta / Oath of the Grey Host</t>
        </is>
      </c>
      <c r="B578" s="11" t="inlineStr">
        <is>
          <t>Encantamento — Saga</t>
        </is>
      </c>
      <c r="C578" s="11" t="inlineStr">
        <is>
          <t>Incomum</t>
        </is>
      </c>
      <c r="D578" s="11"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8" s="11" t="inlineStr">
        <is>
          <t>3{B}</t>
        </is>
      </c>
      <c r="F578" s="11" t="inlineStr">
        <is>
          <t>Preto</t>
        </is>
      </c>
      <c r="G578" s="8" t="n">
        <v>0.15</v>
      </c>
      <c r="H578" s="11" t="inlineStr">
        <is>
          <t>The Lord of the Rings: Tales of Middle-earth (LTR)</t>
        </is>
      </c>
      <c r="I578" s="11" t="inlineStr">
        <is>
          <t>Não</t>
        </is>
      </c>
      <c r="J578" s="11" t="n">
        <v>2023</v>
      </c>
      <c r="L578" s="11" t="n">
        <v>3</v>
      </c>
      <c r="M578" s="8">
        <f>L578*G578</f>
        <v/>
      </c>
      <c r="P578" s="9" t="n"/>
    </row>
    <row r="579">
      <c r="A579" s="11" t="inlineStr">
        <is>
          <t>O Tormento de Gollum / Gollum's Bite</t>
        </is>
      </c>
      <c r="B579" s="11" t="inlineStr">
        <is>
          <t>Feitiço</t>
        </is>
      </c>
      <c r="C579" s="11" t="inlineStr">
        <is>
          <t>Comum</t>
        </is>
      </c>
      <c r="D579" s="11"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9" s="11" t="inlineStr">
        <is>
          <t>3{B}</t>
        </is>
      </c>
      <c r="F579" s="11" t="inlineStr">
        <is>
          <t>Preto</t>
        </is>
      </c>
      <c r="G579" s="8" t="n">
        <v>0.08</v>
      </c>
      <c r="H579" s="11" t="inlineStr">
        <is>
          <t>The Lord of the Rings: Tales of Middle-earth (LTR)</t>
        </is>
      </c>
      <c r="I579" s="11" t="inlineStr">
        <is>
          <t>Não</t>
        </is>
      </c>
      <c r="J579" s="11" t="n">
        <v>2023</v>
      </c>
      <c r="L579" s="11" t="n">
        <v>1</v>
      </c>
      <c r="M579" s="8">
        <f>L579*G579</f>
        <v/>
      </c>
      <c r="P579" s="9" t="n"/>
    </row>
    <row r="580">
      <c r="A580" s="11" t="inlineStr">
        <is>
          <t>Fera Atroz Voraz / Voracious Fell Beast</t>
        </is>
      </c>
      <c r="B580" s="11" t="inlineStr">
        <is>
          <t>Criatura — Dragonete Fera</t>
        </is>
      </c>
      <c r="C580" s="11" t="inlineStr">
        <is>
          <t>Incomum</t>
        </is>
      </c>
      <c r="D580" s="11"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80" s="11" t="inlineStr">
        <is>
          <t>4{B}{B}</t>
        </is>
      </c>
      <c r="F580" s="11" t="inlineStr">
        <is>
          <t>Preto</t>
        </is>
      </c>
      <c r="G580" s="8" t="n">
        <v>0.15</v>
      </c>
      <c r="H580" s="11" t="inlineStr">
        <is>
          <t>The Lord of the Rings: Tales of Middle-earth (LTR)</t>
        </is>
      </c>
      <c r="I580" s="11" t="inlineStr">
        <is>
          <t>Não</t>
        </is>
      </c>
      <c r="J580" s="11" t="n">
        <v>2023</v>
      </c>
      <c r="K580" s="10" t="n">
        <v>46116</v>
      </c>
      <c r="L580" s="11" t="n">
        <v>1</v>
      </c>
      <c r="M580" s="8">
        <f>L580*G580</f>
        <v/>
      </c>
      <c r="P580" s="9" t="n"/>
    </row>
    <row r="581">
      <c r="A581" s="11" t="inlineStr">
        <is>
          <t>Açoite do Balrog / Lash of the Balrog</t>
        </is>
      </c>
      <c r="B581" s="11" t="inlineStr">
        <is>
          <t>Feitiço</t>
        </is>
      </c>
      <c r="C581" s="11" t="inlineStr">
        <is>
          <t>Comum</t>
        </is>
      </c>
      <c r="D581" s="11" t="inlineStr">
        <is>
          <t>Como custo adicional para conjurar esta mágica, sacrifique uma criatura ou pague {4}. Destrua a criatura alvo.</t>
        </is>
      </c>
      <c r="E581" s="11" t="inlineStr">
        <is>
          <t>{B}</t>
        </is>
      </c>
      <c r="F581" s="11" t="inlineStr">
        <is>
          <t>Preto</t>
        </is>
      </c>
      <c r="G581" s="8" t="n">
        <v>0.59</v>
      </c>
      <c r="H581" s="11" t="inlineStr">
        <is>
          <t>The Lord of the Rings: Tales of Middle-earth (LTR)</t>
        </is>
      </c>
      <c r="I581" s="11" t="inlineStr">
        <is>
          <t>Sim</t>
        </is>
      </c>
      <c r="J581" s="11" t="n">
        <v>2023</v>
      </c>
      <c r="L581" s="11" t="n">
        <v>1</v>
      </c>
      <c r="M581" s="8">
        <f>L581*G581</f>
        <v/>
      </c>
      <c r="P581" s="9" t="n"/>
    </row>
    <row r="582">
      <c r="A582" s="11" t="inlineStr">
        <is>
          <t>Açoite do Balrog / Lash of the Balrog</t>
        </is>
      </c>
      <c r="B582" s="11" t="inlineStr">
        <is>
          <t>Feitiço</t>
        </is>
      </c>
      <c r="C582" s="11" t="inlineStr">
        <is>
          <t>Comum</t>
        </is>
      </c>
      <c r="D582" s="11" t="inlineStr">
        <is>
          <t>Como custo adicional para conjurar esta mágica, sacrifique uma criatura ou pague {4}. Destrua a criatura alvo.</t>
        </is>
      </c>
      <c r="E582" s="11" t="inlineStr">
        <is>
          <t>{B}</t>
        </is>
      </c>
      <c r="F582" s="11" t="inlineStr">
        <is>
          <t>Preto</t>
        </is>
      </c>
      <c r="G582" s="8" t="n">
        <v>0.18</v>
      </c>
      <c r="H582" s="11" t="inlineStr">
        <is>
          <t>The Lord of the Rings: Tales of Middle-earth (LTR)</t>
        </is>
      </c>
      <c r="I582" s="11" t="inlineStr">
        <is>
          <t>Não</t>
        </is>
      </c>
      <c r="J582" s="11" t="n">
        <v>2023</v>
      </c>
      <c r="L582" s="11" t="n">
        <v>3</v>
      </c>
      <c r="M582" s="8">
        <f>L582*G582</f>
        <v/>
      </c>
      <c r="P582" s="9" t="n"/>
    </row>
    <row r="583">
      <c r="A583" s="11" t="inlineStr">
        <is>
          <t>Os Portos Cinzentos / The Grey Havens</t>
        </is>
      </c>
      <c r="B583" s="11" t="inlineStr">
        <is>
          <t>Terreno Lendário</t>
        </is>
      </c>
      <c r="C583" s="11" t="inlineStr">
        <is>
          <t>Incomum</t>
        </is>
      </c>
      <c r="D583" s="11" t="inlineStr">
        <is>
          <t>Quando Os Portos Cinzentos entrar no campo de batalha, use vidência 1. {T}: Adicione {C}. {T}: Adicione um mana de qualquer cor entre as dos cards de criatura lendários em seu cemitério.</t>
        </is>
      </c>
      <c r="E583" s="11" t="inlineStr">
        <is>
          <t>-</t>
        </is>
      </c>
      <c r="F583" s="11" t="inlineStr">
        <is>
          <t>Incolor</t>
        </is>
      </c>
      <c r="G583" s="8" t="n">
        <v>0.85</v>
      </c>
      <c r="H583" s="11" t="inlineStr">
        <is>
          <t>The Lord of the Rings: Tales of Middle-earth (LTR)</t>
        </is>
      </c>
      <c r="I583" s="11" t="inlineStr">
        <is>
          <t>Não</t>
        </is>
      </c>
      <c r="J583" s="11" t="n">
        <v>2023</v>
      </c>
      <c r="L583" s="11" t="n">
        <v>1</v>
      </c>
      <c r="M583" s="8">
        <f>L583*G583</f>
        <v/>
      </c>
      <c r="P583" s="9" t="n"/>
    </row>
    <row r="584">
      <c r="A584" s="11" t="inlineStr">
        <is>
          <t>Fera Atroz Voraz / Voracious Fell Beast</t>
        </is>
      </c>
      <c r="B584" s="11" t="inlineStr">
        <is>
          <t>Criatura — Dragonete Fera</t>
        </is>
      </c>
      <c r="C584" s="11" t="inlineStr">
        <is>
          <t>Incomum</t>
        </is>
      </c>
      <c r="D584" s="11" t="inlineStr">
        <is>
          <t>Voar. Quando Fera Atroz Voraz entra no campo de batalha, cada oponente sacrifica uma criatura. Crie uma ficha de Comida para cada criatura sacrificada dessa forma.</t>
        </is>
      </c>
      <c r="E584" s="11" t="inlineStr">
        <is>
          <t>4{B}{B}</t>
        </is>
      </c>
      <c r="F584" s="11" t="inlineStr">
        <is>
          <t>Preto</t>
        </is>
      </c>
      <c r="G584" s="8" t="n">
        <v>0.39</v>
      </c>
      <c r="H584" s="11" t="inlineStr">
        <is>
          <t>The Lord of the Rings: Tales of Middle-earth (LTR)</t>
        </is>
      </c>
      <c r="I584" s="11" t="inlineStr">
        <is>
          <t>Não</t>
        </is>
      </c>
      <c r="J584" s="11" t="n">
        <v>2023</v>
      </c>
      <c r="K584" s="10" t="n">
        <v>46116</v>
      </c>
      <c r="L584" s="11" t="n">
        <v>1</v>
      </c>
      <c r="M584" s="8">
        <f>L584*G584</f>
        <v/>
      </c>
      <c r="P584" s="9" t="n"/>
    </row>
    <row r="585">
      <c r="A585" s="11" t="inlineStr">
        <is>
          <t>Crebain da Terra Parda / Dunland Crebain</t>
        </is>
      </c>
      <c r="B585" s="11" t="inlineStr">
        <is>
          <t>Criatura — Ave Horror</t>
        </is>
      </c>
      <c r="C585" s="11" t="inlineStr">
        <is>
          <t>Comum</t>
        </is>
      </c>
      <c r="D585" s="11" t="inlineStr">
        <is>
          <t>Voar. Quando Crebain da Terra Parda entrar no campo de batalha, arregimente Orcs 2.</t>
        </is>
      </c>
      <c r="E585" s="11" t="inlineStr">
        <is>
          <t>2{B}</t>
        </is>
      </c>
      <c r="F585" s="11" t="inlineStr">
        <is>
          <t>Preto</t>
        </is>
      </c>
      <c r="G585" s="8" t="n">
        <v>0.18</v>
      </c>
      <c r="H585" s="11" t="inlineStr">
        <is>
          <t>The Lord of the Rings: Tales of Middle-earth (LTR)</t>
        </is>
      </c>
      <c r="I585" s="11" t="inlineStr">
        <is>
          <t>Não</t>
        </is>
      </c>
      <c r="J585" s="11" t="n">
        <v>2023</v>
      </c>
      <c r="K585" s="10" t="n">
        <v>46023</v>
      </c>
      <c r="L585" s="11" t="n">
        <v>2</v>
      </c>
      <c r="M585" s="8">
        <f>L585*G585</f>
        <v/>
      </c>
      <c r="P585" s="9" t="n"/>
    </row>
    <row r="586">
      <c r="A586" s="11" t="inlineStr">
        <is>
          <t>Gríma Língua de Cobra / Gríma Wormtongue</t>
        </is>
      </c>
      <c r="B586" s="11" t="inlineStr">
        <is>
          <t>Criatura Lendária — Humano Conselheiro</t>
        </is>
      </c>
      <c r="C586" s="11" t="inlineStr">
        <is>
          <t>Incomum</t>
        </is>
      </c>
      <c r="D586" s="11" t="inlineStr">
        <is>
          <t>Seus oponentes não podem ganhar pontos de vida. {T}, sacrifique outra criatura: O jogador alvo perde 1 ponto de vida. Se a criatura sacrificada era lendária, arregimente Orcs 2.</t>
        </is>
      </c>
      <c r="E586" s="11" t="inlineStr">
        <is>
          <t>2{B}</t>
        </is>
      </c>
      <c r="F586" s="11" t="inlineStr">
        <is>
          <t>Preto</t>
        </is>
      </c>
      <c r="G586" s="8" t="n">
        <v>0.28</v>
      </c>
      <c r="H586" s="11" t="inlineStr">
        <is>
          <t>The Lord of the Rings: Tales of Middle-earth (LTR)</t>
        </is>
      </c>
      <c r="I586" s="11" t="inlineStr">
        <is>
          <t>Não</t>
        </is>
      </c>
      <c r="J586" s="11" t="n">
        <v>2023</v>
      </c>
      <c r="K586" s="10" t="n">
        <v>46113</v>
      </c>
      <c r="L586" s="11" t="n">
        <v>1</v>
      </c>
      <c r="M586" s="8">
        <f>L586*G586</f>
        <v/>
      </c>
      <c r="P586" s="9" t="n"/>
    </row>
    <row r="587">
      <c r="A587" s="11" t="inlineStr">
        <is>
          <t>Grond, o Quebra-portões / Grond, the Gatebreaker</t>
        </is>
      </c>
      <c r="B587" s="11" t="inlineStr">
        <is>
          <t>Artefato Lendário — Veículo</t>
        </is>
      </c>
      <c r="C587" s="11" t="inlineStr">
        <is>
          <t>Incomum</t>
        </is>
      </c>
      <c r="D587" s="11"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7" s="11" t="inlineStr">
        <is>
          <t>3{B}</t>
        </is>
      </c>
      <c r="F587" s="11" t="inlineStr">
        <is>
          <t>Preto</t>
        </is>
      </c>
      <c r="G587" s="8" t="n">
        <v>0.16</v>
      </c>
      <c r="H587" s="11" t="inlineStr">
        <is>
          <t>The Lord of the Rings: Tales of Middle-earth (LTR)</t>
        </is>
      </c>
      <c r="I587" s="11" t="inlineStr">
        <is>
          <t>Não</t>
        </is>
      </c>
      <c r="J587" s="11" t="n">
        <v>2023</v>
      </c>
      <c r="K587" s="10" t="n">
        <v>46147</v>
      </c>
      <c r="L587" s="11" t="n">
        <v>3</v>
      </c>
      <c r="M587" s="8">
        <f>L587*G587</f>
        <v/>
      </c>
      <c r="P587" s="9" t="n"/>
    </row>
    <row r="588">
      <c r="A588" s="11" t="inlineStr">
        <is>
          <t>Gollum, Conspirador Paciente / Gollum, Patient Plotter</t>
        </is>
      </c>
      <c r="B588" s="11" t="inlineStr">
        <is>
          <t>Criatura Lendária — Pequenino Horror</t>
        </is>
      </c>
      <c r="C588" s="11" t="inlineStr">
        <is>
          <t>Incomum</t>
        </is>
      </c>
      <c r="D588" s="11" t="inlineStr">
        <is>
          <t>Quando Gollum, Conspirador Paciente, deixa o campo de batalha, o Anel tenta você. {B}, sacrifique uma criatura: Devolva Gollum de seu cemitério para sua mão. Ative somente como um feitiço.</t>
        </is>
      </c>
      <c r="E588" s="11" t="inlineStr">
        <is>
          <t>1{B}</t>
        </is>
      </c>
      <c r="F588" s="11" t="inlineStr">
        <is>
          <t>Preto</t>
        </is>
      </c>
      <c r="G588" s="8" t="n">
        <v>0.38</v>
      </c>
      <c r="H588" s="11" t="inlineStr">
        <is>
          <t>The Lord of the Rings: Tales of Middle-earth (LTR)</t>
        </is>
      </c>
      <c r="I588" s="11" t="inlineStr">
        <is>
          <t>Não</t>
        </is>
      </c>
      <c r="J588" s="11" t="n">
        <v>2023</v>
      </c>
      <c r="K588" s="10" t="n">
        <v>46025</v>
      </c>
      <c r="L588" s="11" t="n">
        <v>2</v>
      </c>
      <c r="M588" s="8">
        <f>L588*G588</f>
        <v/>
      </c>
      <c r="P588" s="9" t="n"/>
    </row>
    <row r="589">
      <c r="A589" s="11" t="inlineStr">
        <is>
          <t>Gorbag de Minas Morgul / Gorbag of Minas Morgul</t>
        </is>
      </c>
      <c r="B589" s="11" t="inlineStr">
        <is>
          <t>Criatura Lendária — Orc Soldado</t>
        </is>
      </c>
      <c r="C589" s="11" t="inlineStr">
        <is>
          <t>Incomum</t>
        </is>
      </c>
      <c r="D589" s="11"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9" s="11" t="inlineStr">
        <is>
          <t>1{B}</t>
        </is>
      </c>
      <c r="F589" s="11" t="inlineStr">
        <is>
          <t>Preto</t>
        </is>
      </c>
      <c r="G589" s="8" t="n">
        <v>0.17</v>
      </c>
      <c r="H589" s="11" t="inlineStr">
        <is>
          <t>The Lord of the Rings: Tales of Middle-earth (LTR)</t>
        </is>
      </c>
      <c r="I589" s="11" t="inlineStr">
        <is>
          <t>Não</t>
        </is>
      </c>
      <c r="J589" s="11" t="n">
        <v>2023</v>
      </c>
      <c r="K589" s="10" t="n">
        <v>46055</v>
      </c>
      <c r="L589" s="11" t="n">
        <v>2</v>
      </c>
      <c r="M589" s="8">
        <f>L589*G589</f>
        <v/>
      </c>
      <c r="P589" s="9" t="n"/>
    </row>
    <row r="590">
      <c r="A590" s="11" t="inlineStr">
        <is>
          <t>Gothmog, Tenente de Morgul / Gothmog, Morgul Lieutenant</t>
        </is>
      </c>
      <c r="B590" s="11" t="inlineStr">
        <is>
          <t>Criatura Lendária — Humano Soldado</t>
        </is>
      </c>
      <c r="C590" s="11" t="inlineStr">
        <is>
          <t>Incomum</t>
        </is>
      </c>
      <c r="D590" s="11"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90" s="11" t="inlineStr">
        <is>
          <t>3{B}</t>
        </is>
      </c>
      <c r="F590" s="11" t="inlineStr">
        <is>
          <t>Preto</t>
        </is>
      </c>
      <c r="G590" s="8" t="n">
        <v>0.25</v>
      </c>
      <c r="H590" s="11" t="inlineStr">
        <is>
          <t>The Lord of the Rings: Tales of Middle-earth (LTR)</t>
        </is>
      </c>
      <c r="I590" s="11" t="inlineStr">
        <is>
          <t>Não</t>
        </is>
      </c>
      <c r="J590" s="11" t="n">
        <v>2023</v>
      </c>
      <c r="K590" s="10" t="n">
        <v>46084</v>
      </c>
      <c r="L590" s="11" t="n">
        <v>2</v>
      </c>
      <c r="M590" s="8">
        <f>L590*G590</f>
        <v/>
      </c>
      <c r="P590" s="9" t="n"/>
    </row>
    <row r="591">
      <c r="A591" s="11" t="inlineStr">
        <is>
          <t>Morcegos da Floresta das Trevas / Mirkwood Bats</t>
        </is>
      </c>
      <c r="B591" s="11" t="inlineStr">
        <is>
          <t>Criatura — Morcego</t>
        </is>
      </c>
      <c r="C591" s="11" t="inlineStr">
        <is>
          <t>Comum</t>
        </is>
      </c>
      <c r="D591" s="11" t="inlineStr">
        <is>
          <t>Voar. Toda vez que você cria ou sacrifica uma ficha, cada oponente perde 1 ponto de vida.</t>
        </is>
      </c>
      <c r="E591" s="11" t="inlineStr">
        <is>
          <t>3{B}</t>
        </is>
      </c>
      <c r="F591" s="11" t="inlineStr">
        <is>
          <t>Preto</t>
        </is>
      </c>
      <c r="G591" s="8" t="n">
        <v>2.75</v>
      </c>
      <c r="H591" s="11" t="inlineStr">
        <is>
          <t>The Lord of the Rings: Tales of Middle-earth (LTR)</t>
        </is>
      </c>
      <c r="I591" s="11" t="inlineStr">
        <is>
          <t>Não</t>
        </is>
      </c>
      <c r="J591" s="11" t="n">
        <v>2023</v>
      </c>
      <c r="K591" s="10" t="n">
        <v>46083</v>
      </c>
      <c r="L591" s="11" t="n">
        <v>4</v>
      </c>
      <c r="M591" s="8">
        <f>L591*G591</f>
        <v/>
      </c>
      <c r="P591" s="9" t="n"/>
    </row>
    <row r="592">
      <c r="A592" s="11" t="inlineStr">
        <is>
          <t>Grishnákh, Instigador Ousado / Grishnákh, Brash Instigator</t>
        </is>
      </c>
      <c r="B592" s="11" t="inlineStr">
        <is>
          <t>Criatura Lendária — Goblin Soldado</t>
        </is>
      </c>
      <c r="C592" s="11" t="inlineStr">
        <is>
          <t>Incomum</t>
        </is>
      </c>
      <c r="D592" s="11"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92" s="11" t="inlineStr">
        <is>
          <t>2{R}</t>
        </is>
      </c>
      <c r="F592" s="11" t="inlineStr">
        <is>
          <t>Vermelho</t>
        </is>
      </c>
      <c r="G592" s="8" t="n">
        <v>0.2</v>
      </c>
      <c r="H592" s="11" t="inlineStr">
        <is>
          <t>The Lord of the Rings: Tales of Middle-earth (LTR)</t>
        </is>
      </c>
      <c r="I592" s="11" t="inlineStr">
        <is>
          <t>Não</t>
        </is>
      </c>
      <c r="J592" s="11" t="n">
        <v>2023</v>
      </c>
      <c r="K592" s="10" t="n">
        <v>46023</v>
      </c>
      <c r="L592" s="11" t="n">
        <v>3</v>
      </c>
      <c r="M592" s="8">
        <f>L592*G592</f>
        <v/>
      </c>
      <c r="P592" s="9" t="n"/>
    </row>
    <row r="593">
      <c r="A593" s="11" t="inlineStr">
        <is>
          <t>Gimli, Contador de Abantes / Gimli, Counter of Kills</t>
        </is>
      </c>
      <c r="B593" s="11" t="inlineStr">
        <is>
          <t>Criatura Lendária — Anão Guerreiro</t>
        </is>
      </c>
      <c r="C593" s="11" t="inlineStr">
        <is>
          <t>Incomum</t>
        </is>
      </c>
      <c r="D593" s="11" t="inlineStr">
        <is>
          <t>Atropelar. Toda vez que uma criatura que um oponente controla morre, Gimli, Contador de Abantes, causa 1 ponto de dano ao controlador daquela criatura.</t>
        </is>
      </c>
      <c r="E593" s="11" t="inlineStr">
        <is>
          <t>3{R}</t>
        </is>
      </c>
      <c r="F593" s="11" t="inlineStr">
        <is>
          <t>Vermelho</t>
        </is>
      </c>
      <c r="G593" s="8" t="n">
        <v>0.23</v>
      </c>
      <c r="H593" s="11" t="inlineStr">
        <is>
          <t>The Lord of the Rings: Tales of Middle-earth (LTR)</t>
        </is>
      </c>
      <c r="I593" s="11" t="inlineStr">
        <is>
          <t>Não</t>
        </is>
      </c>
      <c r="J593" s="11" t="n">
        <v>2023</v>
      </c>
      <c r="K593" s="10" t="n">
        <v>46085</v>
      </c>
      <c r="L593" s="11" t="n">
        <v>2</v>
      </c>
      <c r="M593" s="8">
        <f>L593*G593</f>
        <v/>
      </c>
      <c r="P593" s="9" t="n"/>
    </row>
    <row r="594">
      <c r="A594" s="11" t="inlineStr">
        <is>
          <t>Éomer da Marca dos Cavaleiros / Éomer of the Riddermark</t>
        </is>
      </c>
      <c r="B594" s="11" t="inlineStr">
        <is>
          <t>Criatura Lendária — Humano Cavaleiro</t>
        </is>
      </c>
      <c r="C594" s="11" t="inlineStr">
        <is>
          <t>Incomum</t>
        </is>
      </c>
      <c r="D594" s="11" t="inlineStr">
        <is>
          <t>Ímpeto. Toda vez que Éomer da Marca dos Cavaleiros atacar, se você controlar uma criatura com o maior poder entre as criaturas no campo de batalha, crie uma ficha de criatura Humano Soldado branca 1/1.</t>
        </is>
      </c>
      <c r="E594" s="11" t="inlineStr">
        <is>
          <t>4{R}</t>
        </is>
      </c>
      <c r="F594" s="11" t="inlineStr">
        <is>
          <t>Vermelho</t>
        </is>
      </c>
      <c r="G594" s="8" t="n">
        <v>0.2</v>
      </c>
      <c r="H594" s="11" t="inlineStr">
        <is>
          <t>The Lord of the Rings: Tales of Middle-earth (LTR)</t>
        </is>
      </c>
      <c r="I594" s="11" t="inlineStr">
        <is>
          <t>Não</t>
        </is>
      </c>
      <c r="J594" s="11" t="n">
        <v>2023</v>
      </c>
      <c r="K594" s="10" t="n">
        <v>46117</v>
      </c>
      <c r="L594" s="11" t="n">
        <v>1</v>
      </c>
      <c r="M594" s="8">
        <f>L594*G594</f>
        <v/>
      </c>
      <c r="P594" s="9" t="n"/>
    </row>
    <row r="595">
      <c r="A595" s="11" t="inlineStr">
        <is>
          <t>Mauhúr, Capitão Uruk-hai / Mauhúr, Uruk-hai Captain</t>
        </is>
      </c>
      <c r="B595" s="11" t="inlineStr">
        <is>
          <t>Criatura Lendária — Orc Soldado</t>
        </is>
      </c>
      <c r="C595" s="11" t="inlineStr">
        <is>
          <t>Incomum</t>
        </is>
      </c>
      <c r="D595" s="11" t="inlineStr">
        <is>
          <t>Ameaçar. Se um ou mais marcadores +1/+1 seriam colocados em um Exército, Goblin ou Orc que você controla, em vez disso, serão colocados aquele número mais um de marcadores +1/+1.</t>
        </is>
      </c>
      <c r="E595" s="11" t="inlineStr">
        <is>
          <t>{B}{R}</t>
        </is>
      </c>
      <c r="F595" s="11" t="inlineStr">
        <is>
          <t>Multicolorido (Preto e Vermelho)</t>
        </is>
      </c>
      <c r="G595" s="8" t="n">
        <v>0.25</v>
      </c>
      <c r="H595" s="11" t="inlineStr">
        <is>
          <t>The Lord of the Rings: Tales of Middle-earth (LTR)</t>
        </is>
      </c>
      <c r="I595" s="11" t="inlineStr">
        <is>
          <t>Não</t>
        </is>
      </c>
      <c r="J595" s="11" t="n">
        <v>2023</v>
      </c>
      <c r="K595" s="10" t="n">
        <v>46055</v>
      </c>
      <c r="L595" s="11" t="n">
        <v>1</v>
      </c>
      <c r="M595" s="8">
        <f>L595*G595</f>
        <v/>
      </c>
      <c r="P595" s="9" t="n"/>
    </row>
    <row r="596">
      <c r="A596" s="11" t="inlineStr">
        <is>
          <t>Incursão de Orcs / Orcish Medicine</t>
        </is>
      </c>
      <c r="B596" s="11" t="inlineStr">
        <is>
          <t>Feitiço</t>
        </is>
      </c>
      <c r="C596" s="11" t="inlineStr">
        <is>
          <t>Incomum</t>
        </is>
      </c>
      <c r="D596" s="11" t="inlineStr">
        <is>
          <t>Arregimentar Orcs 2. Quando você faz isso, Incursão de Orcs causa X pontos de dano à criatura alvo que um oponente controla, sendo X o poder do Exército arregimentado.</t>
        </is>
      </c>
      <c r="E596" s="11" t="inlineStr">
        <is>
          <t>3{R}</t>
        </is>
      </c>
      <c r="F596" s="11" t="inlineStr">
        <is>
          <t>Vermelho</t>
        </is>
      </c>
      <c r="G596" s="8" t="n">
        <v>0.24</v>
      </c>
      <c r="H596" s="11" t="inlineStr">
        <is>
          <t>The Lord of the Rings: Tales of Middle-earth (LTR)</t>
        </is>
      </c>
      <c r="I596" s="11" t="inlineStr">
        <is>
          <t>Não</t>
        </is>
      </c>
      <c r="J596" s="11" t="n">
        <v>2023</v>
      </c>
      <c r="L596" s="11" t="n">
        <v>1</v>
      </c>
      <c r="M596" s="8">
        <f>L596*G596</f>
        <v/>
      </c>
      <c r="P596" s="9" t="n"/>
    </row>
    <row r="597">
      <c r="A597" s="11" t="inlineStr">
        <is>
          <t>Livro de Mazarbul / Book of Mazarbul</t>
        </is>
      </c>
      <c r="B597" s="11" t="inlineStr">
        <is>
          <t>Encantamento — Saga</t>
        </is>
      </c>
      <c r="C597" s="11" t="inlineStr">
        <is>
          <t>Incomum</t>
        </is>
      </c>
      <c r="D597" s="11"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7" s="11" t="inlineStr">
        <is>
          <t>2{R}</t>
        </is>
      </c>
      <c r="F597" s="11" t="inlineStr">
        <is>
          <t>Vermelho</t>
        </is>
      </c>
      <c r="G597" s="8" t="n">
        <v>0.21</v>
      </c>
      <c r="H597" s="11" t="inlineStr">
        <is>
          <t>The Lord of the Rings: Tales of Middle-earth (LTR)</t>
        </is>
      </c>
      <c r="I597" s="11" t="inlineStr">
        <is>
          <t>Não</t>
        </is>
      </c>
      <c r="J597" s="11" t="n">
        <v>2023</v>
      </c>
      <c r="L597" s="11" t="n">
        <v>2</v>
      </c>
      <c r="M597" s="8">
        <f>L597*G597</f>
        <v/>
      </c>
      <c r="P597" s="9" t="n"/>
    </row>
    <row r="598">
      <c r="A598" s="11" t="inlineStr">
        <is>
          <t>Fogo de Orthanc / Fire of Orthanc</t>
        </is>
      </c>
      <c r="B598" s="11" t="inlineStr">
        <is>
          <t>Feitiço</t>
        </is>
      </c>
      <c r="C598" s="11" t="inlineStr">
        <is>
          <t>Comum</t>
        </is>
      </c>
      <c r="D598" s="11" t="inlineStr">
        <is>
          <t>Destrua o artefato ou terreno alvo. As criaturas sem voar não podem bloquear neste turno.</t>
        </is>
      </c>
      <c r="E598" s="11" t="inlineStr">
        <is>
          <t>3{R}</t>
        </is>
      </c>
      <c r="F598" s="11" t="inlineStr">
        <is>
          <t>Vermelho</t>
        </is>
      </c>
      <c r="G598" s="8" t="n">
        <v>0.08</v>
      </c>
      <c r="H598" s="11" t="inlineStr">
        <is>
          <t>The Lord of the Rings: Tales of Middle-earth (LTR)</t>
        </is>
      </c>
      <c r="I598" s="11" t="inlineStr">
        <is>
          <t>Não</t>
        </is>
      </c>
      <c r="J598" s="11" t="n">
        <v>2023</v>
      </c>
      <c r="L598" s="11" t="n">
        <v>1</v>
      </c>
      <c r="M598" s="8">
        <f>L598*G598</f>
        <v/>
      </c>
      <c r="P598" s="9" t="n"/>
    </row>
    <row r="599">
      <c r="A599" s="11" t="inlineStr">
        <is>
          <t>Salta-fogo Goblin / Goblin Fireleaper</t>
        </is>
      </c>
      <c r="B599" s="11" t="inlineStr">
        <is>
          <t>Criatura — Goblin Guerreiro</t>
        </is>
      </c>
      <c r="C599" s="11" t="inlineStr">
        <is>
          <t>Incomum</t>
        </is>
      </c>
      <c r="D599" s="11" t="inlineStr">
        <is>
          <t>{1}{R}: Salta-fogo Goblin recebe +1/+0 até o final do turno. Quando Salta-fogo Goblin ataca, ele causa uma quantidade de dano igual ao próprio poder à criatura alvo que um oponente controla.</t>
        </is>
      </c>
      <c r="E599" s="11" t="inlineStr">
        <is>
          <t>1{R}</t>
        </is>
      </c>
      <c r="F599" s="11" t="inlineStr">
        <is>
          <t>Vermelho</t>
        </is>
      </c>
      <c r="G599" s="8" t="n">
        <v>0.09</v>
      </c>
      <c r="H599" s="11" t="inlineStr">
        <is>
          <t>The Lord of the Rings: Tales of Middle-earth (LTR)</t>
        </is>
      </c>
      <c r="I599" s="11" t="inlineStr">
        <is>
          <t>Não</t>
        </is>
      </c>
      <c r="J599" s="11" t="n">
        <v>2023</v>
      </c>
      <c r="K599" s="10" t="n">
        <v>46023</v>
      </c>
      <c r="L599" s="11" t="n">
        <v>1</v>
      </c>
      <c r="M599" s="8">
        <f>L599*G599</f>
        <v/>
      </c>
      <c r="P599" s="9" t="n"/>
    </row>
    <row r="600">
      <c r="A600" s="11" t="inlineStr">
        <is>
          <t>Porrete Improvisado / Improvised Club</t>
        </is>
      </c>
      <c r="B600" s="11" t="inlineStr">
        <is>
          <t>Mágica Instantânea</t>
        </is>
      </c>
      <c r="C600" s="11" t="inlineStr">
        <is>
          <t>Comum</t>
        </is>
      </c>
      <c r="D600" s="11" t="inlineStr">
        <is>
          <t>Como custo adicional para conjurar esta mágica, sacrifique um artefato ou uma criatura. Porrete Improvisado causa 4 pontos de dano a qualquer alvo.</t>
        </is>
      </c>
      <c r="E600" s="11" t="inlineStr">
        <is>
          <t>1{R}</t>
        </is>
      </c>
      <c r="F600" s="11" t="inlineStr">
        <is>
          <t>Vermelho</t>
        </is>
      </c>
      <c r="G600" s="8" t="n">
        <v>0.15</v>
      </c>
      <c r="H600" s="11" t="inlineStr">
        <is>
          <t>The Lord of the Rings: Tales of Middle-earth (LTR)</t>
        </is>
      </c>
      <c r="I600" s="11" t="inlineStr">
        <is>
          <t>Não</t>
        </is>
      </c>
      <c r="J600" s="11" t="n">
        <v>2023</v>
      </c>
      <c r="L600" s="11" t="n">
        <v>1</v>
      </c>
      <c r="M600" s="8">
        <f>L600*G600</f>
        <v/>
      </c>
      <c r="P600" s="9" t="n"/>
    </row>
    <row r="601">
      <c r="A601" s="11" t="inlineStr">
        <is>
          <t>Fim da Querela / Quarrel's End</t>
        </is>
      </c>
      <c r="B601" s="11" t="inlineStr">
        <is>
          <t>Feitiço</t>
        </is>
      </c>
      <c r="C601" s="11" t="inlineStr">
        <is>
          <t>Comum</t>
        </is>
      </c>
      <c r="D601" s="11" t="inlineStr">
        <is>
          <t>Como custo adicional para conjurar esta mágica, descarte um card. Compre dois cards e crie uma ficha de criatura Humano Soldado branca 1/1.</t>
        </is>
      </c>
      <c r="E601" s="11" t="inlineStr">
        <is>
          <t>2{R}</t>
        </is>
      </c>
      <c r="F601" s="11" t="inlineStr">
        <is>
          <t>Vermelho</t>
        </is>
      </c>
      <c r="G601" s="8" t="n">
        <v>0.08</v>
      </c>
      <c r="H601" s="11" t="inlineStr">
        <is>
          <t>The Lord of the Rings: Tales of Middle-earth (LTR)</t>
        </is>
      </c>
      <c r="I601" s="11" t="inlineStr">
        <is>
          <t>Não</t>
        </is>
      </c>
      <c r="J601" s="11" t="n">
        <v>2023</v>
      </c>
      <c r="L601" s="11" t="n">
        <v>1</v>
      </c>
      <c r="M601" s="8">
        <f>L601*G601</f>
        <v/>
      </c>
      <c r="P601" s="9" t="n"/>
    </row>
    <row r="602">
      <c r="A602" s="11" t="inlineStr">
        <is>
          <t>Uglúk da Mão Branca / Uglúk of the White Hand</t>
        </is>
      </c>
      <c r="B602" s="11" t="inlineStr">
        <is>
          <t>Criatura Lendária — Orc Soldado</t>
        </is>
      </c>
      <c r="C602" s="11" t="inlineStr">
        <is>
          <t>Incomum</t>
        </is>
      </c>
      <c r="D602" s="11" t="inlineStr">
        <is>
          <t>Toda vez que outra criatura que você controla morrer, coloque um marcador +1/+1 em Uglúk da Mão Branca. Se aquela criatura for um Goblin ou Orc, em vez disso, coloque dois marcadores +1/+1 em Uglúk.</t>
        </is>
      </c>
      <c r="E602" s="11" t="inlineStr">
        <is>
          <t>2{B}{R}</t>
        </is>
      </c>
      <c r="F602" s="11" t="inlineStr">
        <is>
          <t>Multicolorido (Preto e Vermelho)</t>
        </is>
      </c>
      <c r="G602" s="8" t="n">
        <v>0.2</v>
      </c>
      <c r="H602" s="11" t="inlineStr">
        <is>
          <t>The Lord of the Rings: Tales of Middle-earth (LTR)</t>
        </is>
      </c>
      <c r="I602" s="11" t="inlineStr">
        <is>
          <t>Não</t>
        </is>
      </c>
      <c r="J602" s="11" t="n">
        <v>2023</v>
      </c>
      <c r="K602" s="10" t="n">
        <v>46084</v>
      </c>
      <c r="L602" s="11" t="n">
        <v>4</v>
      </c>
      <c r="M602" s="8">
        <f>L602*G602</f>
        <v/>
      </c>
      <c r="P602" s="9" t="n"/>
    </row>
    <row r="603">
      <c r="A603" s="11" t="inlineStr">
        <is>
          <t>Espantalho do Condado / Shire Scarecrow</t>
        </is>
      </c>
      <c r="B603" s="11" t="inlineStr">
        <is>
          <t>Criatura Artefato — Espantalho</t>
        </is>
      </c>
      <c r="C603" s="11" t="inlineStr">
        <is>
          <t>Comum</t>
        </is>
      </c>
      <c r="D603" s="11" t="inlineStr">
        <is>
          <t>Defensor. {1}: Adicione um mana de qualquer cor. Ative apenas uma vez a cada turno.</t>
        </is>
      </c>
      <c r="E603" s="11" t="n">
        <v>2</v>
      </c>
      <c r="F603" s="11" t="inlineStr">
        <is>
          <t>Incolor</t>
        </is>
      </c>
      <c r="G603" s="8" t="n">
        <v>0.05</v>
      </c>
      <c r="H603" s="11" t="inlineStr">
        <is>
          <t>The Lord of the Rings: Tales of Middle-earth (LTR)</t>
        </is>
      </c>
      <c r="I603" s="11" t="inlineStr">
        <is>
          <t>Não</t>
        </is>
      </c>
      <c r="J603" s="11" t="n">
        <v>2023</v>
      </c>
      <c r="K603" s="11" t="inlineStr">
        <is>
          <t>0/3</t>
        </is>
      </c>
      <c r="L603" s="11" t="n">
        <v>1</v>
      </c>
      <c r="M603" s="8">
        <f>L603*G603</f>
        <v/>
      </c>
      <c r="P603" s="9" t="n"/>
    </row>
    <row r="604">
      <c r="A604" s="11" t="inlineStr">
        <is>
          <t>Gwaihir, o Senhor dos Ventos / Gwaihir the Windlord</t>
        </is>
      </c>
      <c r="B604" s="11" t="inlineStr">
        <is>
          <t>Criatura Lendária — Ave Nobre</t>
        </is>
      </c>
      <c r="C604" s="11" t="inlineStr">
        <is>
          <t>Incomum</t>
        </is>
      </c>
      <c r="D604" s="11" t="inlineStr">
        <is>
          <t>Esta mágica custa {2} a menos para ser conjurada contanto que você tenha comprado dois ou mais cards neste turno. Voar, vigilância. As outras Aves que você controla têm vigilância.</t>
        </is>
      </c>
      <c r="E604" s="11" t="inlineStr">
        <is>
          <t>4{W}{U}</t>
        </is>
      </c>
      <c r="F604" s="11" t="inlineStr">
        <is>
          <t>Multicolorido (Branco e Azul)</t>
        </is>
      </c>
      <c r="G604" s="8" t="n">
        <v>0.21</v>
      </c>
      <c r="H604" s="11" t="inlineStr">
        <is>
          <t>The Lord of the Rings: Tales of Middle-earth (LTR)</t>
        </is>
      </c>
      <c r="I604" s="11" t="inlineStr">
        <is>
          <t>Não</t>
        </is>
      </c>
      <c r="J604" s="11" t="n">
        <v>2023</v>
      </c>
      <c r="K604" s="10" t="n">
        <v>46116</v>
      </c>
      <c r="L604" s="11" t="n">
        <v>1</v>
      </c>
      <c r="M604" s="8">
        <f>L604*G604</f>
        <v/>
      </c>
      <c r="P604" s="9" t="n"/>
    </row>
    <row r="605">
      <c r="A605" s="11" t="inlineStr">
        <is>
          <t>Legolas, Contador de Abates / Legolas, Counter of Kills</t>
        </is>
      </c>
      <c r="B605" s="11" t="inlineStr">
        <is>
          <t>Criatura Lendária — Elfo Arqueiro</t>
        </is>
      </c>
      <c r="C605" s="11" t="inlineStr">
        <is>
          <t>Incomum</t>
        </is>
      </c>
      <c r="D605" s="11"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5" s="8" t="n">
        <v>0.25</v>
      </c>
      <c r="H605" s="11" t="inlineStr">
        <is>
          <t>The Lord of the Rings: Tales of Middle-earth (LTR)</t>
        </is>
      </c>
      <c r="I605" s="11" t="inlineStr">
        <is>
          <t>Não</t>
        </is>
      </c>
      <c r="J605" s="11" t="n">
        <v>2023</v>
      </c>
      <c r="K605" s="10" t="n">
        <v>46083</v>
      </c>
      <c r="L605" s="11" t="n">
        <v>2</v>
      </c>
      <c r="M605" s="8">
        <f>L605*G605</f>
        <v/>
      </c>
      <c r="P605" s="9" t="n"/>
    </row>
    <row r="606">
      <c r="A606" s="11" t="inlineStr">
        <is>
          <t>Frodo Bolseiro / Frodo Baggins</t>
        </is>
      </c>
      <c r="B606" s="11" t="inlineStr">
        <is>
          <t>Criatura Lendária — Pequenino Batedor</t>
        </is>
      </c>
      <c r="C606" s="11" t="inlineStr">
        <is>
          <t>Incomum</t>
        </is>
      </c>
      <c r="D606" s="11" t="inlineStr">
        <is>
          <t>Toda vez que Frodo Bolseiro ou outra criatura lendária entra no campo de batalha sob seu controle, o Anel tenta você. Enquanto Frodo for o seu Guardião do Anel, ele deverá ser bloqueado se estiver apto.</t>
        </is>
      </c>
      <c r="E606" s="11" t="inlineStr">
        <is>
          <t>{G}{W}</t>
        </is>
      </c>
      <c r="F606" s="11" t="inlineStr">
        <is>
          <t>Multicolorido (Verde e Branco)</t>
        </is>
      </c>
      <c r="G606" s="8" t="n">
        <v>0.15</v>
      </c>
      <c r="H606" s="11" t="inlineStr">
        <is>
          <t>The Lord of the Rings: Tales of Middle-earth (LTR)</t>
        </is>
      </c>
      <c r="I606" s="11" t="inlineStr">
        <is>
          <t>Não</t>
        </is>
      </c>
      <c r="J606" s="11" t="n">
        <v>2023</v>
      </c>
      <c r="K606" s="10" t="n">
        <v>46082</v>
      </c>
      <c r="L606" s="11" t="n">
        <v>1</v>
      </c>
      <c r="M606" s="8">
        <f>L606*G606</f>
        <v/>
      </c>
      <c r="P606" s="9" t="n"/>
    </row>
    <row r="607">
      <c r="A607" s="11" t="inlineStr">
        <is>
          <t>Denethor, Regente Governante / Denethor, Ruling Steward</t>
        </is>
      </c>
      <c r="B607" s="11" t="inlineStr">
        <is>
          <t>Criatura Lendária — Humano Nobre</t>
        </is>
      </c>
      <c r="C607" s="11" t="inlineStr">
        <is>
          <t>Incomum</t>
        </is>
      </c>
      <c r="D607" s="11" t="inlineStr">
        <is>
          <t>No início de sua etapa final, se uma criatura tiver morrido sob seu controle neste turno, crie uma ficha de criatura Humano Soldado branca 1/1. {2}, sacrifique outra criatura: Cada oponente perde 1 ponto de vida e você ganha 1 ponto de vida.</t>
        </is>
      </c>
      <c r="E607" s="11" t="inlineStr">
        <is>
          <t>1{W}{B}</t>
        </is>
      </c>
      <c r="F607" s="11" t="inlineStr">
        <is>
          <t>Multicolorido (Branco e Preto)</t>
        </is>
      </c>
      <c r="G607" s="8" t="n">
        <v>0.25</v>
      </c>
      <c r="H607" s="11" t="inlineStr">
        <is>
          <t>The Lord of the Rings: Tales of Middle-earth (LTR)</t>
        </is>
      </c>
      <c r="I607" s="11" t="inlineStr">
        <is>
          <t>Não</t>
        </is>
      </c>
      <c r="J607" s="11" t="n">
        <v>2023</v>
      </c>
      <c r="K607" s="10" t="n">
        <v>46114</v>
      </c>
      <c r="L607" s="11" t="n">
        <v>2</v>
      </c>
      <c r="M607" s="8">
        <f>L607*G607</f>
        <v/>
      </c>
      <c r="P607" s="9" t="n"/>
    </row>
    <row r="608">
      <c r="A608" s="11" t="inlineStr">
        <is>
          <t>Denethor, Regente Governante / Denethor, Ruling Steward</t>
        </is>
      </c>
      <c r="B608" s="11" t="inlineStr">
        <is>
          <t>Criatura Lendária — Humano Nobre</t>
        </is>
      </c>
      <c r="C608" s="11" t="inlineStr">
        <is>
          <t>Incomum</t>
        </is>
      </c>
      <c r="D608" s="11" t="inlineStr">
        <is>
          <t>No início de sua etapa final, se uma criatura tiver morrido sob seu controle neste turno, crie uma ficha de criatura Humano Soldado branca 1/1. {2}, sacrifique outra criatura: Cada oponente perde 1 ponto de vida e você ganha 1 ponto de vida.</t>
        </is>
      </c>
      <c r="E608" s="11" t="inlineStr">
        <is>
          <t>1{W}{B}</t>
        </is>
      </c>
      <c r="F608" s="11" t="inlineStr">
        <is>
          <t>Multicolorido (Branco e Preto)</t>
        </is>
      </c>
      <c r="G608" s="8" t="n">
        <v>0.28</v>
      </c>
      <c r="H608" s="11" t="inlineStr">
        <is>
          <t>The Lord of the Rings: Tales of Middle-earth (LTR)</t>
        </is>
      </c>
      <c r="I608" s="11" t="inlineStr">
        <is>
          <t>Não</t>
        </is>
      </c>
      <c r="J608" s="11" t="n">
        <v>2023</v>
      </c>
      <c r="K608" s="10" t="n">
        <v>46114</v>
      </c>
      <c r="L608" s="11" t="n">
        <v>3</v>
      </c>
      <c r="M608" s="8">
        <f>L608*G608</f>
        <v/>
      </c>
      <c r="P608" s="9" t="n"/>
    </row>
    <row r="609">
      <c r="A609" s="11" t="inlineStr">
        <is>
          <t>Carrapicho, Estalajadeiro de Bree / Butterbur, Bree Innkeeper</t>
        </is>
      </c>
      <c r="B609" s="11" t="inlineStr">
        <is>
          <t>Criatura Lendária — Humano Plebeu</t>
        </is>
      </c>
      <c r="C609" s="11" t="inlineStr">
        <is>
          <t>Incomum</t>
        </is>
      </c>
      <c r="D609" s="11" t="inlineStr">
        <is>
          <t>No início de sua etapa final, se você não controlar uma Comida, crie uma ficha de Comida. (Ela é um artefato com "{2}, {T}, sacrifique este artefato: Você ganha 3 pontos de vida".)</t>
        </is>
      </c>
      <c r="E609" s="11" t="inlineStr">
        <is>
          <t>2{G}{W}</t>
        </is>
      </c>
      <c r="F609" s="11" t="inlineStr">
        <is>
          <t>Multicolorido (Verde e Branco)</t>
        </is>
      </c>
      <c r="G609" s="8" t="n">
        <v>0.08</v>
      </c>
      <c r="H609" s="11" t="inlineStr">
        <is>
          <t>The Lord of the Rings: Tales of Middle-earth (LTR)</t>
        </is>
      </c>
      <c r="I609" s="11" t="inlineStr">
        <is>
          <t>Não</t>
        </is>
      </c>
      <c r="J609" s="11" t="n">
        <v>2023</v>
      </c>
      <c r="K609" s="10" t="n">
        <v>46084</v>
      </c>
      <c r="L609" s="11" t="n">
        <v>2</v>
      </c>
      <c r="M609" s="8">
        <f>L609*G609</f>
        <v/>
      </c>
      <c r="P609" s="9" t="n"/>
    </row>
    <row r="610">
      <c r="A610" s="11" t="inlineStr">
        <is>
          <t>Foguetes do Mago / Wizard's Rockets</t>
        </is>
      </c>
      <c r="B610" s="11" t="inlineStr">
        <is>
          <t>Artefato</t>
        </is>
      </c>
      <c r="C610" s="11" t="inlineStr">
        <is>
          <t>Comum</t>
        </is>
      </c>
      <c r="D610" s="11" t="inlineStr">
        <is>
          <t>Foguetes do Mago entra no campo de batalha virado. {X}, {T}, sacrifique Foguetes do Mago: Adicione X manas em qualquer combinação de cores. Quando Foguetes do Mago for colocado num cemitério vindo do campo de batalha, compre um card.</t>
        </is>
      </c>
      <c r="E610" s="11" t="n">
        <v>1</v>
      </c>
      <c r="F610" s="11" t="inlineStr">
        <is>
          <t>Incolor</t>
        </is>
      </c>
      <c r="G610" s="8" t="n">
        <v>0.18</v>
      </c>
      <c r="H610" s="11" t="inlineStr">
        <is>
          <t>The Lord of the Rings: Tales of Middle-earth (LTR)</t>
        </is>
      </c>
      <c r="I610" s="11" t="inlineStr">
        <is>
          <t>Não</t>
        </is>
      </c>
      <c r="J610" s="11" t="n">
        <v>2023</v>
      </c>
      <c r="L610" s="11" t="n">
        <v>1</v>
      </c>
      <c r="M610" s="8">
        <f>L610*G610</f>
        <v/>
      </c>
      <c r="P610" s="9" t="n"/>
    </row>
    <row r="611">
      <c r="A611" s="11" t="inlineStr">
        <is>
          <t>Foguetes do Mago / Wizard's Rockets</t>
        </is>
      </c>
      <c r="B611" s="11" t="inlineStr">
        <is>
          <t>Artefato</t>
        </is>
      </c>
      <c r="C611" s="11" t="inlineStr">
        <is>
          <t>Comum</t>
        </is>
      </c>
      <c r="D611" s="11" t="inlineStr">
        <is>
          <t>Foguetes do Mago entra no campo de batalha virado. {X}, {T}, sacrifique Foguetes do Mago: Adicione X manas em qualquer combinação de cores. Quando Foguetes do Mago for colocado num cemitério vindo do campo de batalha, compre um card.</t>
        </is>
      </c>
      <c r="E611" s="11" t="n">
        <v>1</v>
      </c>
      <c r="F611" s="11" t="inlineStr">
        <is>
          <t>Incolor</t>
        </is>
      </c>
      <c r="G611" s="8" t="n">
        <v>1.9</v>
      </c>
      <c r="H611" s="11" t="inlineStr">
        <is>
          <t>The Lord of the Rings: Tales of Middle-earth (LTR)</t>
        </is>
      </c>
      <c r="I611" s="11" t="inlineStr">
        <is>
          <t>Não</t>
        </is>
      </c>
      <c r="J611" s="11" t="n">
        <v>2023</v>
      </c>
      <c r="L611" s="11" t="n">
        <v>1</v>
      </c>
      <c r="M611" s="8">
        <f>L611*G611</f>
        <v/>
      </c>
      <c r="P611" s="9" t="n"/>
    </row>
    <row r="612">
      <c r="A612" s="11" t="inlineStr">
        <is>
          <t>Visão Longínqua Élfica / Elven Farsight</t>
        </is>
      </c>
      <c r="B612" s="11" t="inlineStr">
        <is>
          <t>Feitiço</t>
        </is>
      </c>
      <c r="C612" s="11" t="inlineStr">
        <is>
          <t>Comum</t>
        </is>
      </c>
      <c r="D612" s="11" t="inlineStr">
        <is>
          <t>Use vidência 3. Depois, você pode revelar o card do topo de seu grimório. Se for um card de criatura, compre um card.</t>
        </is>
      </c>
      <c r="E612" s="11" t="inlineStr">
        <is>
          <t>{G}</t>
        </is>
      </c>
      <c r="F612" s="11" t="inlineStr">
        <is>
          <t>Verde</t>
        </is>
      </c>
      <c r="G612" s="8" t="n">
        <v>1.7</v>
      </c>
      <c r="H612" s="11" t="inlineStr">
        <is>
          <t>The Lord of the Rings: Tales of Middle-earth (LTR)</t>
        </is>
      </c>
      <c r="I612" s="11" t="inlineStr">
        <is>
          <t>Sim</t>
        </is>
      </c>
      <c r="J612" s="11" t="n">
        <v>2023</v>
      </c>
      <c r="L612" s="11" t="n">
        <v>4</v>
      </c>
      <c r="M612" s="8">
        <f>L612*G612</f>
        <v/>
      </c>
      <c r="P612" s="9" t="n"/>
    </row>
    <row r="613">
      <c r="A613" s="11" t="inlineStr">
        <is>
          <t>O Boca de Sauron / Mouth of Sauron</t>
        </is>
      </c>
      <c r="B613" s="11" t="inlineStr">
        <is>
          <t>Criatura Lendária — Humano Conselheiro</t>
        </is>
      </c>
      <c r="C613" s="11" t="inlineStr">
        <is>
          <t>Incomum</t>
        </is>
      </c>
      <c r="D613" s="11"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13" s="11" t="inlineStr">
        <is>
          <t>3{G}{R}</t>
        </is>
      </c>
      <c r="F613" s="11" t="inlineStr">
        <is>
          <t>Verde e Vermelho</t>
        </is>
      </c>
      <c r="G613" s="8" t="n">
        <v>0.18</v>
      </c>
      <c r="H613" s="11" t="inlineStr">
        <is>
          <t>The Lord of the Rings: Tales of Middle-earth (LTR)</t>
        </is>
      </c>
      <c r="I613" s="11" t="inlineStr">
        <is>
          <t>Sim</t>
        </is>
      </c>
      <c r="J613" s="11" t="n">
        <v>2023</v>
      </c>
      <c r="L613" s="11" t="n">
        <v>2</v>
      </c>
      <c r="M613" s="8">
        <f>L613*G613</f>
        <v/>
      </c>
      <c r="P613" s="9" t="n"/>
    </row>
    <row r="614">
      <c r="A614" s="11" t="inlineStr">
        <is>
          <t>Legolas, Contador de Abates / Legolas, Counter of Kills</t>
        </is>
      </c>
      <c r="B614" s="11" t="inlineStr">
        <is>
          <t>Criatura Lendária — Elfo Arqueiro</t>
        </is>
      </c>
      <c r="C614" s="11" t="inlineStr">
        <is>
          <t>Incomum</t>
        </is>
      </c>
      <c r="D614" s="11"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4" s="8" t="n">
        <v>0.18</v>
      </c>
      <c r="H614" s="11" t="inlineStr">
        <is>
          <t>The Lord of the Rings: Tales of Middle-earth (LTR)</t>
        </is>
      </c>
      <c r="I614" s="11" t="inlineStr">
        <is>
          <t>Não</t>
        </is>
      </c>
      <c r="J614" s="11" t="n">
        <v>2023</v>
      </c>
      <c r="K614" s="10" t="n">
        <v>46083</v>
      </c>
      <c r="L614" s="11" t="n">
        <v>1</v>
      </c>
      <c r="M614" s="8">
        <f>L614*G614</f>
        <v/>
      </c>
      <c r="P614" s="9" t="n"/>
    </row>
    <row r="615">
      <c r="A615" s="11" t="inlineStr">
        <is>
          <t>Rosa Villa da Alameda Sul / Rosie Cotton of South Lane</t>
        </is>
      </c>
      <c r="B615" s="11" t="inlineStr">
        <is>
          <t>Criatura Lendária — Pequenino Plebeu</t>
        </is>
      </c>
      <c r="C615" s="11" t="inlineStr">
        <is>
          <t>Incomum</t>
        </is>
      </c>
      <c r="D615" s="11" t="inlineStr">
        <is>
          <t>Quando Rosa Villa da Alameda Sul entrar no campo de batalha, crie uma ficha de Comida. Toda vez que você criar uma ficha, coloque um marcador +1/+1 na criatura alvo que você controla que não seja Rosa.</t>
        </is>
      </c>
      <c r="E615" s="11" t="inlineStr">
        <is>
          <t>2{W}</t>
        </is>
      </c>
      <c r="F615" s="11" t="inlineStr">
        <is>
          <t>Branco</t>
        </is>
      </c>
      <c r="G615" s="8" t="n">
        <v>1.43</v>
      </c>
      <c r="H615" s="11" t="inlineStr">
        <is>
          <t>The Lord of the Rings: Tales of Middle-earth (LTR)</t>
        </is>
      </c>
      <c r="I615" s="11" t="inlineStr">
        <is>
          <t>Não</t>
        </is>
      </c>
      <c r="J615" s="11" t="n">
        <v>2023</v>
      </c>
      <c r="K615" s="10" t="n">
        <v>46023</v>
      </c>
      <c r="L615" s="11" t="n">
        <v>1</v>
      </c>
      <c r="M615" s="8">
        <f>L615*G615</f>
        <v/>
      </c>
      <c r="P615" s="9" t="n"/>
    </row>
    <row r="616">
      <c r="A616" s="11" t="inlineStr">
        <is>
          <t>Príncipe Imrahil, o Belo / Prince Imrahil the Fair</t>
        </is>
      </c>
      <c r="B616" s="11" t="inlineStr">
        <is>
          <t>Criatura Lendária — Humano Nobre</t>
        </is>
      </c>
      <c r="C616" s="11" t="inlineStr">
        <is>
          <t>Incomum</t>
        </is>
      </c>
      <c r="D616" s="11" t="inlineStr">
        <is>
          <t>Toda vez que você comprar seu segundo card a cada turno, crie uma ficha de criatura Humano Soldado branca 1/1.</t>
        </is>
      </c>
      <c r="E616" s="11" t="inlineStr">
        <is>
          <t>{W}{U}</t>
        </is>
      </c>
      <c r="F616" s="11" t="inlineStr">
        <is>
          <t>Multicolorido (Branco e Azul)</t>
        </is>
      </c>
      <c r="G616" s="8" t="n">
        <v>0.25</v>
      </c>
      <c r="H616" s="11" t="inlineStr">
        <is>
          <t>The Lord of the Rings: Tales of Middle-earth (LTR)</t>
        </is>
      </c>
      <c r="I616" s="11" t="inlineStr">
        <is>
          <t>Não</t>
        </is>
      </c>
      <c r="J616" s="11" t="n">
        <v>2023</v>
      </c>
      <c r="K616" s="10" t="n">
        <v>46055</v>
      </c>
      <c r="L616" s="11" t="n">
        <v>1</v>
      </c>
      <c r="M616" s="8">
        <f>L616*G616</f>
        <v/>
      </c>
      <c r="P616" s="9" t="n"/>
    </row>
    <row r="617">
      <c r="A617" s="11" t="inlineStr">
        <is>
          <t>Tronquesperto, Jovem Ent / Quickbeam, Upstart Ent</t>
        </is>
      </c>
      <c r="B617" s="11" t="inlineStr">
        <is>
          <t>Criatura Lendária — Ent</t>
        </is>
      </c>
      <c r="C617" s="11" t="inlineStr">
        <is>
          <t>Incomum</t>
        </is>
      </c>
      <c r="D617" s="11" t="inlineStr">
        <is>
          <t>Toda vez que Tronquesperto, Jovem Ent, ou outro Ent entrar no campo de batalha sob seu controle, cada uma de até duas criaturas alvo recebe +2/+2 e ganha atropelar até o final do turno.</t>
        </is>
      </c>
      <c r="E617" s="11" t="inlineStr">
        <is>
          <t>4{G}{G}</t>
        </is>
      </c>
      <c r="F617" s="11" t="inlineStr">
        <is>
          <t>Verde</t>
        </is>
      </c>
      <c r="G617" s="8" t="n">
        <v>0.25</v>
      </c>
      <c r="H617" s="11" t="inlineStr">
        <is>
          <t>The Lord of the Rings: Tales of Middle-earth (LTR)</t>
        </is>
      </c>
      <c r="I617" s="11" t="inlineStr">
        <is>
          <t>Não</t>
        </is>
      </c>
      <c r="J617" s="11" t="n">
        <v>2023</v>
      </c>
      <c r="K617" s="10" t="n">
        <v>46178</v>
      </c>
      <c r="L617" s="11" t="n">
        <v>2</v>
      </c>
      <c r="M617" s="8">
        <f>L617*G617</f>
        <v/>
      </c>
      <c r="P617" s="9" t="n"/>
    </row>
    <row r="618">
      <c r="A618" s="11" t="inlineStr">
        <is>
          <t>Elrond, Senhor de Valfenda / Elrond, Lord of Rivendell</t>
        </is>
      </c>
      <c r="B618" s="11" t="inlineStr">
        <is>
          <t>Criatura Lendária — Elfo Nobre</t>
        </is>
      </c>
      <c r="C618" s="11" t="inlineStr">
        <is>
          <t>Incomum</t>
        </is>
      </c>
      <c r="D618" s="11"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8" s="11" t="inlineStr">
        <is>
          <t>2{U}</t>
        </is>
      </c>
      <c r="F618" s="11" t="inlineStr">
        <is>
          <t>Azul</t>
        </is>
      </c>
      <c r="G618" s="8" t="n">
        <v>0.39</v>
      </c>
      <c r="H618" s="11" t="inlineStr">
        <is>
          <t>The Lord of the Rings: Tales of Middle-earth (LTR)</t>
        </is>
      </c>
      <c r="I618" s="11" t="inlineStr">
        <is>
          <t>Não</t>
        </is>
      </c>
      <c r="J618" s="11" t="n">
        <v>2023</v>
      </c>
      <c r="K618" s="10" t="n">
        <v>46056</v>
      </c>
      <c r="L618" s="11" t="n">
        <v>2</v>
      </c>
      <c r="M618" s="8">
        <f>L618*G618</f>
        <v/>
      </c>
      <c r="P618" s="9" t="n"/>
    </row>
    <row r="619">
      <c r="A619" s="11" t="inlineStr">
        <is>
          <t>Gandalf, Amigo do Condado / Gandalf, Friend of the Shire</t>
        </is>
      </c>
      <c r="B619" s="11" t="inlineStr">
        <is>
          <t>Criatura Lendária — Avatar Mago</t>
        </is>
      </c>
      <c r="C619" s="11" t="inlineStr">
        <is>
          <t>Incomum</t>
        </is>
      </c>
      <c r="D619" s="11" t="inlineStr">
        <is>
          <t>Lampejo. Você pode conjurar mágicas de feitiço como se tivessem lampejo. Toda vez que o Anel tentar você, se você escolher uma criatura que não seja Gandalf, Amigo do Condado, como seu Guardião do Anel, compre um card.</t>
        </is>
      </c>
      <c r="E619" s="11" t="inlineStr">
        <is>
          <t>3{U}</t>
        </is>
      </c>
      <c r="F619" s="11" t="inlineStr">
        <is>
          <t>Azul</t>
        </is>
      </c>
      <c r="G619" s="8" t="n">
        <v>0.5</v>
      </c>
      <c r="H619" s="11" t="inlineStr">
        <is>
          <t>The Lord of the Rings: Tales of Middle-earth (LTR)</t>
        </is>
      </c>
      <c r="I619" s="11" t="inlineStr">
        <is>
          <t>Não</t>
        </is>
      </c>
      <c r="J619" s="11" t="n">
        <v>2023</v>
      </c>
      <c r="K619" s="10" t="n">
        <v>46114</v>
      </c>
      <c r="L619" s="11" t="n">
        <v>2</v>
      </c>
      <c r="M619" s="8">
        <f>L619*G619</f>
        <v/>
      </c>
      <c r="P619" s="9" t="n"/>
    </row>
    <row r="620">
      <c r="A620" s="11" t="inlineStr">
        <is>
          <t>Peregrin Tûk / Peregrin Took</t>
        </is>
      </c>
      <c r="B620" s="11" t="inlineStr">
        <is>
          <t>Criatura Lendária — Pequenino Cidadão</t>
        </is>
      </c>
      <c r="C620" s="11" t="inlineStr">
        <is>
          <t>Incomum</t>
        </is>
      </c>
      <c r="D620" s="11"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20" s="11" t="inlineStr">
        <is>
          <t>2{G}</t>
        </is>
      </c>
      <c r="F620" s="11" t="inlineStr">
        <is>
          <t>Verde</t>
        </is>
      </c>
      <c r="G620" s="8" t="n">
        <v>1.01</v>
      </c>
      <c r="H620" s="11" t="inlineStr">
        <is>
          <t>The Lord of the Rings: Tales of Middle-earth (LTR)</t>
        </is>
      </c>
      <c r="I620" s="11" t="inlineStr">
        <is>
          <t>Não</t>
        </is>
      </c>
      <c r="J620" s="11" t="n">
        <v>2023</v>
      </c>
      <c r="K620" s="10" t="n">
        <v>46083</v>
      </c>
      <c r="L620" s="11" t="n">
        <v>2</v>
      </c>
      <c r="M620" s="8">
        <f>L620*G620</f>
        <v/>
      </c>
      <c r="P620" s="9" t="n"/>
    </row>
    <row r="621">
      <c r="A621" s="11" t="inlineStr">
        <is>
          <t>Théoden, Rei de Rohan / Théoden, King of Rohan</t>
        </is>
      </c>
      <c r="B621" s="11" t="inlineStr">
        <is>
          <t>Criatura Lendária — Humano Nobre</t>
        </is>
      </c>
      <c r="C621" s="11" t="inlineStr">
        <is>
          <t>Incomum</t>
        </is>
      </c>
      <c r="D621" s="11" t="inlineStr">
        <is>
          <t>Toda vez que Théoden, Rei de Rohan, ou outro Humano entra no campo de batalha sob seu controle, a criatura alvo ganha golpe duplo até o final do turno.</t>
        </is>
      </c>
      <c r="E621" s="11" t="inlineStr">
        <is>
          <t>1{R}{W}</t>
        </is>
      </c>
      <c r="F621" s="11" t="inlineStr">
        <is>
          <t>Multicolorido (Vermelho e Branco)</t>
        </is>
      </c>
      <c r="G621" s="8" t="n">
        <v>0.23</v>
      </c>
      <c r="H621" s="11" t="inlineStr">
        <is>
          <t>The Lord of the Rings: Tales of Middle-earth (LTR)</t>
        </is>
      </c>
      <c r="I621" s="11" t="inlineStr">
        <is>
          <t>Não</t>
        </is>
      </c>
      <c r="J621" s="11" t="n">
        <v>2023</v>
      </c>
      <c r="K621" s="10" t="n">
        <v>46083</v>
      </c>
      <c r="L621" s="11" t="n">
        <v>1</v>
      </c>
      <c r="M621" s="8">
        <f>L621*G621</f>
        <v/>
      </c>
      <c r="P621" s="9" t="n"/>
    </row>
    <row r="622">
      <c r="A622" s="11" t="inlineStr">
        <is>
          <t>Celeborn, o Sábio / Celeborn the Wise</t>
        </is>
      </c>
      <c r="B622" s="11" t="inlineStr">
        <is>
          <t>Criatura Lendária — Elfo Nobre</t>
        </is>
      </c>
      <c r="C622" s="11" t="inlineStr">
        <is>
          <t>Incomum</t>
        </is>
      </c>
      <c r="D622" s="11"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22" s="11" t="inlineStr">
        <is>
          <t>1{G}</t>
        </is>
      </c>
      <c r="F622" s="11" t="inlineStr">
        <is>
          <t>Verde</t>
        </is>
      </c>
      <c r="G622" s="8" t="n">
        <v>0.2</v>
      </c>
      <c r="H622" s="11" t="inlineStr">
        <is>
          <t>The Lord of the Rings: Tales of Middle-earth (LTR)</t>
        </is>
      </c>
      <c r="I622" s="11" t="inlineStr">
        <is>
          <t>Não</t>
        </is>
      </c>
      <c r="J622" s="11" t="n">
        <v>2023</v>
      </c>
      <c r="K622" s="10" t="n">
        <v>46084</v>
      </c>
      <c r="L622" s="11" t="n">
        <v>2</v>
      </c>
      <c r="M622" s="8">
        <f>L622*G622</f>
        <v/>
      </c>
      <c r="P622" s="9" t="n"/>
    </row>
    <row r="623">
      <c r="A623" s="11" t="inlineStr">
        <is>
          <t>Ensopar os Coelhos / Stew the Cones</t>
        </is>
      </c>
      <c r="B623" s="11" t="inlineStr">
        <is>
          <t>Mágica Instantânea</t>
        </is>
      </c>
      <c r="C623" s="11" t="inlineStr">
        <is>
          <t>Incomum</t>
        </is>
      </c>
      <c r="D623" s="11" t="inlineStr">
        <is>
          <t>A criatura alvo que você controla causa dano igual ao seu poder à criatura alvo que você não controla. Crie uma ficha de Comida.</t>
        </is>
      </c>
      <c r="E623" s="11" t="inlineStr">
        <is>
          <t>2{G}</t>
        </is>
      </c>
      <c r="F623" s="11" t="inlineStr">
        <is>
          <t>Verde</t>
        </is>
      </c>
      <c r="G623" s="8" t="n">
        <v>0.18</v>
      </c>
      <c r="H623" s="11" t="inlineStr">
        <is>
          <t>The Lord of the Rings: Tales of Middle-earth (LTR)</t>
        </is>
      </c>
      <c r="I623" s="11" t="inlineStr">
        <is>
          <t>Não</t>
        </is>
      </c>
      <c r="J623" s="11" t="n">
        <v>2023</v>
      </c>
      <c r="L623" s="11" t="n">
        <v>1</v>
      </c>
      <c r="M623" s="8">
        <f>L623*G623</f>
        <v/>
      </c>
      <c r="P623" s="9" t="n"/>
    </row>
    <row r="624">
      <c r="A624" s="11" t="inlineStr">
        <is>
          <t>Trilheira Wose / Wose Pathfinder</t>
        </is>
      </c>
      <c r="B624" s="11" t="inlineStr">
        <is>
          <t>Criatura — Humano Xamã</t>
        </is>
      </c>
      <c r="C624" s="11" t="inlineStr">
        <is>
          <t>Comum</t>
        </is>
      </c>
      <c r="D624" s="11" t="inlineStr">
        <is>
          <t>{T}: Adicione um mana de qualquer cor. {6}{G}, {T}: Outra criatura alvo recebe +3/+3 e ganha atropelar até o final do turno.</t>
        </is>
      </c>
      <c r="E624" s="11" t="inlineStr">
        <is>
          <t>1{G}</t>
        </is>
      </c>
      <c r="F624" s="11" t="inlineStr">
        <is>
          <t>Verde</t>
        </is>
      </c>
      <c r="G624" s="8" t="n">
        <v>0.08</v>
      </c>
      <c r="H624" s="11" t="inlineStr">
        <is>
          <t>The Lord of the Rings: Tales of Middle-earth (LTR)</t>
        </is>
      </c>
      <c r="I624" s="11" t="inlineStr">
        <is>
          <t>Não</t>
        </is>
      </c>
      <c r="J624" s="11" t="n">
        <v>2023</v>
      </c>
      <c r="K624" s="10" t="n">
        <v>46023</v>
      </c>
      <c r="L624" s="11" t="n">
        <v>1</v>
      </c>
      <c r="M624" s="8">
        <f>L624*G624</f>
        <v/>
      </c>
      <c r="P624" s="9" t="n"/>
    </row>
    <row r="625">
      <c r="A625" s="11" t="inlineStr">
        <is>
          <t>Longa Lista dos Ents / Long List of the Ents</t>
        </is>
      </c>
      <c r="B625" s="11" t="inlineStr">
        <is>
          <t>Encantamento — Saga</t>
        </is>
      </c>
      <c r="C625" s="11" t="inlineStr">
        <is>
          <t>Incomum</t>
        </is>
      </c>
      <c r="D625" s="11"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5" s="11" t="inlineStr">
        <is>
          <t>{G}</t>
        </is>
      </c>
      <c r="F625" s="11" t="inlineStr">
        <is>
          <t>Verde</t>
        </is>
      </c>
      <c r="G625" s="8" t="n">
        <v>0.2</v>
      </c>
      <c r="H625" s="11" t="inlineStr">
        <is>
          <t>The Lord of the Rings: Tales of Middle-earth (LTR)</t>
        </is>
      </c>
      <c r="I625" s="11" t="inlineStr">
        <is>
          <t>Não</t>
        </is>
      </c>
      <c r="J625" s="11" t="n">
        <v>2023</v>
      </c>
      <c r="L625" s="11" t="n">
        <v>1</v>
      </c>
      <c r="M625" s="8">
        <f>L625*G625</f>
        <v/>
      </c>
      <c r="P625" s="9" t="n"/>
    </row>
    <row r="626">
      <c r="A626" s="11" t="inlineStr">
        <is>
          <t>Fúria do Ent / Ent's Fury</t>
        </is>
      </c>
      <c r="B626" s="11" t="inlineStr">
        <is>
          <t>Feitiço</t>
        </is>
      </c>
      <c r="C626" s="11" t="inlineStr">
        <is>
          <t>Comum</t>
        </is>
      </c>
      <c r="D626" s="11" t="inlineStr">
        <is>
          <t>Coloque um marcador +1/+1 na criatura alvo que você controla se o poder dela for igual ou superior a 4Normally I can help with things like this, but I don't seem to have access to that content. You can try again or ask me for something else.</t>
        </is>
      </c>
      <c r="E626" s="11" t="inlineStr">
        <is>
          <t>1{G}</t>
        </is>
      </c>
      <c r="F626" s="11" t="inlineStr">
        <is>
          <t>Verde</t>
        </is>
      </c>
      <c r="G626" s="8" t="n">
        <v>0.08</v>
      </c>
      <c r="H626" s="11" t="inlineStr">
        <is>
          <t>The Lord of the Rings: Tales of Middle-earth (LTR)</t>
        </is>
      </c>
      <c r="I626" s="11" t="inlineStr">
        <is>
          <t>Não</t>
        </is>
      </c>
      <c r="J626" s="11" t="n">
        <v>2023</v>
      </c>
      <c r="L626" s="11" t="n">
        <v>1</v>
      </c>
      <c r="M626" s="8">
        <f>L626*G626</f>
        <v/>
      </c>
      <c r="P626" s="9" t="n"/>
    </row>
    <row r="627">
      <c r="A627" s="11" t="inlineStr">
        <is>
          <t>Bravura de Pippin / Pippin's Bravery</t>
        </is>
      </c>
      <c r="B627" s="11" t="inlineStr">
        <is>
          <t>Mágica Instantânea</t>
        </is>
      </c>
      <c r="C627" s="11" t="inlineStr">
        <is>
          <t>Comum</t>
        </is>
      </c>
      <c r="D627" s="11" t="inlineStr">
        <is>
          <t>Você pode sacrificar uma Comida. Se fazer isso, a criatura alvo receberá +4/+4 até o final do turno. Caso contrário, aquela criatura recebe +2/+2 até o final do turno.</t>
        </is>
      </c>
      <c r="E627" s="11" t="inlineStr">
        <is>
          <t>{G}</t>
        </is>
      </c>
      <c r="F627" s="11" t="inlineStr">
        <is>
          <t>Verde</t>
        </is>
      </c>
      <c r="G627" s="8" t="n">
        <v>0.14</v>
      </c>
      <c r="H627" s="11" t="inlineStr">
        <is>
          <t>The Lord of the Rings: Tales of Middle-earth (LTR)</t>
        </is>
      </c>
      <c r="I627" s="11" t="inlineStr">
        <is>
          <t>Não</t>
        </is>
      </c>
      <c r="J627" s="11" t="n">
        <v>2023</v>
      </c>
      <c r="L627" s="11" t="n">
        <v>1</v>
      </c>
      <c r="M627" s="8">
        <f>L627*G627</f>
        <v/>
      </c>
      <c r="P627" s="9" t="n"/>
    </row>
    <row r="628">
      <c r="A628" s="11" t="inlineStr">
        <is>
          <t>Meriadoc Brandebuque / Meriadoc Brandybuck</t>
        </is>
      </c>
      <c r="B628" s="11" t="inlineStr">
        <is>
          <t>Criatura Lendária — Pequenino Cidadão</t>
        </is>
      </c>
      <c r="C628" s="11" t="inlineStr">
        <is>
          <t>Incomum</t>
        </is>
      </c>
      <c r="D628" s="11" t="inlineStr">
        <is>
          <t>Toda vez que um ou mais Pequeninos que você controla atacarem um jogador, crie uma ficha de Comida. (Ela é um artefato com "2, {T}, sacrifique este artefato: Você ganha 3 pontos de vida".)</t>
        </is>
      </c>
      <c r="E628" s="11" t="inlineStr">
        <is>
          <t>1{G}</t>
        </is>
      </c>
      <c r="F628" s="11" t="inlineStr">
        <is>
          <t>Verde</t>
        </is>
      </c>
      <c r="G628" s="8" t="n">
        <v>0.09</v>
      </c>
      <c r="H628" s="11" t="inlineStr">
        <is>
          <t>The Lord of the Rings: Tales of Middle-earth (LTR)</t>
        </is>
      </c>
      <c r="I628" s="11" t="inlineStr">
        <is>
          <t>Não</t>
        </is>
      </c>
      <c r="J628" s="11" t="n">
        <v>2023</v>
      </c>
      <c r="K628" s="10" t="n">
        <v>46055</v>
      </c>
      <c r="L628" s="11" t="n">
        <v>1</v>
      </c>
      <c r="M628" s="8">
        <f>L628*G628</f>
        <v/>
      </c>
      <c r="P628" s="9" t="n"/>
    </row>
    <row r="629">
      <c r="A629" s="11" t="inlineStr">
        <is>
          <t>Glorfindel, Salvador Destemido / Glorfindel, Dauntless Rescue</t>
        </is>
      </c>
      <c r="B629" s="11" t="inlineStr">
        <is>
          <t>Criatura Lendária — Elfo Nobre</t>
        </is>
      </c>
      <c r="C629" s="11" t="inlineStr">
        <is>
          <t>Incomum</t>
        </is>
      </c>
      <c r="D629" s="11"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9" s="11" t="inlineStr">
        <is>
          <t>2{G}</t>
        </is>
      </c>
      <c r="F629" s="11" t="inlineStr">
        <is>
          <t>Verde</t>
        </is>
      </c>
      <c r="G629" s="8" t="n">
        <v>0.09</v>
      </c>
      <c r="H629" s="11" t="inlineStr">
        <is>
          <t>The Lord of the Rings: Tales of Middle-earth (LTR)</t>
        </is>
      </c>
      <c r="I629" s="11" t="inlineStr">
        <is>
          <t>Não</t>
        </is>
      </c>
      <c r="J629" s="11" t="n">
        <v>2023</v>
      </c>
      <c r="K629" s="10" t="n">
        <v>46056</v>
      </c>
      <c r="L629" s="11" t="n">
        <v>1</v>
      </c>
      <c r="M629" s="8">
        <f>L629*G629</f>
        <v/>
      </c>
      <c r="P629" s="9" t="n"/>
    </row>
    <row r="630">
      <c r="A630" s="11" t="inlineStr">
        <is>
          <t>Bill Samambaia, Vigarista de Bree / Bill Ferny, Bree Swindler</t>
        </is>
      </c>
      <c r="B630" s="11" t="inlineStr">
        <is>
          <t>Criatura Lendária — Humano Ladino</t>
        </is>
      </c>
      <c r="C630" s="11" t="inlineStr">
        <is>
          <t>Incomum</t>
        </is>
      </c>
      <c r="D630" s="11"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30" s="11" t="inlineStr">
        <is>
          <t>1{U}</t>
        </is>
      </c>
      <c r="F630" s="11" t="inlineStr">
        <is>
          <t>Azul</t>
        </is>
      </c>
      <c r="G630" s="8" t="n">
        <v>0.09</v>
      </c>
      <c r="H630" s="11" t="inlineStr">
        <is>
          <t>The Lord of the Rings: Tales of Middle-earth (LTR)</t>
        </is>
      </c>
      <c r="I630" s="11" t="inlineStr">
        <is>
          <t>Não</t>
        </is>
      </c>
      <c r="J630" s="11" t="n">
        <v>2023</v>
      </c>
      <c r="K630" s="10" t="n">
        <v>46024</v>
      </c>
      <c r="L630" s="11" t="n">
        <v>2</v>
      </c>
      <c r="M630" s="8">
        <f>L630*G630</f>
        <v/>
      </c>
      <c r="P630" s="9" t="n"/>
    </row>
    <row r="631">
      <c r="A631" s="11" t="inlineStr">
        <is>
          <t>Dádiva de Arwen / Arwen's Gift</t>
        </is>
      </c>
      <c r="B631" s="11" t="inlineStr">
        <is>
          <t>Feitiço</t>
        </is>
      </c>
      <c r="C631" s="11" t="inlineStr">
        <is>
          <t>Comum</t>
        </is>
      </c>
      <c r="D631" s="11" t="inlineStr">
        <is>
          <t>Esta mágica custa {1} a menos para ser conjurada se você controla duas ou mais criaturas lendárias. Use vidência 2 e depois compre dois cards.</t>
        </is>
      </c>
      <c r="E631" s="11" t="inlineStr">
        <is>
          <t>3{U}</t>
        </is>
      </c>
      <c r="F631" s="11" t="inlineStr">
        <is>
          <t>Azul</t>
        </is>
      </c>
      <c r="G631" s="8" t="n">
        <v>0.08</v>
      </c>
      <c r="H631" s="11" t="inlineStr">
        <is>
          <t>The Lord of the Rings: Tales of Middle-earth (LTR)</t>
        </is>
      </c>
      <c r="I631" s="11" t="inlineStr">
        <is>
          <t>Não</t>
        </is>
      </c>
      <c r="J631" s="11" t="n">
        <v>2023</v>
      </c>
      <c r="L631" s="11" t="n">
        <v>2</v>
      </c>
      <c r="M631" s="8">
        <f>L631*G631</f>
        <v/>
      </c>
      <c r="P631" s="9" t="n"/>
    </row>
    <row r="632">
      <c r="A632" s="11" t="inlineStr">
        <is>
          <t>A Canção do Banho / Bath Song</t>
        </is>
      </c>
      <c r="B632" s="11" t="inlineStr">
        <is>
          <t>Encantamento — Saga</t>
        </is>
      </c>
      <c r="C632" s="11" t="inlineStr">
        <is>
          <t>Incomum</t>
        </is>
      </c>
      <c r="D632" s="11"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32" s="11" t="inlineStr">
        <is>
          <t>3{U}</t>
        </is>
      </c>
      <c r="F632" s="11" t="inlineStr">
        <is>
          <t>Azul</t>
        </is>
      </c>
      <c r="G632" s="8" t="n">
        <v>0.25</v>
      </c>
      <c r="H632" s="11" t="inlineStr">
        <is>
          <t>The Lord of the Rings: Tales of Middle-earth (LTR)</t>
        </is>
      </c>
      <c r="I632" s="11" t="inlineStr">
        <is>
          <t>Não</t>
        </is>
      </c>
      <c r="J632" s="11" t="n">
        <v>2023</v>
      </c>
      <c r="L632" s="11" t="n">
        <v>2</v>
      </c>
      <c r="M632" s="8">
        <f>L632*G632</f>
        <v/>
      </c>
      <c r="P632" s="9" t="n"/>
    </row>
    <row r="633">
      <c r="A633" s="11" t="inlineStr">
        <is>
          <t>Capitã de Umbar / Captain of Umbar</t>
        </is>
      </c>
      <c r="B633" s="11" t="inlineStr">
        <is>
          <t>Criatura — Humano Pirata</t>
        </is>
      </c>
      <c r="C633" s="11" t="inlineStr">
        <is>
          <t>Comum</t>
        </is>
      </c>
      <c r="D633" s="11" t="inlineStr">
        <is>
          <t>{1}, {T}: Compre um card e depois descarte um card.</t>
        </is>
      </c>
      <c r="E633" s="11" t="inlineStr">
        <is>
          <t>2{U}</t>
        </is>
      </c>
      <c r="F633" s="11" t="inlineStr">
        <is>
          <t>Azul</t>
        </is>
      </c>
      <c r="G633" s="8" t="n">
        <v>0.08</v>
      </c>
      <c r="H633" s="11" t="inlineStr">
        <is>
          <t>The Lord of the Rings: Tales of Middle-earth (LTR)</t>
        </is>
      </c>
      <c r="I633" s="11" t="inlineStr">
        <is>
          <t>Não</t>
        </is>
      </c>
      <c r="J633" s="11" t="n">
        <v>2023</v>
      </c>
      <c r="K633" s="10" t="n">
        <v>46083</v>
      </c>
      <c r="L633" s="11" t="n">
        <v>2</v>
      </c>
      <c r="M633" s="8">
        <f>L633*G633</f>
        <v/>
      </c>
      <c r="P633" s="9" t="n"/>
    </row>
    <row r="634">
      <c r="A634" s="11" t="inlineStr">
        <is>
          <t>Deliberação do Conselho / Council's Deliberation</t>
        </is>
      </c>
      <c r="B634" s="11" t="inlineStr">
        <is>
          <t>Mágica Instantânea</t>
        </is>
      </c>
      <c r="C634" s="11" t="inlineStr">
        <is>
          <t>Incomum</t>
        </is>
      </c>
      <c r="D634" s="11" t="inlineStr">
        <is>
          <t>Comre um card. Toda vez que usa vidência, se você controla uma Ilha, você pode exilar Deliberação do Conselho de seu cemitério. Se fizer isso, compre um card.</t>
        </is>
      </c>
      <c r="E634" s="11" t="inlineStr">
        <is>
          <t>1{U}</t>
        </is>
      </c>
      <c r="F634" s="11" t="inlineStr">
        <is>
          <t>Azul</t>
        </is>
      </c>
      <c r="G634" s="8" t="n">
        <v>0.21</v>
      </c>
      <c r="H634" s="11" t="inlineStr">
        <is>
          <t>The Lord of the Rings: Tales of Middle-earth (LTR)</t>
        </is>
      </c>
      <c r="I634" s="11" t="inlineStr">
        <is>
          <t>Não</t>
        </is>
      </c>
      <c r="J634" s="11" t="n">
        <v>2023</v>
      </c>
      <c r="L634" s="11" t="n">
        <v>1</v>
      </c>
      <c r="M634" s="8">
        <f>L634*G634</f>
        <v/>
      </c>
      <c r="P634" s="9" t="n"/>
    </row>
    <row r="635">
      <c r="A635" s="11" t="inlineStr">
        <is>
          <t>Nós de Hithlain / Hithlain Knots</t>
        </is>
      </c>
      <c r="B635" s="11" t="inlineStr">
        <is>
          <t>Mágica Instantânea</t>
        </is>
      </c>
      <c r="C635" s="11" t="inlineStr">
        <is>
          <t>Comum</t>
        </is>
      </c>
      <c r="D635" s="11" t="inlineStr">
        <is>
          <t>Vire a criatura alvo. Use vidência 1. Compre um card.</t>
        </is>
      </c>
      <c r="E635" s="11" t="inlineStr">
        <is>
          <t>1{U}</t>
        </is>
      </c>
      <c r="F635" s="11" t="inlineStr">
        <is>
          <t>Azul</t>
        </is>
      </c>
      <c r="G635" s="8" t="n">
        <v>0.08</v>
      </c>
      <c r="H635" s="11" t="inlineStr">
        <is>
          <t>The Lord of the Rings: Tales of Middle-earth (LTR)</t>
        </is>
      </c>
      <c r="I635" s="11" t="inlineStr">
        <is>
          <t>Não</t>
        </is>
      </c>
      <c r="J635" s="11" t="n">
        <v>2023</v>
      </c>
      <c r="L635" s="11" t="n">
        <v>1</v>
      </c>
      <c r="M635" s="8">
        <f>L635*G635</f>
        <v/>
      </c>
      <c r="P635" s="9" t="n"/>
    </row>
    <row r="636">
      <c r="A636" s="11" t="inlineStr">
        <is>
          <t>Isolamento em Orthanc / Isolation at Orthanc</t>
        </is>
      </c>
      <c r="B636" s="11" t="inlineStr">
        <is>
          <t>Mágica Instantânea</t>
        </is>
      </c>
      <c r="C636" s="11" t="inlineStr">
        <is>
          <t>Comum</t>
        </is>
      </c>
      <c r="D636" s="11" t="inlineStr">
        <is>
          <t>Coloque a criatura alvo no topo do grimório do seu dono na segunda posição.</t>
        </is>
      </c>
      <c r="E636" s="11" t="inlineStr">
        <is>
          <t>3{U}</t>
        </is>
      </c>
      <c r="F636" s="11" t="inlineStr">
        <is>
          <t>Azul</t>
        </is>
      </c>
      <c r="G636" s="8" t="n">
        <v>0.08</v>
      </c>
      <c r="H636" s="11" t="inlineStr">
        <is>
          <t>The Lord of the Rings: Tales of Middle-earth (LTR)</t>
        </is>
      </c>
      <c r="I636" s="11" t="inlineStr">
        <is>
          <t>Não</t>
        </is>
      </c>
      <c r="J636" s="11" t="n">
        <v>2023</v>
      </c>
      <c r="L636" s="11" t="n">
        <v>1</v>
      </c>
      <c r="M636" s="8">
        <f>L636*G636</f>
        <v/>
      </c>
      <c r="P636" s="9" t="n"/>
    </row>
    <row r="637">
      <c r="A637" s="11" t="inlineStr">
        <is>
          <t>Meneldor, Salvador Célere / Meneldor, Swift Savior</t>
        </is>
      </c>
      <c r="B637" s="11" t="inlineStr">
        <is>
          <t>Criatura Lendária — Ave Soldado</t>
        </is>
      </c>
      <c r="C637" s="11" t="inlineStr">
        <is>
          <t>Incomum</t>
        </is>
      </c>
      <c r="D637" s="11" t="inlineStr">
        <is>
          <t>Voar Toda vez que Meneldor, Salvador Célere, causar dano de combate a um jogador, exile até uma criatura alvo que você possui e depois devolva-a ao campo de batalha sob seu controle.</t>
        </is>
      </c>
      <c r="E637" s="11" t="inlineStr">
        <is>
          <t>3{U}</t>
        </is>
      </c>
      <c r="F637" s="11" t="inlineStr">
        <is>
          <t>Azul</t>
        </is>
      </c>
      <c r="G637" s="8" t="n">
        <v>0.13</v>
      </c>
      <c r="H637" s="11" t="inlineStr">
        <is>
          <t>The Lord of the Rings: Tales of Middle-earth (LTR)</t>
        </is>
      </c>
      <c r="I637" s="11" t="inlineStr">
        <is>
          <t>Não</t>
        </is>
      </c>
      <c r="J637" s="11" t="n">
        <v>2023</v>
      </c>
      <c r="K637" s="10" t="n">
        <v>46084</v>
      </c>
      <c r="L637" s="11" t="n">
        <v>1</v>
      </c>
      <c r="M637" s="8">
        <f>L637*G637</f>
        <v/>
      </c>
      <c r="P637" s="9" t="n"/>
    </row>
    <row r="638">
      <c r="A638" s="11" t="inlineStr">
        <is>
          <t>Sobrevivente de Pelargir / Pelargir Survivor</t>
        </is>
      </c>
      <c r="B638" s="11" t="inlineStr">
        <is>
          <t>Criatura — Humano Plebeu</t>
        </is>
      </c>
      <c r="C638" s="11" t="inlineStr">
        <is>
          <t>Comum</t>
        </is>
      </c>
      <c r="D638" s="11" t="inlineStr">
        <is>
          <t>{T}: Adicione um mana de qualquer cor. Gaste este mana apenas para conjurar uma mágica instantânea ou um feitiço. {5}{U}, {T}: O jogador alvo tritura três cards. (Ele coloca os três cards do topo do próprio grimório no próprio cemitério.)</t>
        </is>
      </c>
      <c r="E638" s="11" t="inlineStr">
        <is>
          <t>1{U}</t>
        </is>
      </c>
      <c r="F638" s="11" t="inlineStr">
        <is>
          <t>Azul</t>
        </is>
      </c>
      <c r="G638" s="8" t="n">
        <v>0.08</v>
      </c>
      <c r="H638" s="11" t="inlineStr">
        <is>
          <t>The Lord of the Rings: Tales of Middle-earth (LTR)</t>
        </is>
      </c>
      <c r="I638" s="11" t="inlineStr">
        <is>
          <t>Não</t>
        </is>
      </c>
      <c r="J638" s="11" t="n">
        <v>2023</v>
      </c>
      <c r="K638" s="10" t="n">
        <v>46082</v>
      </c>
      <c r="L638" s="11" t="n">
        <v>1</v>
      </c>
      <c r="M638" s="8">
        <f>L638*G638</f>
        <v/>
      </c>
      <c r="P638" s="9" t="n"/>
    </row>
    <row r="639">
      <c r="A639" s="11" t="inlineStr">
        <is>
          <t>Artimanhas de Saruman / Saruman's Trickery</t>
        </is>
      </c>
      <c r="B639" s="11" t="inlineStr">
        <is>
          <t>Mágica Instantânea</t>
        </is>
      </c>
      <c r="C639" s="11" t="inlineStr">
        <is>
          <t>Incomum</t>
        </is>
      </c>
      <c r="D639" s="11" t="inlineStr">
        <is>
          <t>Anule a mágica alvo. Arregimente Orcs 1. (Coloque um marcador +1/+1 em um Exército que você controla. Ele também é um Orc. Se você não controlar um Exército, crie antes uma ficha de criatura Orc Exército preta 0/0.)</t>
        </is>
      </c>
      <c r="E639" s="11" t="inlineStr">
        <is>
          <t>1{U}{U}</t>
        </is>
      </c>
      <c r="F639" s="11" t="inlineStr">
        <is>
          <t>Azul</t>
        </is>
      </c>
      <c r="G639" s="8" t="n">
        <v>0.31</v>
      </c>
      <c r="H639" s="11" t="inlineStr">
        <is>
          <t>The Lord of the Rings: Tales of Middle-earth (LTR)</t>
        </is>
      </c>
      <c r="I639" s="11" t="inlineStr">
        <is>
          <t>Não</t>
        </is>
      </c>
      <c r="J639" s="11" t="n">
        <v>2023</v>
      </c>
      <c r="L639" s="11" t="n">
        <v>2</v>
      </c>
      <c r="M639" s="8">
        <f>L639*G639</f>
        <v/>
      </c>
      <c r="P639" s="9" t="n"/>
    </row>
    <row r="640">
      <c r="A640" s="11" t="inlineStr">
        <is>
          <t>Cercados por Orcs / Surrounded by Orcs</t>
        </is>
      </c>
      <c r="B640" s="11" t="inlineStr">
        <is>
          <t>Feitiço</t>
        </is>
      </c>
      <c r="C640" s="11" t="inlineStr">
        <is>
          <t>Comum</t>
        </is>
      </c>
      <c r="D640" s="11"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40" s="11" t="inlineStr">
        <is>
          <t>3{U}</t>
        </is>
      </c>
      <c r="F640" s="11" t="inlineStr">
        <is>
          <t>Azul</t>
        </is>
      </c>
      <c r="G640" s="8" t="n">
        <v>0.08</v>
      </c>
      <c r="H640" s="11" t="inlineStr">
        <is>
          <t>The Lord of the Rings: Tales of Middle-earth (LTR)</t>
        </is>
      </c>
      <c r="I640" s="11" t="inlineStr">
        <is>
          <t>Não</t>
        </is>
      </c>
      <c r="J640" s="11" t="n">
        <v>2023</v>
      </c>
      <c r="L640" s="11" t="n">
        <v>1</v>
      </c>
      <c r="M640" s="8">
        <f>L640*G640</f>
        <v/>
      </c>
      <c r="P640" s="9" t="n"/>
    </row>
    <row r="641">
      <c r="A641" s="11" t="inlineStr">
        <is>
          <t>Cavaleiros de Dol Amroth / Knights of Dol Amroth</t>
        </is>
      </c>
      <c r="B641" s="11" t="inlineStr">
        <is>
          <t>Criatura — Humano Cavaleiro</t>
        </is>
      </c>
      <c r="C641" s="11" t="inlineStr">
        <is>
          <t>Comum</t>
        </is>
      </c>
      <c r="D641" s="11" t="inlineStr">
        <is>
          <t>Toda vez que você comprar seu segundo card a cada turno, coloque um marcador +1/+1 em Cavaleiros de Dol Amroth.</t>
        </is>
      </c>
      <c r="E641" s="11" t="inlineStr">
        <is>
          <t>3{U}</t>
        </is>
      </c>
      <c r="F641" s="11" t="inlineStr">
        <is>
          <t>Azul</t>
        </is>
      </c>
      <c r="G641" s="8" t="n">
        <v>0.14</v>
      </c>
      <c r="H641" s="11" t="inlineStr">
        <is>
          <t>The Lord of the Rings: Tales of Middle-earth (LTR)</t>
        </is>
      </c>
      <c r="I641" s="11" t="inlineStr">
        <is>
          <t>Não</t>
        </is>
      </c>
      <c r="J641" s="11" t="n">
        <v>2023</v>
      </c>
      <c r="K641" s="10" t="n">
        <v>46084</v>
      </c>
      <c r="L641" s="11" t="n">
        <v>1</v>
      </c>
      <c r="M641" s="8">
        <f>L641*G641</f>
        <v/>
      </c>
      <c r="P641" s="9" t="n"/>
    </row>
    <row r="642">
      <c r="A642" s="11" t="inlineStr">
        <is>
          <t>Saruman, o Branco / Saruman the White</t>
        </is>
      </c>
      <c r="B642" s="11" t="inlineStr">
        <is>
          <t>Criatura Lendária — Avatar Mago</t>
        </is>
      </c>
      <c r="C642" s="11" t="inlineStr">
        <is>
          <t>Incomum</t>
        </is>
      </c>
      <c r="D642" s="11"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42" s="11" t="inlineStr">
        <is>
          <t>4{U}</t>
        </is>
      </c>
      <c r="F642" s="11" t="inlineStr">
        <is>
          <t>Azul</t>
        </is>
      </c>
      <c r="G642" s="8" t="n">
        <v>0.25</v>
      </c>
      <c r="H642" s="11" t="inlineStr">
        <is>
          <t>The Lord of the Rings: Tales of Middle-earth (LTR)</t>
        </is>
      </c>
      <c r="I642" s="11" t="inlineStr">
        <is>
          <t>Não</t>
        </is>
      </c>
      <c r="J642" s="11" t="n">
        <v>2023</v>
      </c>
      <c r="K642" s="10" t="n">
        <v>46116</v>
      </c>
      <c r="L642" s="11" t="n">
        <v>1</v>
      </c>
      <c r="M642" s="8">
        <f>L642*G642</f>
        <v/>
      </c>
      <c r="P642" s="9" t="n"/>
    </row>
    <row r="643">
      <c r="A643" s="11" t="inlineStr">
        <is>
          <t>Ioreth da Casa de Cura / Ioreth of the Healing House</t>
        </is>
      </c>
      <c r="B643" s="11" t="inlineStr">
        <is>
          <t>Criatura Lendária — Humano Clérigo</t>
        </is>
      </c>
      <c r="C643" s="11" t="inlineStr">
        <is>
          <t>Incomum</t>
        </is>
      </c>
      <c r="D643" s="11" t="inlineStr">
        <is>
          <t>{T}: Desvire outra permanente alvo. {T}: Desvire duas outras criaturas lendárias alvo.</t>
        </is>
      </c>
      <c r="E643" s="11" t="inlineStr">
        <is>
          <t>2{U}</t>
        </is>
      </c>
      <c r="F643" s="11" t="inlineStr">
        <is>
          <t>Azul</t>
        </is>
      </c>
      <c r="G643" s="8" t="n">
        <v>0.34</v>
      </c>
      <c r="H643" s="11" t="inlineStr">
        <is>
          <t>The Lord of the Rings: Tales of Middle-earth (LTR)</t>
        </is>
      </c>
      <c r="I643" s="11" t="inlineStr">
        <is>
          <t>Não</t>
        </is>
      </c>
      <c r="J643" s="11" t="n">
        <v>2023</v>
      </c>
      <c r="K643" s="10" t="n">
        <v>46113</v>
      </c>
      <c r="L643" s="11" t="n">
        <v>2</v>
      </c>
      <c r="M643" s="8">
        <f>L643*G643</f>
        <v/>
      </c>
      <c r="P643" s="9" t="n"/>
    </row>
    <row r="644">
      <c r="A644" s="11" t="inlineStr">
        <is>
          <t>Condestável do Condado / Shire Shirriff</t>
        </is>
      </c>
      <c r="B644" s="11" t="inlineStr">
        <is>
          <t>Criatura — Pequenino Soldado</t>
        </is>
      </c>
      <c r="C644" s="11" t="inlineStr">
        <is>
          <t>Incomum</t>
        </is>
      </c>
      <c r="D644" s="11"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4" s="11" t="inlineStr">
        <is>
          <t>1{W}</t>
        </is>
      </c>
      <c r="F644" s="11" t="inlineStr">
        <is>
          <t>Branco</t>
        </is>
      </c>
      <c r="G644" s="8" t="n">
        <v>0.24</v>
      </c>
      <c r="H644" s="11" t="inlineStr">
        <is>
          <t>The Lord of the Rings: Tales of Middle-earth (LTR)</t>
        </is>
      </c>
      <c r="I644" s="11" t="inlineStr">
        <is>
          <t>Não</t>
        </is>
      </c>
      <c r="J644" s="11" t="n">
        <v>2023</v>
      </c>
      <c r="K644" s="10" t="n">
        <v>46055</v>
      </c>
      <c r="L644" s="11" t="n">
        <v>1</v>
      </c>
      <c r="M644" s="8">
        <f>L644*G644</f>
        <v/>
      </c>
      <c r="P644" s="9" t="n"/>
    </row>
    <row r="645">
      <c r="A645" s="11" t="inlineStr">
        <is>
          <t>Llewen, Imperfect Naturalist</t>
        </is>
      </c>
      <c r="B645" s="11" t="inlineStr">
        <is>
          <t>Legendary Creature — Elf Druid</t>
        </is>
      </c>
      <c r="C645" s="11" t="inlineStr">
        <is>
          <t>Rare</t>
        </is>
      </c>
      <c r="D645" s="11"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5" s="11" t="inlineStr">
        <is>
          <t>{G/B}{G/B}</t>
        </is>
      </c>
      <c r="F645" s="11" t="inlineStr">
        <is>
          <t>Preto, Verde</t>
        </is>
      </c>
      <c r="G645" s="8" t="n">
        <v>1.35</v>
      </c>
      <c r="H645" s="11" t="inlineStr">
        <is>
          <t>Lorwin Lorwyn Eclipsed (ECL)ipsed</t>
        </is>
      </c>
      <c r="I645" s="11" t="inlineStr">
        <is>
          <t>Não</t>
        </is>
      </c>
      <c r="K645" s="10" t="n">
        <v>46082</v>
      </c>
      <c r="L645" s="11" t="n">
        <v>1</v>
      </c>
      <c r="M645" s="8">
        <f>L645*G645</f>
        <v/>
      </c>
      <c r="P645" s="9" t="n"/>
    </row>
    <row r="646">
      <c r="A646" s="11" t="inlineStr">
        <is>
          <t>Uurg, Prole de Turg / Uurg, Spawn of Turg</t>
        </is>
      </c>
      <c r="B646" s="11" t="inlineStr">
        <is>
          <t>Criatura Lendária — Sapo Besta</t>
        </is>
      </c>
      <c r="C646" s="11" t="inlineStr">
        <is>
          <t>Incomum</t>
        </is>
      </c>
      <c r="D646" s="11"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6" s="11" t="inlineStr">
        <is>
          <t>{B}{B}{G}</t>
        </is>
      </c>
      <c r="F646" s="11" t="inlineStr">
        <is>
          <t>Preto, Verde</t>
        </is>
      </c>
      <c r="G646" s="8" t="n">
        <v>0.09</v>
      </c>
      <c r="H646" s="11" t="inlineStr">
        <is>
          <t>Dominaria United (DMU)</t>
        </is>
      </c>
      <c r="I646" s="11" t="inlineStr">
        <is>
          <t>Não</t>
        </is>
      </c>
      <c r="J646" s="11" t="n">
        <v>2022</v>
      </c>
      <c r="K646" s="11" t="inlineStr">
        <is>
          <t>*/5</t>
        </is>
      </c>
      <c r="L646" s="11" t="n">
        <v>2</v>
      </c>
      <c r="M646" s="8">
        <f>L646*G646</f>
        <v/>
      </c>
      <c r="P646" s="9" t="n"/>
    </row>
    <row r="647">
      <c r="A647" s="11" t="inlineStr">
        <is>
          <t>Carniçal Pardo / Grizzly Ghoul</t>
        </is>
      </c>
      <c r="B647" s="11" t="inlineStr">
        <is>
          <t>Criatura — Zumbi Urso</t>
        </is>
      </c>
      <c r="C647" s="11" t="inlineStr">
        <is>
          <t>Incomum</t>
        </is>
      </c>
      <c r="D647" s="11" t="inlineStr">
        <is>
          <t>Atropelar Carniçal Pardo entra no campo de batalha com um marcador +1/+1 para cada criatura que morreu neste turno.</t>
        </is>
      </c>
      <c r="E647" s="11" t="inlineStr">
        <is>
          <t>2{B}{G}</t>
        </is>
      </c>
      <c r="F647" s="11" t="inlineStr">
        <is>
          <t>Preto, Verde</t>
        </is>
      </c>
      <c r="G647" s="8" t="n">
        <v>0.09</v>
      </c>
      <c r="H647" s="11" t="inlineStr">
        <is>
          <t>Innistrad: Midnight Hunt (MID)</t>
        </is>
      </c>
      <c r="I647" s="11" t="inlineStr">
        <is>
          <t>Não</t>
        </is>
      </c>
      <c r="J647" s="11" t="n">
        <v>2021</v>
      </c>
      <c r="K647" s="10" t="n">
        <v>46085</v>
      </c>
      <c r="L647" s="11" t="n">
        <v>1</v>
      </c>
      <c r="M647" s="8">
        <f>L647*G647</f>
        <v/>
      </c>
      <c r="P647" s="9" t="n"/>
    </row>
    <row r="648">
      <c r="A648" s="11" t="inlineStr">
        <is>
          <t>Vinereap Mentor</t>
        </is>
      </c>
      <c r="B648" s="11" t="inlineStr">
        <is>
          <t>Creature — Squirrel Druid</t>
        </is>
      </c>
      <c r="C648" s="11" t="inlineStr">
        <is>
          <t>Uncommon</t>
        </is>
      </c>
      <c r="D648" s="11" t="inlineStr">
        <is>
          <t>When Vinereap Mentor enters or dies, create a Food token. (It's an artifact with "2, {T}, Sacrifice this artifact: You gain 3 life.")</t>
        </is>
      </c>
      <c r="E648" s="11" t="inlineStr">
        <is>
          <t>{B}{G}</t>
        </is>
      </c>
      <c r="F648" s="11" t="inlineStr">
        <is>
          <t>Preto, Green</t>
        </is>
      </c>
      <c r="G648" s="8" t="n">
        <v>0.24</v>
      </c>
      <c r="H648" s="11" t="inlineStr">
        <is>
          <t>Bloomburrow (BLB)</t>
        </is>
      </c>
      <c r="I648" s="11" t="inlineStr">
        <is>
          <t>Não</t>
        </is>
      </c>
      <c r="J648" s="11" t="n">
        <v>2024</v>
      </c>
      <c r="K648" s="10" t="n">
        <v>46056</v>
      </c>
      <c r="L648" s="11" t="n">
        <v>1</v>
      </c>
      <c r="M648" s="8">
        <f>L648*G648</f>
        <v/>
      </c>
      <c r="P648" s="9" t="n"/>
    </row>
    <row r="649">
      <c r="A649" s="11" t="inlineStr">
        <is>
          <t>Putrefy</t>
        </is>
      </c>
      <c r="B649" s="11" t="inlineStr">
        <is>
          <t>Instant</t>
        </is>
      </c>
      <c r="C649" s="11" t="inlineStr">
        <is>
          <t>Uncommon</t>
        </is>
      </c>
      <c r="D649" s="11" t="inlineStr">
        <is>
          <t>Destroy target artifact or creature. It can't be regenerated.</t>
        </is>
      </c>
      <c r="E649" s="11" t="inlineStr">
        <is>
          <t>1{B}{G}</t>
        </is>
      </c>
      <c r="F649" s="11" t="inlineStr">
        <is>
          <t>Preto, Green</t>
        </is>
      </c>
      <c r="G649" s="8" t="n">
        <v>0.1</v>
      </c>
      <c r="H649" s="11" t="inlineStr">
        <is>
          <t>Ravnica: City of Guilds (RAV)</t>
        </is>
      </c>
      <c r="I649" s="11" t="inlineStr">
        <is>
          <t>Não</t>
        </is>
      </c>
      <c r="J649" s="11" t="n">
        <v>2005</v>
      </c>
      <c r="L649" s="11" t="n">
        <v>1</v>
      </c>
      <c r="M649" s="8">
        <f>L649*G649</f>
        <v/>
      </c>
      <c r="P649" s="9" t="n"/>
    </row>
    <row r="650">
      <c r="A650" s="11" t="inlineStr">
        <is>
          <t>Adesão de Vraska / Vraska Joins Up</t>
        </is>
      </c>
      <c r="B650" s="11" t="inlineStr">
        <is>
          <t>Encantamento Lendário</t>
        </is>
      </c>
      <c r="C650" s="11" t="inlineStr">
        <is>
          <t>Rara</t>
        </is>
      </c>
      <c r="D650" s="11" t="inlineStr">
        <is>
          <t>Quando Adesão de Vraska entrar no campo de batalha, coloque um marcador de toque mortífero em cada criatura que você controla. Toda vez que uma criatura lendária que você controla causar dano de combate a um jogador, compre um card.</t>
        </is>
      </c>
      <c r="E650" s="11" t="inlineStr">
        <is>
          <t>{B}{G}</t>
        </is>
      </c>
      <c r="F650" s="11" t="inlineStr">
        <is>
          <t>Preto, Verde</t>
        </is>
      </c>
      <c r="G650" s="8" t="n">
        <v>0.75</v>
      </c>
      <c r="H650" s="11" t="inlineStr">
        <is>
          <t>Outlaws of Thunder Junction (OTJ)</t>
        </is>
      </c>
      <c r="I650" s="11" t="inlineStr">
        <is>
          <t>Não</t>
        </is>
      </c>
      <c r="J650" s="11" t="n">
        <v>2024</v>
      </c>
      <c r="L650" s="11" t="n">
        <v>1</v>
      </c>
      <c r="M650" s="8">
        <f>L650*G650</f>
        <v/>
      </c>
      <c r="P650" s="9" t="n"/>
    </row>
    <row r="651">
      <c r="A651" s="11" t="inlineStr">
        <is>
          <t>Vitral do Pacto das Guildas / Glass of the Guildpact</t>
        </is>
      </c>
      <c r="B651" s="11" t="inlineStr">
        <is>
          <t>Artefato</t>
        </is>
      </c>
      <c r="C651" s="11" t="inlineStr">
        <is>
          <t>Rara</t>
        </is>
      </c>
      <c r="D651" s="11" t="inlineStr">
        <is>
          <t>As criaturas multicoloridas que você controla recebem +1/+1.</t>
        </is>
      </c>
      <c r="E651" s="11" t="inlineStr">
        <is>
          <t>{2}</t>
        </is>
      </c>
      <c r="F651" s="11" t="inlineStr">
        <is>
          <t>Incolor</t>
        </is>
      </c>
      <c r="G651" s="8" t="n">
        <v>0.23</v>
      </c>
      <c r="H651" s="11" t="inlineStr">
        <is>
          <t>Ravnica Allegiance (RNA)</t>
        </is>
      </c>
      <c r="I651" s="11" t="inlineStr">
        <is>
          <t>Não</t>
        </is>
      </c>
      <c r="J651" s="11" t="n">
        <v>2019</v>
      </c>
      <c r="L651" s="11" t="n">
        <v>1</v>
      </c>
      <c r="M651" s="8">
        <f>L651*G651</f>
        <v/>
      </c>
      <c r="P651" s="9" t="n"/>
    </row>
    <row r="652">
      <c r="A652" s="11" t="inlineStr">
        <is>
          <t>Glaive do Pacto das Guildas / Glaive of the Guildpact</t>
        </is>
      </c>
      <c r="B652" s="11" t="inlineStr">
        <is>
          <t>Artefato — Equipamento</t>
        </is>
      </c>
      <c r="C652" s="11" t="inlineStr">
        <is>
          <t>Incomum</t>
        </is>
      </c>
      <c r="D652" s="11"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52" s="11" t="inlineStr">
        <is>
          <t>{2}</t>
        </is>
      </c>
      <c r="F652" s="11" t="inlineStr">
        <is>
          <t>Incolor</t>
        </is>
      </c>
      <c r="G652" s="8" t="n">
        <v>0.03</v>
      </c>
      <c r="H652" s="11" t="inlineStr">
        <is>
          <t>Guilds of Ravnica (GRN)</t>
        </is>
      </c>
      <c r="I652" s="11" t="inlineStr">
        <is>
          <t>Não</t>
        </is>
      </c>
      <c r="J652" s="11" t="n">
        <v>2018</v>
      </c>
      <c r="L652" s="11" t="n">
        <v>1</v>
      </c>
      <c r="M652" s="8">
        <f>L652*G652</f>
        <v/>
      </c>
      <c r="P652" s="9" t="n"/>
    </row>
    <row r="653">
      <c r="A653" s="11" t="inlineStr">
        <is>
          <t>Tambor de Folha Primaveril / Springleaf Drum</t>
        </is>
      </c>
      <c r="B653" s="11" t="inlineStr">
        <is>
          <t>Artefato</t>
        </is>
      </c>
      <c r="C653" s="11" t="inlineStr">
        <is>
          <t>Especial</t>
        </is>
      </c>
      <c r="D653" s="11" t="inlineStr">
        <is>
          <t>{T}, Vire uma criatura desvirada que você controla: Adicione um mana de qualquer cor.</t>
        </is>
      </c>
      <c r="E653" s="11" t="inlineStr">
        <is>
          <t>{1}</t>
        </is>
      </c>
      <c r="F653" s="11" t="inlineStr">
        <is>
          <t>Incolor</t>
        </is>
      </c>
      <c r="G653" s="8" t="n">
        <v>1.5</v>
      </c>
      <c r="H653" s="11" t="inlineStr">
        <is>
          <t>Secret Lair Play (SLP)</t>
        </is>
      </c>
      <c r="I653" s="11" t="inlineStr">
        <is>
          <t>Não</t>
        </is>
      </c>
      <c r="J653" s="11" t="n">
        <v>2024</v>
      </c>
      <c r="L653" s="11" t="n">
        <v>4</v>
      </c>
      <c r="M653" s="8">
        <f>L653*G653</f>
        <v/>
      </c>
      <c r="P653" s="9" t="n"/>
    </row>
    <row r="654">
      <c r="A654" s="11" t="inlineStr">
        <is>
          <t>Medalhão Azorius / Azorius Locket</t>
        </is>
      </c>
      <c r="B654" s="11" t="inlineStr">
        <is>
          <t>Artefato</t>
        </is>
      </c>
      <c r="C654" s="11" t="inlineStr">
        <is>
          <t>Comum</t>
        </is>
      </c>
      <c r="D654" s="11" t="inlineStr">
        <is>
          <t>{T}: Adicione {W} ou {U}. {W/U}{W/U}{W/U}{W/U}, {T}, sacrifique Medalhão Azorius: Compre dois cards.</t>
        </is>
      </c>
      <c r="E654" s="11" t="inlineStr">
        <is>
          <t>{3}</t>
        </is>
      </c>
      <c r="F654" s="11" t="inlineStr">
        <is>
          <t>Incolor</t>
        </is>
      </c>
      <c r="G654" s="8" t="n">
        <v>0.06</v>
      </c>
      <c r="H654" s="11" t="inlineStr">
        <is>
          <t>Ravnica Allegiance (RNA)</t>
        </is>
      </c>
      <c r="I654" s="11" t="inlineStr">
        <is>
          <t>Não</t>
        </is>
      </c>
      <c r="J654" s="11" t="n">
        <v>2019</v>
      </c>
      <c r="L654" s="11" t="n">
        <v>2</v>
      </c>
      <c r="M654" s="8">
        <f>L654*G654</f>
        <v/>
      </c>
      <c r="P654" s="9" t="n"/>
    </row>
    <row r="655">
      <c r="A655" s="11" t="inlineStr">
        <is>
          <t>Medalhão Gruul / Gruul Locket</t>
        </is>
      </c>
      <c r="B655" s="11" t="inlineStr">
        <is>
          <t>Artefato</t>
        </is>
      </c>
      <c r="C655" s="11" t="inlineStr">
        <is>
          <t>Comum</t>
        </is>
      </c>
      <c r="D655" s="11" t="inlineStr">
        <is>
          <t>{T}: Adicione {R} ou {G}. {R/G}{R/G}{R/G}{R/G}, {T}, sacrifique Medalhão Gruul: Compre dois cards.</t>
        </is>
      </c>
      <c r="E655" s="11" t="inlineStr">
        <is>
          <t>{3}</t>
        </is>
      </c>
      <c r="F655" s="11" t="inlineStr">
        <is>
          <t>Incolor</t>
        </is>
      </c>
      <c r="G655" s="8" t="n">
        <v>0.06</v>
      </c>
      <c r="H655" s="11" t="inlineStr">
        <is>
          <t>Ravnica Allegiance (RNA)</t>
        </is>
      </c>
      <c r="I655" s="11" t="inlineStr">
        <is>
          <t>Não</t>
        </is>
      </c>
      <c r="J655" s="11" t="n">
        <v>2019</v>
      </c>
      <c r="L655" s="11" t="n">
        <v>2</v>
      </c>
      <c r="M655" s="8">
        <f>L655*G655</f>
        <v/>
      </c>
      <c r="P655" s="9" t="n"/>
    </row>
    <row r="656">
      <c r="A656" s="11" t="inlineStr">
        <is>
          <t>Medalhão Rakdos / Rakdos Locket</t>
        </is>
      </c>
      <c r="B656" s="11" t="inlineStr">
        <is>
          <t>Artefato</t>
        </is>
      </c>
      <c r="C656" s="11" t="inlineStr">
        <is>
          <t>Comum</t>
        </is>
      </c>
      <c r="D656" s="11" t="inlineStr">
        <is>
          <t>{T}: Adicione {B} ou {R}. {B/R}{B/R}{B/R}{B/R}, {T}, sacrifique Medalhão Rakdos: Compre dois cards.</t>
        </is>
      </c>
      <c r="E656" s="11" t="inlineStr">
        <is>
          <t>{3}</t>
        </is>
      </c>
      <c r="F656" s="11" t="inlineStr">
        <is>
          <t>Incolor</t>
        </is>
      </c>
      <c r="G656" s="8" t="n">
        <v>0.08</v>
      </c>
      <c r="H656" s="11" t="inlineStr">
        <is>
          <t>Ravnica Allegiance (RNA)</t>
        </is>
      </c>
      <c r="I656" s="11" t="inlineStr">
        <is>
          <t>Não</t>
        </is>
      </c>
      <c r="J656" s="11" t="n">
        <v>2019</v>
      </c>
      <c r="L656" s="11" t="n">
        <v>2</v>
      </c>
      <c r="M656" s="8">
        <f>L656*G656</f>
        <v/>
      </c>
      <c r="P656" s="9" t="n"/>
    </row>
    <row r="657">
      <c r="A657" s="11" t="inlineStr">
        <is>
          <t>Medalhão Simic / Simic Locket</t>
        </is>
      </c>
      <c r="B657" s="11" t="inlineStr">
        <is>
          <t>Artefato</t>
        </is>
      </c>
      <c r="C657" s="11" t="inlineStr">
        <is>
          <t>Comum</t>
        </is>
      </c>
      <c r="D657" s="11" t="inlineStr">
        <is>
          <t>{T}: Adicione {G} ou {U}. {G/U}{G/U}{G/U}{G/U}, {T}, sacrifique Medalhão Simic: Compre dois cards.</t>
        </is>
      </c>
      <c r="E657" s="11" t="inlineStr">
        <is>
          <t>{3}</t>
        </is>
      </c>
      <c r="F657" s="11" t="inlineStr">
        <is>
          <t>Incolor</t>
        </is>
      </c>
      <c r="G657" s="8" t="n">
        <v>0.06</v>
      </c>
      <c r="H657" s="11" t="inlineStr">
        <is>
          <t>Ravnica Allegiance (RNA)</t>
        </is>
      </c>
      <c r="I657" s="11" t="inlineStr">
        <is>
          <t>Não</t>
        </is>
      </c>
      <c r="J657" s="11" t="n">
        <v>2019</v>
      </c>
      <c r="L657" s="11" t="n">
        <v>4</v>
      </c>
      <c r="M657" s="8">
        <f>L657*G657</f>
        <v/>
      </c>
      <c r="P657" s="9" t="n"/>
    </row>
    <row r="658">
      <c r="A658" s="11" t="inlineStr">
        <is>
          <t>Escudo Urrador / Screaming Shield</t>
        </is>
      </c>
      <c r="B658" s="11" t="inlineStr">
        <is>
          <t>Artefato — Equipamento</t>
        </is>
      </c>
      <c r="C658" s="11" t="inlineStr">
        <is>
          <t>Incomum</t>
        </is>
      </c>
      <c r="D658" s="11" t="inlineStr">
        <is>
          <t>A criatura equipada recebe +0/+3 e tem "{2}, {T}: O jogador alvo coloca os três cards do topo do próprio grimório no próprio cemitério." Equipar {3} ({3}: Anexe-o à criatura alvo que você controla. Equipe somente como um feitiço.)</t>
        </is>
      </c>
      <c r="E658" s="11" t="inlineStr">
        <is>
          <t>{1}</t>
        </is>
      </c>
      <c r="F658" s="11" t="inlineStr">
        <is>
          <t>Incolor</t>
        </is>
      </c>
      <c r="G658" s="8" t="n">
        <v>0.06</v>
      </c>
      <c r="H658" s="11" t="inlineStr">
        <is>
          <t>Ravnica Allegiance (RNA)</t>
        </is>
      </c>
      <c r="I658" s="11" t="inlineStr">
        <is>
          <t>Não</t>
        </is>
      </c>
      <c r="J658" s="11" t="n">
        <v>2019</v>
      </c>
      <c r="L658" s="11" t="n">
        <v>4</v>
      </c>
      <c r="M658" s="8">
        <f>L658*G658</f>
        <v/>
      </c>
      <c r="P658" s="9" t="n"/>
    </row>
    <row r="659">
      <c r="A659" s="11" t="inlineStr">
        <is>
          <t>Medalhão Orzhov / Orzhov Locket</t>
        </is>
      </c>
      <c r="B659" s="11" t="inlineStr">
        <is>
          <t>Artefato</t>
        </is>
      </c>
      <c r="C659" s="11" t="inlineStr">
        <is>
          <t>Comum</t>
        </is>
      </c>
      <c r="D659" s="11" t="inlineStr">
        <is>
          <t>{T}: Adicione {W} ou {B}. {W/B}{W/B}{W/B}{W/B}, {T}, sacrifique Amuleto Orzhov: Compre dois cards.</t>
        </is>
      </c>
      <c r="E659" s="11" t="inlineStr">
        <is>
          <t>{3}</t>
        </is>
      </c>
      <c r="F659" s="11" t="inlineStr">
        <is>
          <t>Incolor</t>
        </is>
      </c>
      <c r="G659" s="8" t="n">
        <v>0.06</v>
      </c>
      <c r="H659" s="11" t="inlineStr">
        <is>
          <t>Ravnica Allegiance (RNA)</t>
        </is>
      </c>
      <c r="I659" s="11" t="inlineStr">
        <is>
          <t>Não</t>
        </is>
      </c>
      <c r="J659" s="11" t="n">
        <v>2019</v>
      </c>
      <c r="L659" s="11" t="n">
        <v>3</v>
      </c>
      <c r="M659" s="8">
        <f>L659*G659</f>
        <v/>
      </c>
      <c r="P659" s="9" t="n"/>
    </row>
    <row r="660">
      <c r="A660" s="11" t="inlineStr">
        <is>
          <t>Servo Voltaico / Voltaic Servant</t>
        </is>
      </c>
      <c r="B660" s="11" t="inlineStr">
        <is>
          <t>Criatura Artefato — Constructo</t>
        </is>
      </c>
      <c r="C660" s="11" t="inlineStr">
        <is>
          <t>Comum</t>
        </is>
      </c>
      <c r="D660" s="11" t="inlineStr">
        <is>
          <t>No início da sua etapa final, desvire o artefato alvo.</t>
        </is>
      </c>
      <c r="E660" s="11" t="inlineStr">
        <is>
          <t>{2}</t>
        </is>
      </c>
      <c r="F660" s="11" t="inlineStr">
        <is>
          <t>Incolor</t>
        </is>
      </c>
      <c r="G660" s="8" t="n">
        <v>0.03</v>
      </c>
      <c r="H660" s="11" t="inlineStr">
        <is>
          <t>Dominaria (DOM)</t>
        </is>
      </c>
      <c r="I660" s="11" t="inlineStr">
        <is>
          <t>Não</t>
        </is>
      </c>
      <c r="J660" s="11" t="n">
        <v>2018</v>
      </c>
      <c r="K660" s="10" t="n">
        <v>46082</v>
      </c>
      <c r="L660" s="11" t="n">
        <v>4</v>
      </c>
      <c r="M660" s="8">
        <f>L660*G660</f>
        <v/>
      </c>
      <c r="P660" s="9" t="n"/>
    </row>
    <row r="661">
      <c r="A661" s="11" t="inlineStr">
        <is>
          <t>Nutrient Block</t>
        </is>
      </c>
      <c r="B661" s="11" t="inlineStr">
        <is>
          <t>Artifact — Food</t>
        </is>
      </c>
      <c r="C661" s="11" t="inlineStr">
        <is>
          <t>Common</t>
        </is>
      </c>
      <c r="D661" s="11" t="inlineStr">
        <is>
          <t>Indestructible (Effects that say "destroy" don't destroy this artifact.) {2}, {T}, Sacrifice this artifact: You gain 3 life. When this artifact is put into a graveyard from the battlefield, draw a card.</t>
        </is>
      </c>
      <c r="E661" s="11" t="inlineStr">
        <is>
          <t>{1}</t>
        </is>
      </c>
      <c r="F661" s="11" t="inlineStr">
        <is>
          <t>Colorless</t>
        </is>
      </c>
      <c r="G661" s="8" t="n">
        <v>0.15</v>
      </c>
      <c r="H661" s="11" t="inlineStr">
        <is>
          <t>Edge of Eternity (EOE)</t>
        </is>
      </c>
      <c r="I661" s="11" t="inlineStr">
        <is>
          <t>Não</t>
        </is>
      </c>
      <c r="J661" s="11" t="n">
        <v>2025</v>
      </c>
      <c r="L661" s="11" t="n">
        <v>4</v>
      </c>
      <c r="M661" s="8">
        <f>L661*G661</f>
        <v/>
      </c>
      <c r="P661" s="9" t="n"/>
    </row>
    <row r="662">
      <c r="A662" s="11" t="inlineStr">
        <is>
          <t>Triturador de Códices / Codex Shredder</t>
        </is>
      </c>
      <c r="B662" s="11" t="inlineStr">
        <is>
          <t>Artefato</t>
        </is>
      </c>
      <c r="C662" s="11" t="inlineStr">
        <is>
          <t>Incomum</t>
        </is>
      </c>
      <c r="D662" s="11" t="inlineStr">
        <is>
          <t>{T}: O jogador alvo coloca o card do topo do grimório dele no próprio cemitério. {5}, {T}, Sacrifique Triturador de Códices: Devolva o card alvo de seu cemitério para sua mão.</t>
        </is>
      </c>
      <c r="E662" s="11" t="inlineStr">
        <is>
          <t>{1}</t>
        </is>
      </c>
      <c r="F662" s="11" t="inlineStr">
        <is>
          <t>Incolor</t>
        </is>
      </c>
      <c r="G662" s="8" t="n">
        <v>0.25</v>
      </c>
      <c r="H662" s="11" t="inlineStr">
        <is>
          <t>Return to Ravnica (RTR)</t>
        </is>
      </c>
      <c r="I662" s="11" t="inlineStr">
        <is>
          <t>Não</t>
        </is>
      </c>
      <c r="J662" s="11" t="n">
        <v>2012</v>
      </c>
      <c r="L662" s="11" t="n">
        <v>3</v>
      </c>
      <c r="M662" s="8">
        <f>L662*G662</f>
        <v/>
      </c>
      <c r="P662" s="9" t="n"/>
    </row>
    <row r="663">
      <c r="A663" s="11" t="inlineStr">
        <is>
          <t>Espantalho da Sucata Alada / Wingrattle Scarecrow</t>
        </is>
      </c>
      <c r="B663" s="11" t="inlineStr">
        <is>
          <t>Criatura Artefato — Espantalho</t>
        </is>
      </c>
      <c r="C663" s="11" t="inlineStr">
        <is>
          <t>Comum</t>
        </is>
      </c>
      <c r="D663" s="11"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63" s="11" t="inlineStr">
        <is>
          <t>{3}</t>
        </is>
      </c>
      <c r="F663" s="11" t="inlineStr">
        <is>
          <t>Incolor</t>
        </is>
      </c>
      <c r="G663" s="8" t="n">
        <v>0.13</v>
      </c>
      <c r="H663" s="11" t="inlineStr">
        <is>
          <t>Shadowmoor (SHM)</t>
        </is>
      </c>
      <c r="I663" s="11" t="inlineStr">
        <is>
          <t>Não</t>
        </is>
      </c>
      <c r="J663" s="11" t="n">
        <v>2008</v>
      </c>
      <c r="K663" s="10" t="n">
        <v>46055</v>
      </c>
      <c r="L663" s="11" t="n">
        <v>2</v>
      </c>
      <c r="M663" s="8">
        <f>L663*G663</f>
        <v/>
      </c>
      <c r="P663" s="9" t="n"/>
    </row>
    <row r="664">
      <c r="A664" s="11" t="inlineStr">
        <is>
          <t>Skyreach Manta</t>
        </is>
      </c>
      <c r="B664" s="11" t="inlineStr">
        <is>
          <t>Artifact Creature — Fish</t>
        </is>
      </c>
      <c r="C664" s="11" t="inlineStr">
        <is>
          <t>Common</t>
        </is>
      </c>
      <c r="D664" s="11" t="inlineStr">
        <is>
          <t>Sunburst (This enters the battlefield with a +1/+1 counter on it for each color of mana spent to cast it.) Flying</t>
        </is>
      </c>
      <c r="E664" s="11" t="inlineStr">
        <is>
          <t>{5}</t>
        </is>
      </c>
      <c r="F664" s="11" t="inlineStr">
        <is>
          <t>Colorless</t>
        </is>
      </c>
      <c r="G664" s="8" t="n">
        <v>0.03</v>
      </c>
      <c r="H664" s="11" t="inlineStr">
        <is>
          <t>Modern Masters 2015 (MM2)</t>
        </is>
      </c>
      <c r="I664" s="11" t="inlineStr">
        <is>
          <t>Não</t>
        </is>
      </c>
      <c r="J664" s="11" t="n">
        <v>2015</v>
      </c>
      <c r="K664" s="11" t="inlineStr">
        <is>
          <t>0/0</t>
        </is>
      </c>
      <c r="L664" s="11" t="n">
        <v>2</v>
      </c>
      <c r="M664" s="8">
        <f>L664*G664</f>
        <v/>
      </c>
      <c r="P664" s="9" t="n"/>
    </row>
    <row r="665">
      <c r="A665" s="11" t="inlineStr">
        <is>
          <t>Introdução à Profecia / Introduction to Prophecy</t>
        </is>
      </c>
      <c r="B665" s="11" t="inlineStr">
        <is>
          <t>Feitiço — Lição</t>
        </is>
      </c>
      <c r="C665" s="11" t="inlineStr">
        <is>
          <t>Comum</t>
        </is>
      </c>
      <c r="D665" s="11" t="inlineStr">
        <is>
          <t>Use vidência 2 e depois compre um card.</t>
        </is>
      </c>
      <c r="E665" s="11" t="inlineStr">
        <is>
          <t>{3}</t>
        </is>
      </c>
      <c r="F665" s="11" t="inlineStr">
        <is>
          <t>Incolor</t>
        </is>
      </c>
      <c r="G665" s="8" t="n">
        <v>0.15</v>
      </c>
      <c r="H665" s="11" t="inlineStr">
        <is>
          <t>Strixhaven: School of Mages (STX)</t>
        </is>
      </c>
      <c r="I665" s="11" t="inlineStr">
        <is>
          <t>Não</t>
        </is>
      </c>
      <c r="J665" s="11" t="n">
        <v>2021</v>
      </c>
      <c r="L665" s="11" t="n">
        <v>2</v>
      </c>
      <c r="M665" s="8">
        <f>L665*G665</f>
        <v/>
      </c>
      <c r="P665" s="9" t="n"/>
    </row>
    <row r="666">
      <c r="A666" s="11" t="inlineStr">
        <is>
          <t>Familiar de Filigrana / Filigree Familiar</t>
        </is>
      </c>
      <c r="B666" s="11" t="inlineStr">
        <is>
          <t>Criatura Artefato — Raposa</t>
        </is>
      </c>
      <c r="C666" s="11" t="inlineStr">
        <is>
          <t>Comum</t>
        </is>
      </c>
      <c r="D666" s="11" t="inlineStr">
        <is>
          <t>Quando Familiar de Filigrana entra no campo de batalha, você ganha 2 pontos de vida. Quando Familiar de Filigrana morrer, compre um card.</t>
        </is>
      </c>
      <c r="E666" s="11" t="inlineStr">
        <is>
          <t>{3}</t>
        </is>
      </c>
      <c r="F666" s="11" t="inlineStr">
        <is>
          <t>Incolor</t>
        </is>
      </c>
      <c r="G666" s="8" t="n">
        <v>0.1</v>
      </c>
      <c r="H666" s="11" t="inlineStr">
        <is>
          <t>Commander Legends (CMR)</t>
        </is>
      </c>
      <c r="I666" s="11" t="inlineStr">
        <is>
          <t>Não</t>
        </is>
      </c>
      <c r="J666" s="11" t="n">
        <v>2020</v>
      </c>
      <c r="K666" s="10" t="n">
        <v>46055</v>
      </c>
      <c r="L666" s="11" t="n">
        <v>4</v>
      </c>
      <c r="M666" s="8">
        <f>L666*G666</f>
        <v/>
      </c>
      <c r="P666" s="9" t="n"/>
    </row>
    <row r="667">
      <c r="A667" s="11" t="inlineStr">
        <is>
          <t>Spire Golem</t>
        </is>
      </c>
      <c r="B667" s="11" t="inlineStr">
        <is>
          <t>Artifact Creature — Golem</t>
        </is>
      </c>
      <c r="C667" s="11" t="inlineStr">
        <is>
          <t>Comum</t>
        </is>
      </c>
      <c r="D667" s="11" t="inlineStr">
        <is>
          <t>Affinity for Islands (This spell costs 1 less to play for each Island you control.) Flying</t>
        </is>
      </c>
      <c r="E667" s="11" t="inlineStr">
        <is>
          <t>{6}</t>
        </is>
      </c>
      <c r="F667" s="11" t="inlineStr">
        <is>
          <t>Incolor</t>
        </is>
      </c>
      <c r="G667" s="8" t="n">
        <v>0.1</v>
      </c>
      <c r="H667" s="11" t="inlineStr">
        <is>
          <t>Fifth Dawn (5DN)</t>
        </is>
      </c>
      <c r="I667" s="11" t="inlineStr">
        <is>
          <t>Não</t>
        </is>
      </c>
      <c r="J667" s="11" t="n">
        <v>2004</v>
      </c>
      <c r="K667" s="10" t="n">
        <v>46114</v>
      </c>
      <c r="L667" s="11" t="n">
        <v>2</v>
      </c>
      <c r="M667" s="8">
        <f>L667*G667</f>
        <v/>
      </c>
      <c r="P667" s="9" t="n"/>
    </row>
    <row r="668">
      <c r="A668" s="11" t="inlineStr">
        <is>
          <t>Æther Spellbomb / Bomba de Éter</t>
        </is>
      </c>
      <c r="B668" s="11" t="inlineStr">
        <is>
          <t>Artefato</t>
        </is>
      </c>
      <c r="C668" s="11" t="inlineStr">
        <is>
          <t>Comum</t>
        </is>
      </c>
      <c r="D668" s="11" t="inlineStr">
        <is>
          <t>{U}, Sacrifique Æther Spellbomb: Devolva a criatura alvo para a mão de seu dono. {1}, Sacrifique Æther Spellbomb: Compre um card.</t>
        </is>
      </c>
      <c r="E668" s="11" t="inlineStr">
        <is>
          <t>{1}</t>
        </is>
      </c>
      <c r="F668" s="11" t="inlineStr">
        <is>
          <t>Incolor</t>
        </is>
      </c>
      <c r="G668" s="8" t="n">
        <v>0.45</v>
      </c>
      <c r="H668" s="11" t="inlineStr">
        <is>
          <t>Mirrodin (MRD)</t>
        </is>
      </c>
      <c r="I668" s="11" t="inlineStr">
        <is>
          <t>Não</t>
        </is>
      </c>
      <c r="J668" s="11" t="n">
        <v>2003</v>
      </c>
      <c r="L668" s="11" t="n">
        <v>1</v>
      </c>
      <c r="M668" s="8">
        <f>L668*G668</f>
        <v/>
      </c>
      <c r="P668" s="9" t="n"/>
    </row>
    <row r="669">
      <c r="A669" s="11" t="inlineStr">
        <is>
          <t>Æther Spellbomb / Bomba de Éter</t>
        </is>
      </c>
      <c r="B669" s="11" t="inlineStr">
        <is>
          <t>Artefato</t>
        </is>
      </c>
      <c r="C669" s="11" t="inlineStr">
        <is>
          <t>Comum</t>
        </is>
      </c>
      <c r="D669" s="11" t="inlineStr">
        <is>
          <t>{U}, Sacrifique Æther Spellbomb: Devolva a criatura alvo para a mão de seu dono. {1}, Sacrifique Æther Spellbomb: Compre um card.</t>
        </is>
      </c>
      <c r="E669" s="11" t="inlineStr">
        <is>
          <t>{1}</t>
        </is>
      </c>
      <c r="F669" s="11" t="inlineStr">
        <is>
          <t>Incolor</t>
        </is>
      </c>
      <c r="G669" s="8" t="n">
        <v>2.99</v>
      </c>
      <c r="H669" s="11" t="inlineStr">
        <is>
          <t>Magic: The Gathering—Commander (CMD)</t>
        </is>
      </c>
      <c r="I669" s="11" t="inlineStr">
        <is>
          <t>Não</t>
        </is>
      </c>
      <c r="J669" s="11" t="n">
        <v>2010</v>
      </c>
      <c r="L669" s="11" t="n">
        <v>2</v>
      </c>
      <c r="M669" s="8">
        <f>L669*G669</f>
        <v/>
      </c>
      <c r="P669" s="9" t="n"/>
    </row>
    <row r="670">
      <c r="A670" s="11" t="inlineStr">
        <is>
          <t>Obelisco de Naya / Obelisk of Naya</t>
        </is>
      </c>
      <c r="B670" s="11" t="inlineStr">
        <is>
          <t>Artefato</t>
        </is>
      </c>
      <c r="C670" s="11" t="inlineStr">
        <is>
          <t>Comum</t>
        </is>
      </c>
      <c r="D670" s="11" t="inlineStr">
        <is>
          <t>{T}: Adicione {R}, {G} ou {W} à sua reserva de mana.</t>
        </is>
      </c>
      <c r="E670" s="11" t="inlineStr">
        <is>
          <t>{3}</t>
        </is>
      </c>
      <c r="F670" s="11" t="inlineStr">
        <is>
          <t>Incolor</t>
        </is>
      </c>
      <c r="G670" s="8" t="n">
        <v>0.15</v>
      </c>
      <c r="H670" s="11" t="inlineStr">
        <is>
          <t>Shards of Alara (ALA)</t>
        </is>
      </c>
      <c r="I670" s="11" t="inlineStr">
        <is>
          <t>Não</t>
        </is>
      </c>
      <c r="J670" s="11" t="n">
        <v>2008</v>
      </c>
      <c r="L670" s="11" t="n">
        <v>2</v>
      </c>
      <c r="M670" s="8">
        <f>L670*G670</f>
        <v/>
      </c>
      <c r="P670" s="9" t="n"/>
    </row>
    <row r="671">
      <c r="A671" s="11" t="inlineStr">
        <is>
          <t>Prisma Profético / Prophetic Prism</t>
        </is>
      </c>
      <c r="B671" s="11" t="inlineStr">
        <is>
          <t>Artefato</t>
        </is>
      </c>
      <c r="C671" s="11" t="inlineStr">
        <is>
          <t>Comum</t>
        </is>
      </c>
      <c r="D671" s="11" t="inlineStr">
        <is>
          <t>Quando Prisma Profético entrar no campo de batalha, compre um card. {1}, {T}: Adicione um mana de qualquer cor à sua reserva de mana.</t>
        </is>
      </c>
      <c r="E671" s="11" t="inlineStr">
        <is>
          <t>{2}</t>
        </is>
      </c>
      <c r="F671" s="11" t="inlineStr">
        <is>
          <t>Incolor</t>
        </is>
      </c>
      <c r="G671" s="8" t="n">
        <v>0.09</v>
      </c>
      <c r="H671" s="11" t="inlineStr">
        <is>
          <t>Kaladesh (KLD)</t>
        </is>
      </c>
      <c r="I671" s="11" t="inlineStr">
        <is>
          <t>Não</t>
        </is>
      </c>
      <c r="J671" s="11" t="n">
        <v>2016</v>
      </c>
      <c r="L671" s="11" t="n">
        <v>4</v>
      </c>
      <c r="M671" s="8">
        <f>L671*G671</f>
        <v/>
      </c>
      <c r="P671" s="9" t="n"/>
    </row>
    <row r="672">
      <c r="A672" s="11" t="inlineStr">
        <is>
          <t>Profeta do Pico / Cragflame Prophet</t>
        </is>
      </c>
      <c r="B672" s="11" t="inlineStr">
        <is>
          <t>Criatura Artefato — Felino</t>
        </is>
      </c>
      <c r="C672" s="11" t="inlineStr">
        <is>
          <t>Comum</t>
        </is>
      </c>
      <c r="D672" s="11" t="inlineStr">
        <is>
          <t>Quando Profeta do Pico entrar no campo de batalha, use vidência 2. (Olhe os dois cards do topo do seu grimório. Depois, coloque qualquer número deles no fundo do seu grimório e o restante no topo em qualquer ordem.)</t>
        </is>
      </c>
      <c r="E672" s="11" t="inlineStr">
        <is>
          <t>{6}</t>
        </is>
      </c>
      <c r="F672" s="11" t="inlineStr">
        <is>
          <t>Incolor</t>
        </is>
      </c>
      <c r="G672" s="8" t="n">
        <v>0.04</v>
      </c>
      <c r="H672" s="11" t="inlineStr">
        <is>
          <t>Throne of Eldraine (ELD)</t>
        </is>
      </c>
      <c r="I672" s="11" t="inlineStr">
        <is>
          <t>Não</t>
        </is>
      </c>
      <c r="J672" s="11" t="n">
        <v>2019</v>
      </c>
      <c r="K672" s="10" t="n">
        <v>46147</v>
      </c>
      <c r="L672" s="11" t="n">
        <v>3</v>
      </c>
      <c r="M672" s="8">
        <f>L672*G672</f>
        <v/>
      </c>
      <c r="P672" s="9" t="n"/>
    </row>
    <row r="673">
      <c r="A673" s="11" t="inlineStr">
        <is>
          <t>Traje Bruto / Brute Suit</t>
        </is>
      </c>
      <c r="B673" s="11" t="inlineStr">
        <is>
          <t>Artefato — Veículo</t>
        </is>
      </c>
      <c r="C673" s="11" t="inlineStr">
        <is>
          <t>Comum</t>
        </is>
      </c>
      <c r="D673" s="11" t="inlineStr">
        <is>
          <t>Vigilância, Tripular 1 (Vire qualquer número de criaturas que você controla com total de poder igual ou superior a 1: Este Veículo torna-se uma criatura artefato até o final do turno.)</t>
        </is>
      </c>
      <c r="E673" s="11" t="inlineStr">
        <is>
          <t>{3}</t>
        </is>
      </c>
      <c r="F673" s="11" t="inlineStr">
        <is>
          <t>Incolor</t>
        </is>
      </c>
      <c r="G673" s="8" t="n">
        <v>0.05</v>
      </c>
      <c r="H673" s="11" t="inlineStr">
        <is>
          <t>Kamigawa: Neon Dynasty (NEO)</t>
        </is>
      </c>
      <c r="I673" s="11" t="inlineStr">
        <is>
          <t>Não</t>
        </is>
      </c>
      <c r="J673" s="11" t="n">
        <v>2022</v>
      </c>
      <c r="K673" s="10" t="n">
        <v>46085</v>
      </c>
      <c r="L673" s="11" t="n">
        <v>2</v>
      </c>
      <c r="M673" s="8">
        <f>L673*G673</f>
        <v/>
      </c>
      <c r="P673" s="9" t="n"/>
    </row>
    <row r="674">
      <c r="A674" s="11" t="inlineStr">
        <is>
          <t>Amuleto do Viajante / Traveler's Amulet</t>
        </is>
      </c>
      <c r="B674" s="11" t="inlineStr">
        <is>
          <t>Artefato</t>
        </is>
      </c>
      <c r="C674" s="11" t="inlineStr">
        <is>
          <t>Comum</t>
        </is>
      </c>
      <c r="D674" s="11" t="inlineStr">
        <is>
          <t>{1}, sacrifique Amuleto do Viajante: Procure um card de terreno básico em seu grimório, revele-o, coloque-o em sua mão e, depois, embaralhe seu grimório.</t>
        </is>
      </c>
      <c r="E674" s="11" t="inlineStr">
        <is>
          <t>{1}</t>
        </is>
      </c>
      <c r="F674" s="11" t="inlineStr">
        <is>
          <t>Incolor</t>
        </is>
      </c>
      <c r="G674" s="8" t="n">
        <v>0.04</v>
      </c>
      <c r="H674" s="11" t="inlineStr">
        <is>
          <t>Theros Beyond Death (THB)</t>
        </is>
      </c>
      <c r="I674" s="11" t="inlineStr">
        <is>
          <t>Não</t>
        </is>
      </c>
      <c r="J674" s="11" t="n">
        <v>2020</v>
      </c>
      <c r="L674" s="11" t="n">
        <v>1</v>
      </c>
      <c r="M674" s="8">
        <f>L674*G674</f>
        <v/>
      </c>
      <c r="P674" s="9" t="n"/>
    </row>
    <row r="675">
      <c r="A675" s="11" t="inlineStr">
        <is>
          <t>Frogmite</t>
        </is>
      </c>
      <c r="B675" s="11" t="inlineStr">
        <is>
          <t>Artifact Creature — Frog</t>
        </is>
      </c>
      <c r="C675" s="11" t="inlineStr">
        <is>
          <t>Common</t>
        </is>
      </c>
      <c r="D675" s="11" t="inlineStr">
        <is>
          <t>Affinity for artifacts (This spell costs 1 less to cast for each artifact you control.)</t>
        </is>
      </c>
      <c r="E675" s="11" t="inlineStr">
        <is>
          <t>{4}</t>
        </is>
      </c>
      <c r="F675" s="11" t="inlineStr">
        <is>
          <t>Colorless</t>
        </is>
      </c>
      <c r="G675" s="8" t="n">
        <v>0.32</v>
      </c>
      <c r="H675" s="11" t="inlineStr">
        <is>
          <t>Modern Masters 2015 (MM2)</t>
        </is>
      </c>
      <c r="I675" s="11" t="inlineStr">
        <is>
          <t>Não</t>
        </is>
      </c>
      <c r="J675" s="11" t="n">
        <v>2015</v>
      </c>
      <c r="K675" s="10" t="n">
        <v>46055</v>
      </c>
      <c r="L675" s="11" t="n">
        <v>1</v>
      </c>
      <c r="M675" s="8">
        <f>L675*G675</f>
        <v/>
      </c>
      <c r="P675" s="9" t="n"/>
    </row>
    <row r="676">
      <c r="A676" s="11" t="inlineStr">
        <is>
          <t>Wurmwall Sweeper</t>
        </is>
      </c>
      <c r="B676" s="11" t="inlineStr">
        <is>
          <t>Artifact — Spacecraft</t>
        </is>
      </c>
      <c r="C676" s="11" t="inlineStr">
        <is>
          <t>Common</t>
        </is>
      </c>
      <c r="D676" s="11" t="inlineStr">
        <is>
          <t>When this Spacecraft enters, surveil 2. Station (Tap another creature you control: Put charge counters equal to its power on this Spacecraft. Station only as a sorcery. It's an artifact creature at 4+.) Flying</t>
        </is>
      </c>
      <c r="E676" s="11" t="inlineStr">
        <is>
          <t>{2}</t>
        </is>
      </c>
      <c r="F676" s="11" t="inlineStr">
        <is>
          <t>Colorless</t>
        </is>
      </c>
      <c r="G676" s="8" t="n">
        <v>0.07000000000000001</v>
      </c>
      <c r="H676" s="11" t="inlineStr">
        <is>
          <t>Edge of Eternity (EOE)</t>
        </is>
      </c>
      <c r="I676" s="11" t="inlineStr">
        <is>
          <t>Não</t>
        </is>
      </c>
      <c r="J676" s="11" t="n">
        <v>2025</v>
      </c>
      <c r="K676" s="10" t="n">
        <v>46055</v>
      </c>
      <c r="L676" s="11" t="n">
        <v>1</v>
      </c>
      <c r="M676" s="8">
        <f>L676*G676</f>
        <v/>
      </c>
      <c r="P676" s="9" t="n"/>
    </row>
    <row r="677">
      <c r="A677" s="11" t="inlineStr">
        <is>
          <t>Espantalho Sinalizador / Heraldic Banner</t>
        </is>
      </c>
      <c r="B677" s="11" t="inlineStr">
        <is>
          <t>Criatura Artefato — Espantalho</t>
        </is>
      </c>
      <c r="C677" s="11" t="inlineStr">
        <is>
          <t>Comum</t>
        </is>
      </c>
      <c r="D677" s="11" t="inlineStr">
        <is>
          <t>Vigilância, {2}: Adicione um mana de qualquer cor.</t>
        </is>
      </c>
      <c r="E677" s="11" t="inlineStr">
        <is>
          <t>{4}</t>
        </is>
      </c>
      <c r="F677" s="11" t="inlineStr">
        <is>
          <t>Incolor</t>
        </is>
      </c>
      <c r="G677" s="8" t="n">
        <v>0.05</v>
      </c>
      <c r="H677" s="11" t="inlineStr">
        <is>
          <t>Throne of Eldraine (ELD)</t>
        </is>
      </c>
      <c r="I677" s="11" t="inlineStr">
        <is>
          <t>Não</t>
        </is>
      </c>
      <c r="J677" s="11" t="n">
        <v>2019</v>
      </c>
      <c r="K677" s="10" t="n">
        <v>46114</v>
      </c>
      <c r="L677" s="11" t="n">
        <v>1</v>
      </c>
      <c r="M677" s="8">
        <f>L677*G677</f>
        <v/>
      </c>
      <c r="P677" s="9" t="n"/>
    </row>
    <row r="678">
      <c r="A678" s="11" t="inlineStr">
        <is>
          <t>Chrome Companion</t>
        </is>
      </c>
      <c r="B678" s="11" t="inlineStr">
        <is>
          <t>Artifact Creature — Dog</t>
        </is>
      </c>
      <c r="C678" s="11" t="inlineStr">
        <is>
          <t>Common</t>
        </is>
      </c>
      <c r="D678" s="11" t="inlineStr">
        <is>
          <t>Whenever this creature becomes tapped, you gain 1 life. {2}, {T}: Put target card from a graveyard on the bottom of its owner's library.</t>
        </is>
      </c>
      <c r="E678" s="11" t="inlineStr">
        <is>
          <t>{2}</t>
        </is>
      </c>
      <c r="F678" s="11" t="inlineStr">
        <is>
          <t>Colorless</t>
        </is>
      </c>
      <c r="G678" s="8" t="n">
        <v>0.05</v>
      </c>
      <c r="H678" s="11" t="inlineStr">
        <is>
          <t>Edge of Eternity (EOE)</t>
        </is>
      </c>
      <c r="I678" s="11" t="inlineStr">
        <is>
          <t>Não</t>
        </is>
      </c>
      <c r="J678" s="11" t="n">
        <v>2025</v>
      </c>
      <c r="K678" s="10" t="n">
        <v>46024</v>
      </c>
      <c r="L678" s="11" t="n">
        <v>1</v>
      </c>
      <c r="M678" s="8">
        <f>L678*G678</f>
        <v/>
      </c>
      <c r="P678" s="9" t="n"/>
    </row>
    <row r="679">
      <c r="A679" s="11" t="inlineStr">
        <is>
          <t>Terminal de Rede / Network Terminal</t>
        </is>
      </c>
      <c r="B679" s="11" t="inlineStr">
        <is>
          <t>Artefato</t>
        </is>
      </c>
      <c r="C679" s="11" t="inlineStr">
        <is>
          <t>Comum</t>
        </is>
      </c>
      <c r="D679" s="11" t="inlineStr">
        <is>
          <t>{T}: Adicione um mana de qualquer cor. {1}, {T}, vire outro artefato desvirado que você controla: Compre um card e depois descarte um card.</t>
        </is>
      </c>
      <c r="E679" s="11" t="inlineStr">
        <is>
          <t>{3}</t>
        </is>
      </c>
      <c r="F679" s="11" t="inlineStr">
        <is>
          <t>Incolor</t>
        </is>
      </c>
      <c r="G679" s="8" t="n">
        <v>0.4</v>
      </c>
      <c r="H679" s="11" t="inlineStr">
        <is>
          <t>Kamigawa: Neon Dynasty (NEO)</t>
        </is>
      </c>
      <c r="I679" s="11" t="inlineStr">
        <is>
          <t>Sim</t>
        </is>
      </c>
      <c r="J679" s="11" t="n">
        <v>2022</v>
      </c>
      <c r="L679" s="11" t="n">
        <v>2</v>
      </c>
      <c r="M679" s="8">
        <f>L679*G679</f>
        <v/>
      </c>
      <c r="P679" s="9" t="n"/>
    </row>
    <row r="680">
      <c r="A680" s="11" t="inlineStr">
        <is>
          <t>Ornithopter</t>
        </is>
      </c>
      <c r="B680" s="11" t="inlineStr">
        <is>
          <t>Artifact Creature</t>
        </is>
      </c>
      <c r="C680" s="11" t="inlineStr">
        <is>
          <t>Uncommon</t>
        </is>
      </c>
      <c r="D680" s="11" t="inlineStr">
        <is>
          <t>Flying</t>
        </is>
      </c>
      <c r="E680" s="11" t="inlineStr">
        <is>
          <t>{0}</t>
        </is>
      </c>
      <c r="F680" s="11" t="inlineStr">
        <is>
          <t>Colorless</t>
        </is>
      </c>
      <c r="G680" s="8" t="n">
        <v>1.1</v>
      </c>
      <c r="H680" s="11" t="inlineStr">
        <is>
          <t>Mirrodin (MRD)</t>
        </is>
      </c>
      <c r="I680" s="11" t="inlineStr">
        <is>
          <t>Não</t>
        </is>
      </c>
      <c r="J680" s="11" t="n">
        <v>2003</v>
      </c>
      <c r="K680" s="11" t="inlineStr">
        <is>
          <t>0/2</t>
        </is>
      </c>
      <c r="L680" s="11" t="n">
        <v>1</v>
      </c>
      <c r="M680" s="8">
        <f>L680*G680</f>
        <v/>
      </c>
      <c r="P680" s="9" t="n"/>
    </row>
    <row r="681">
      <c r="A681" s="11" t="inlineStr">
        <is>
          <t>Boneco de Justa / Jousting Dummy</t>
        </is>
      </c>
      <c r="B681" s="11" t="inlineStr">
        <is>
          <t>Criatura Artefato — Espantalho Cavaleiro</t>
        </is>
      </c>
      <c r="C681" s="11" t="inlineStr">
        <is>
          <t>Comum</t>
        </is>
      </c>
      <c r="D681" s="11" t="inlineStr">
        <is>
          <t>{3}: Boneco de Justa recebe +1/+0 até o final do turno.</t>
        </is>
      </c>
      <c r="E681" s="11" t="inlineStr">
        <is>
          <t>{2}</t>
        </is>
      </c>
      <c r="F681" s="11" t="inlineStr">
        <is>
          <t>Incolor</t>
        </is>
      </c>
      <c r="G681" s="8" t="n">
        <v>0.04</v>
      </c>
      <c r="H681" s="11" t="inlineStr">
        <is>
          <t>Throne of Eldraine (ELD)</t>
        </is>
      </c>
      <c r="I681" s="11" t="inlineStr">
        <is>
          <t>Não</t>
        </is>
      </c>
      <c r="J681" s="11" t="n">
        <v>2019</v>
      </c>
      <c r="K681" s="10" t="n">
        <v>46024</v>
      </c>
      <c r="L681" s="11" t="n">
        <v>1</v>
      </c>
      <c r="M681" s="8">
        <f>L681*G681</f>
        <v/>
      </c>
      <c r="P681" s="9" t="n"/>
    </row>
    <row r="682">
      <c r="A682" s="11" t="inlineStr">
        <is>
          <t>Urna de Fogo Divino / Divine Fire Urn</t>
        </is>
      </c>
      <c r="B682" s="11" t="inlineStr">
        <is>
          <t>Artefato</t>
        </is>
      </c>
      <c r="C682" s="11" t="inlineStr">
        <is>
          <t>Comum</t>
        </is>
      </c>
      <c r="D682" s="11" t="inlineStr">
        <is>
          <t>{2}: Adicione um mana de qualquer cor. {6}, {T}, sacrifique Urna de Fogo Divino: Destrua a criatura ou o encantamento alvo.</t>
        </is>
      </c>
      <c r="E682" s="11" t="inlineStr">
        <is>
          <t>{1}</t>
        </is>
      </c>
      <c r="F682" s="11" t="inlineStr">
        <is>
          <t>Incolor</t>
        </is>
      </c>
      <c r="G682" s="8" t="n">
        <v>0.27</v>
      </c>
      <c r="H682" s="11" t="inlineStr">
        <is>
          <t>March of the Machine (MOM)</t>
        </is>
      </c>
      <c r="I682" s="11" t="inlineStr">
        <is>
          <t>Sim</t>
        </is>
      </c>
      <c r="J682" s="11" t="n">
        <v>2023</v>
      </c>
      <c r="L682" s="11" t="n">
        <v>1</v>
      </c>
      <c r="M682" s="8">
        <f>L682*G682</f>
        <v/>
      </c>
      <c r="P682" s="9" t="n"/>
    </row>
    <row r="683">
      <c r="A683" s="11" t="inlineStr">
        <is>
          <t>Obsidian Acolyte</t>
        </is>
      </c>
      <c r="B683" s="11" t="inlineStr">
        <is>
          <t>Creature — Cleric</t>
        </is>
      </c>
      <c r="C683" s="11" t="inlineStr">
        <is>
          <t>Common</t>
        </is>
      </c>
      <c r="D683" s="11" t="inlineStr">
        <is>
          <t>Protection from Preto, {W}: Target creature gains protection from Preto until end of turn.</t>
        </is>
      </c>
      <c r="E683" s="11" t="inlineStr">
        <is>
          <t>{1}{W}</t>
        </is>
      </c>
      <c r="F683" s="11" t="inlineStr">
        <is>
          <t>Branco</t>
        </is>
      </c>
      <c r="G683" s="8" t="n">
        <v>2.5</v>
      </c>
      <c r="H683" s="11" t="inlineStr">
        <is>
          <t>Invasion (INV)</t>
        </is>
      </c>
      <c r="I683" s="11" t="inlineStr">
        <is>
          <t>Não</t>
        </is>
      </c>
      <c r="J683" s="11" t="n">
        <v>2000</v>
      </c>
      <c r="K683" s="10" t="n">
        <v>46023</v>
      </c>
      <c r="L683" s="11" t="n">
        <v>1</v>
      </c>
      <c r="M683" s="8">
        <f>L683*G683</f>
        <v/>
      </c>
      <c r="P683" s="9" t="n"/>
    </row>
    <row r="684">
      <c r="A684" s="11" t="inlineStr">
        <is>
          <t>Benalish Hero</t>
        </is>
      </c>
      <c r="B684" s="11" t="inlineStr">
        <is>
          <t>Summon Hero</t>
        </is>
      </c>
      <c r="C684" s="11" t="inlineStr">
        <is>
          <t>Comum</t>
        </is>
      </c>
      <c r="D684" s="11" t="inlineStr">
        <is>
          <t>Bands</t>
        </is>
      </c>
      <c r="E684" s="11" t="inlineStr">
        <is>
          <t>{W}</t>
        </is>
      </c>
      <c r="F684" s="11" t="inlineStr">
        <is>
          <t>Branco</t>
        </is>
      </c>
      <c r="G684" s="8" t="n">
        <v>0.24</v>
      </c>
      <c r="H684" s="11" t="inlineStr">
        <is>
          <t>Alpha</t>
        </is>
      </c>
      <c r="I684" s="11" t="inlineStr">
        <is>
          <t>Não</t>
        </is>
      </c>
      <c r="J684" s="11" t="n">
        <v>1993</v>
      </c>
      <c r="K684" s="10" t="n">
        <v>46023</v>
      </c>
      <c r="L684" s="11" t="n">
        <v>1</v>
      </c>
      <c r="M684" s="8">
        <f>L684*G684</f>
        <v/>
      </c>
      <c r="P684" s="9" t="n"/>
    </row>
    <row r="685">
      <c r="A685" s="11" t="inlineStr">
        <is>
          <t>Holy Strength / Holy Strength</t>
        </is>
      </c>
      <c r="B685" s="11" t="inlineStr">
        <is>
          <t>Enchant Creature</t>
        </is>
      </c>
      <c r="C685" s="11" t="inlineStr">
        <is>
          <t>Comum</t>
        </is>
      </c>
      <c r="D685" s="11" t="inlineStr">
        <is>
          <t>Target creature gains +1/+2.</t>
        </is>
      </c>
      <c r="E685" s="11" t="inlineStr">
        <is>
          <t>{W}</t>
        </is>
      </c>
      <c r="F685" s="11" t="inlineStr">
        <is>
          <t>Branco</t>
        </is>
      </c>
      <c r="G685" s="8" t="n">
        <v>0.25</v>
      </c>
      <c r="H685" s="11" t="inlineStr">
        <is>
          <t>Alpha</t>
        </is>
      </c>
      <c r="I685" s="11" t="inlineStr">
        <is>
          <t>Não</t>
        </is>
      </c>
      <c r="J685" s="11" t="n">
        <v>1993</v>
      </c>
      <c r="L685" s="11" t="n">
        <v>1</v>
      </c>
      <c r="M685" s="8">
        <f>L685*G685</f>
        <v/>
      </c>
      <c r="P685" s="9" t="n"/>
    </row>
    <row r="686">
      <c r="A686" s="11" t="inlineStr">
        <is>
          <t>Conversion / Conversion</t>
        </is>
      </c>
      <c r="B686" s="11" t="inlineStr">
        <is>
          <t>Enchantment</t>
        </is>
      </c>
      <c r="C686" s="11" t="inlineStr">
        <is>
          <t>Incomum</t>
        </is>
      </c>
      <c r="D686" s="11" t="inlineStr">
        <is>
          <t>All mountains are considered basic plains while Conversion is in play. Pay {W}{W} during upkeep or Conversion is discarded.</t>
        </is>
      </c>
      <c r="E686" s="11" t="inlineStr">
        <is>
          <t>{2}{W}{W}</t>
        </is>
      </c>
      <c r="F686" s="11" t="inlineStr">
        <is>
          <t>Branco</t>
        </is>
      </c>
      <c r="G686" s="8" t="n">
        <v>0.5</v>
      </c>
      <c r="H686" s="11" t="inlineStr">
        <is>
          <t>Alpha</t>
        </is>
      </c>
      <c r="I686" s="11" t="inlineStr">
        <is>
          <t>Não</t>
        </is>
      </c>
      <c r="J686" s="11" t="n">
        <v>1993</v>
      </c>
      <c r="L686" s="11" t="n">
        <v>1</v>
      </c>
      <c r="M686" s="8">
        <f>L686*G686</f>
        <v/>
      </c>
      <c r="P686" s="9" t="n"/>
    </row>
    <row r="687">
      <c r="A687" s="11" t="inlineStr">
        <is>
          <t>Pestilence / Pestilência</t>
        </is>
      </c>
      <c r="B687" s="11" t="inlineStr">
        <is>
          <t>Enchantment</t>
        </is>
      </c>
      <c r="C687" s="11" t="inlineStr">
        <is>
          <t>Comum</t>
        </is>
      </c>
      <c r="D687" s="11" t="inlineStr">
        <is>
          <t>{B}: Do 1 damage to each creature and to both players. If there are no creatures in play at the end of any turn, Pestilence must be discarded.</t>
        </is>
      </c>
      <c r="E687" s="11" t="inlineStr">
        <is>
          <t>{2}{B}{B}</t>
        </is>
      </c>
      <c r="F687" s="11" t="inlineStr">
        <is>
          <t>Preto</t>
        </is>
      </c>
      <c r="G687" s="8" t="n">
        <v>3.12</v>
      </c>
      <c r="H687" s="11" t="inlineStr">
        <is>
          <t>Alpha</t>
        </is>
      </c>
      <c r="I687" s="11" t="inlineStr">
        <is>
          <t>Não</t>
        </is>
      </c>
      <c r="J687" s="11" t="n">
        <v>1993</v>
      </c>
      <c r="L687" s="11" t="n">
        <v>2</v>
      </c>
      <c r="M687" s="8">
        <f>L687*G687</f>
        <v/>
      </c>
      <c r="P687" s="9" t="n"/>
    </row>
    <row r="688">
      <c r="A688" s="11" t="inlineStr">
        <is>
          <t>Angelic Favor / Favor Angelical</t>
        </is>
      </c>
      <c r="B688" s="11" t="inlineStr">
        <is>
          <t>Instant</t>
        </is>
      </c>
      <c r="C688" s="11" t="inlineStr">
        <is>
          <t>Rare</t>
        </is>
      </c>
      <c r="D688" s="11" t="inlineStr">
        <is>
          <t>If you control a plains, you may tap an untapped creature you control instead of paying Angelic Favor's mana cost. Play Angelic Favor only during combat. Put a 4/4 white Angel creature token with flying into play. Remove it from the game at end of turn.</t>
        </is>
      </c>
      <c r="E688" s="11" t="inlineStr">
        <is>
          <t>{3}{W}</t>
        </is>
      </c>
      <c r="F688" s="11" t="inlineStr">
        <is>
          <t>Branco</t>
        </is>
      </c>
      <c r="G688" s="8" t="n">
        <v>0.75</v>
      </c>
      <c r="H688" s="11" t="inlineStr">
        <is>
          <t>Prophecy (PCY)</t>
        </is>
      </c>
      <c r="I688" s="11" t="inlineStr">
        <is>
          <t>Não</t>
        </is>
      </c>
      <c r="J688" s="11" t="n">
        <v>2000</v>
      </c>
      <c r="L688" s="11" t="n">
        <v>1</v>
      </c>
      <c r="M688" s="8">
        <f>L688*G688</f>
        <v/>
      </c>
      <c r="P688" s="9" t="n"/>
    </row>
    <row r="689">
      <c r="A689" s="11" t="inlineStr">
        <is>
          <t>Unholy Strength / Força Profana</t>
        </is>
      </c>
      <c r="B689" s="11" t="inlineStr">
        <is>
          <t>Enchant Creature</t>
        </is>
      </c>
      <c r="C689" s="11" t="inlineStr">
        <is>
          <t>Comum</t>
        </is>
      </c>
      <c r="D689" s="11" t="inlineStr">
        <is>
          <t>Enchanted creature gets +2/+1.</t>
        </is>
      </c>
      <c r="E689" s="11" t="inlineStr">
        <is>
          <t>{B}</t>
        </is>
      </c>
      <c r="F689" s="11" t="inlineStr">
        <is>
          <t>Preto</t>
        </is>
      </c>
      <c r="G689" s="8" t="n">
        <v>0.09</v>
      </c>
      <c r="H689" s="11" t="inlineStr">
        <is>
          <t>Fifth Edition (5ED)</t>
        </is>
      </c>
      <c r="I689" s="11" t="inlineStr">
        <is>
          <t>Não</t>
        </is>
      </c>
      <c r="J689" s="11" t="n">
        <v>1997</v>
      </c>
      <c r="L689" s="11" t="n">
        <v>1</v>
      </c>
      <c r="M689" s="8">
        <f>L689*G689</f>
        <v/>
      </c>
      <c r="P689" s="9" t="n"/>
    </row>
    <row r="690">
      <c r="A690" s="11" t="inlineStr">
        <is>
          <t>Telethopter / Telethóptero</t>
        </is>
      </c>
      <c r="B690" s="11" t="inlineStr">
        <is>
          <t>Artifact Creature</t>
        </is>
      </c>
      <c r="C690" s="11" t="inlineStr">
        <is>
          <t>Incomum</t>
        </is>
      </c>
      <c r="D690" s="11" t="inlineStr">
        <is>
          <t>Tap a creature you control: Telethopter gains flying until end of turn.</t>
        </is>
      </c>
      <c r="E690" s="11" t="inlineStr">
        <is>
          <t>{4}</t>
        </is>
      </c>
      <c r="F690" s="11" t="inlineStr">
        <is>
          <t>Incolor</t>
        </is>
      </c>
      <c r="G690" s="8" t="n">
        <v>0.14</v>
      </c>
      <c r="H690" s="11" t="inlineStr">
        <is>
          <t>Tempest (TMP)</t>
        </is>
      </c>
      <c r="I690" s="11" t="inlineStr">
        <is>
          <t>Não</t>
        </is>
      </c>
      <c r="J690" s="11" t="n">
        <v>1997</v>
      </c>
      <c r="K690" s="10" t="n">
        <v>46025</v>
      </c>
      <c r="L690" s="11" t="n">
        <v>1</v>
      </c>
      <c r="M690" s="8">
        <f>L690*G690</f>
        <v/>
      </c>
      <c r="P690" s="9" t="n"/>
    </row>
    <row r="691">
      <c r="A691" s="11" t="inlineStr">
        <is>
          <t>Battering Ram / Aríete</t>
        </is>
      </c>
      <c r="B691" s="11" t="inlineStr">
        <is>
          <t>Artifact Creature</t>
        </is>
      </c>
      <c r="C691" s="11" t="inlineStr">
        <is>
          <t>Comum</t>
        </is>
      </c>
      <c r="D691" s="11" t="inlineStr">
        <is>
          <t>Banding when attacking. At the end of combat, destroy all walls blocking Battering Ram.</t>
        </is>
      </c>
      <c r="E691" s="11" t="inlineStr">
        <is>
          <t>{2}</t>
        </is>
      </c>
      <c r="F691" s="11" t="inlineStr">
        <is>
          <t>Incolor</t>
        </is>
      </c>
      <c r="G691" s="8" t="n">
        <v>0.05</v>
      </c>
      <c r="H691" s="11" t="inlineStr">
        <is>
          <t>Fourth Edition (4ED)</t>
        </is>
      </c>
      <c r="I691" s="11" t="inlineStr">
        <is>
          <t>Não</t>
        </is>
      </c>
      <c r="J691" s="11" t="n">
        <v>1995</v>
      </c>
      <c r="K691" s="10" t="n">
        <v>46023</v>
      </c>
      <c r="L691" s="11" t="n">
        <v>3</v>
      </c>
      <c r="M691" s="8">
        <f>L691*G691</f>
        <v/>
      </c>
      <c r="P691" s="9" t="n"/>
    </row>
    <row r="692">
      <c r="A692" s="11" t="inlineStr">
        <is>
          <t>Walking Wall / Muro Andarilho</t>
        </is>
      </c>
      <c r="B692" s="11" t="inlineStr">
        <is>
          <t>Artifact Creature</t>
        </is>
      </c>
      <c r="C692" s="11" t="inlineStr">
        <is>
          <t>Incomum</t>
        </is>
      </c>
      <c r="D692" s="11" t="inlineStr">
        <is>
          <t>Counts as a wall, {3}: Walking Wall gets +3/-1 until end of turn and can attack this turn. Walking Wall cannot attack the turn it comes under your control. Use this ability only once a turn.</t>
        </is>
      </c>
      <c r="E692" s="11" t="inlineStr">
        <is>
          <t>{4}</t>
        </is>
      </c>
      <c r="F692" s="11" t="inlineStr">
        <is>
          <t>Incolor</t>
        </is>
      </c>
      <c r="G692" s="8" t="n">
        <v>0.2</v>
      </c>
      <c r="H692" s="11" t="inlineStr">
        <is>
          <t>Ice Age (ICE)</t>
        </is>
      </c>
      <c r="I692" s="11" t="inlineStr">
        <is>
          <t>Não</t>
        </is>
      </c>
      <c r="J692" s="11" t="n">
        <v>1995</v>
      </c>
      <c r="K692" s="11" t="inlineStr">
        <is>
          <t>0/6</t>
        </is>
      </c>
      <c r="L692" s="11" t="n">
        <v>1</v>
      </c>
      <c r="M692" s="8">
        <f>L692*G692</f>
        <v/>
      </c>
      <c r="P692" s="9" t="n"/>
    </row>
    <row r="693">
      <c r="A693" s="11" t="inlineStr">
        <is>
          <t>Combat Medic / Médico de Combate</t>
        </is>
      </c>
      <c r="B693" s="11" t="inlineStr">
        <is>
          <t>Summon Soldier</t>
        </is>
      </c>
      <c r="C693" s="11" t="inlineStr">
        <is>
          <t>Incomum</t>
        </is>
      </c>
      <c r="D693" s="11" t="inlineStr">
        <is>
          <t>{1}{W}: Prevent 1 damage to any player or creature.</t>
        </is>
      </c>
      <c r="E693" s="11" t="inlineStr">
        <is>
          <t>{2}{W}</t>
        </is>
      </c>
      <c r="F693" s="11" t="inlineStr">
        <is>
          <t>Branco</t>
        </is>
      </c>
      <c r="G693" s="8" t="n">
        <v>0.24</v>
      </c>
      <c r="H693" s="11" t="inlineStr">
        <is>
          <t>Fallen Empires (FEM)</t>
        </is>
      </c>
      <c r="I693" s="11" t="inlineStr">
        <is>
          <t>Não</t>
        </is>
      </c>
      <c r="J693" s="11" t="n">
        <v>1994</v>
      </c>
      <c r="K693" s="11" t="inlineStr">
        <is>
          <t>0/2</t>
        </is>
      </c>
      <c r="L693" s="11" t="n">
        <v>4</v>
      </c>
      <c r="M693" s="8">
        <f>L693*G693</f>
        <v/>
      </c>
      <c r="P693" s="9" t="n"/>
    </row>
    <row r="694">
      <c r="A694" s="11" t="inlineStr">
        <is>
          <t>Armadura Divina / Divine Armor</t>
        </is>
      </c>
      <c r="B694" s="11" t="inlineStr">
        <is>
          <t>Encantar Criatura</t>
        </is>
      </c>
      <c r="C694" s="11" t="inlineStr">
        <is>
          <t>Comum</t>
        </is>
      </c>
      <c r="D694" s="11" t="inlineStr">
        <is>
          <t>A criatura-alvo ganha +0/+2. {W}: A criatura-alvo encantada pela Armadura Divina ganha +0/+1 até o final do turno.</t>
        </is>
      </c>
      <c r="E694" s="11" t="inlineStr">
        <is>
          <t>{W}</t>
        </is>
      </c>
      <c r="F694" s="11" t="inlineStr">
        <is>
          <t>Branco</t>
        </is>
      </c>
      <c r="G694" s="8" t="n">
        <v>0.17</v>
      </c>
      <c r="H694" s="11" t="inlineStr">
        <is>
          <t>Fourth Edition (4ED)</t>
        </is>
      </c>
      <c r="I694" s="11" t="inlineStr">
        <is>
          <t>Não</t>
        </is>
      </c>
      <c r="J694" s="11" t="n">
        <v>1995</v>
      </c>
      <c r="L694" s="11" t="n">
        <v>2</v>
      </c>
      <c r="M694" s="8">
        <f>L694*G694</f>
        <v/>
      </c>
      <c r="P694" s="9" t="n"/>
    </row>
    <row r="695">
      <c r="A695" s="11" t="inlineStr">
        <is>
          <t>Holy Armor / Armadura Divina</t>
        </is>
      </c>
      <c r="B695" s="11" t="inlineStr">
        <is>
          <t>Enchant Creature</t>
        </is>
      </c>
      <c r="C695" s="11" t="inlineStr">
        <is>
          <t>Comum</t>
        </is>
      </c>
      <c r="D695" s="11" t="inlineStr">
        <is>
          <t>Target creature gains +0/+2. {W}: +0/+1</t>
        </is>
      </c>
      <c r="E695" s="11" t="inlineStr">
        <is>
          <t>{W}</t>
        </is>
      </c>
      <c r="F695" s="11" t="inlineStr">
        <is>
          <t>Branco</t>
        </is>
      </c>
      <c r="G695" s="8" t="n">
        <v>0.15</v>
      </c>
      <c r="H695" s="11" t="inlineStr">
        <is>
          <t>Alpha</t>
        </is>
      </c>
      <c r="I695" s="11" t="inlineStr">
        <is>
          <t>Não</t>
        </is>
      </c>
      <c r="J695" s="11" t="n">
        <v>1993</v>
      </c>
      <c r="L695" s="11" t="n">
        <v>1</v>
      </c>
      <c r="M695" s="8">
        <f>L695*G695</f>
        <v/>
      </c>
      <c r="P695" s="9" t="n"/>
    </row>
    <row r="696">
      <c r="A696" s="11" t="inlineStr">
        <is>
          <t>Círculo de Proteção: Verde / Circle of Protection: Green</t>
        </is>
      </c>
      <c r="B696" s="11" t="inlineStr">
        <is>
          <t>Encantamento</t>
        </is>
      </c>
      <c r="C696" s="11" t="inlineStr">
        <is>
          <t>Comum</t>
        </is>
      </c>
      <c r="D696" s="11" t="inlineStr">
        <is>
          <t>{1}: Evita qualquer dano de uma única origem verde contra você. Se esta fonte lhe causar dano mais de uma vez num mesmo turno, você poderá pagar 1 em cada uma das vezes para evitar o dano.</t>
        </is>
      </c>
      <c r="E696" s="11" t="inlineStr">
        <is>
          <t>{1}{W}</t>
        </is>
      </c>
      <c r="F696" s="11" t="inlineStr">
        <is>
          <t>Branco</t>
        </is>
      </c>
      <c r="G696" s="8" t="n">
        <v>0.2</v>
      </c>
      <c r="H696" s="11" t="inlineStr">
        <is>
          <t>Fourth Edition (4ED)</t>
        </is>
      </c>
      <c r="I696" s="11" t="inlineStr">
        <is>
          <t>Não</t>
        </is>
      </c>
      <c r="J696" s="11" t="n">
        <v>1995</v>
      </c>
      <c r="L696" s="11" t="n">
        <v>3</v>
      </c>
      <c r="M696" s="8">
        <f>L696*G696</f>
        <v/>
      </c>
      <c r="P696" s="9" t="n"/>
    </row>
    <row r="697">
      <c r="A697" s="11" t="inlineStr">
        <is>
          <t>Circle of Protection: Green / Círculo de Proteção: Verde</t>
        </is>
      </c>
      <c r="B697" s="11" t="inlineStr">
        <is>
          <t>Enchantment</t>
        </is>
      </c>
      <c r="C697" s="11" t="inlineStr">
        <is>
          <t>Common</t>
        </is>
      </c>
      <c r="D697" s="11" t="inlineStr">
        <is>
          <t>{1}: Prevent all damage against you from one green source. If a source deals damage to you more than once in a turn, you may pay {1} each time to prevent the damage.</t>
        </is>
      </c>
      <c r="E697" s="11" t="inlineStr">
        <is>
          <t>{1}{W}</t>
        </is>
      </c>
      <c r="F697" s="11" t="inlineStr">
        <is>
          <t>Branco</t>
        </is>
      </c>
      <c r="G697" s="8" t="n">
        <v>0.1</v>
      </c>
      <c r="H697" s="11" t="inlineStr">
        <is>
          <t>Fourth Edition (4ED) Reprint</t>
        </is>
      </c>
      <c r="I697" s="11" t="inlineStr">
        <is>
          <t>No</t>
        </is>
      </c>
      <c r="J697" s="11" t="n">
        <v>1995</v>
      </c>
      <c r="L697" s="11" t="n">
        <v>1</v>
      </c>
      <c r="M697" s="8">
        <f>L697*G697</f>
        <v/>
      </c>
      <c r="P697" s="9" t="n"/>
    </row>
    <row r="698">
      <c r="A698" s="11" t="inlineStr">
        <is>
          <t>Look at Me, I'm the DCI</t>
        </is>
      </c>
      <c r="B698" s="11" t="inlineStr">
        <is>
          <t>Sorcery</t>
        </is>
      </c>
      <c r="C698" s="11" t="inlineStr">
        <is>
          <t>Rare</t>
        </is>
      </c>
      <c r="D698" s="11" t="inlineStr">
        <is>
          <t>Ban one card, other than a basic land, for the remainder of the match. (For the remainder of the match, each player removes from the game all copies of that card in play or in any graveyard, hand, library, or sideboard.)</t>
        </is>
      </c>
      <c r="E698" s="11" t="inlineStr">
        <is>
          <t>{5}{W}{W}</t>
        </is>
      </c>
      <c r="F698" s="11" t="inlineStr">
        <is>
          <t>White</t>
        </is>
      </c>
      <c r="G698" s="8" t="n">
        <v>6.8</v>
      </c>
      <c r="H698" s="11" t="inlineStr">
        <is>
          <t>Unglued (UGL)</t>
        </is>
      </c>
      <c r="I698" s="11" t="inlineStr">
        <is>
          <t>No</t>
        </is>
      </c>
      <c r="J698" s="11" t="n">
        <v>1998</v>
      </c>
      <c r="L698" s="11" t="n">
        <v>1</v>
      </c>
      <c r="M698" s="8">
        <f>L698*G698</f>
        <v/>
      </c>
      <c r="P698" s="9" t="n"/>
    </row>
    <row r="699">
      <c r="A699" s="11" t="inlineStr">
        <is>
          <t>Volrath's Motion Sensor</t>
        </is>
      </c>
      <c r="B699" s="11" t="inlineStr">
        <is>
          <t>Enchant Player</t>
        </is>
      </c>
      <c r="C699" s="11" t="inlineStr">
        <is>
          <t>Rare</t>
        </is>
      </c>
      <c r="D699" s="11"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9" s="11" t="inlineStr">
        <is>
          <t>{B}</t>
        </is>
      </c>
      <c r="F699" s="11" t="inlineStr">
        <is>
          <t>Preto</t>
        </is>
      </c>
      <c r="G699" s="8" t="n">
        <v>1.25</v>
      </c>
      <c r="H699" s="11" t="inlineStr">
        <is>
          <t>Unglued (UGL)</t>
        </is>
      </c>
      <c r="I699" s="11" t="inlineStr">
        <is>
          <t>No</t>
        </is>
      </c>
      <c r="J699" s="11" t="n">
        <v>1998</v>
      </c>
      <c r="L699" s="11" t="n">
        <v>1</v>
      </c>
      <c r="M699" s="8">
        <f>L699*G699</f>
        <v/>
      </c>
      <c r="P699" s="9" t="n"/>
    </row>
    <row r="700">
      <c r="A700" s="11" t="inlineStr">
        <is>
          <t>The Cheese Stands Alone</t>
        </is>
      </c>
      <c r="B700" s="11" t="inlineStr">
        <is>
          <t>Enchantment</t>
        </is>
      </c>
      <c r="C700" s="11" t="inlineStr">
        <is>
          <t>Rare</t>
        </is>
      </c>
      <c r="D700" s="11" t="inlineStr">
        <is>
          <t>If you control no cards in play other than The Cheese Stands Alone and have no cards in your hand, you win the game.</t>
        </is>
      </c>
      <c r="E700" s="11" t="inlineStr">
        <is>
          <t>{4}{W}{W}</t>
        </is>
      </c>
      <c r="F700" s="11" t="inlineStr">
        <is>
          <t>White</t>
        </is>
      </c>
      <c r="G700" s="8" t="n">
        <v>29.98</v>
      </c>
      <c r="H700" s="11" t="inlineStr">
        <is>
          <t>Unglued (UGL)</t>
        </is>
      </c>
      <c r="I700" s="11" t="inlineStr">
        <is>
          <t>No</t>
        </is>
      </c>
      <c r="J700" s="11" t="n">
        <v>1998</v>
      </c>
      <c r="L700" s="11" t="n">
        <v>1</v>
      </c>
      <c r="M700" s="8">
        <f>L700*G700</f>
        <v/>
      </c>
      <c r="P700" s="9" t="n"/>
    </row>
    <row r="701">
      <c r="A701" s="11" t="inlineStr">
        <is>
          <t>Disempower</t>
        </is>
      </c>
      <c r="B701" s="11" t="inlineStr">
        <is>
          <t>Instant</t>
        </is>
      </c>
      <c r="C701" s="11" t="inlineStr">
        <is>
          <t>Common</t>
        </is>
      </c>
      <c r="D701" s="11" t="inlineStr">
        <is>
          <t>Put target artifact or enchantment on top of owner's library.</t>
        </is>
      </c>
      <c r="E701" s="11" t="inlineStr">
        <is>
          <t>{1}{W}</t>
        </is>
      </c>
      <c r="F701" s="11" t="inlineStr">
        <is>
          <t>White</t>
        </is>
      </c>
      <c r="G701" s="8" t="n">
        <v>0.05</v>
      </c>
      <c r="H701" s="11" t="inlineStr">
        <is>
          <t>Mirage (MIR)</t>
        </is>
      </c>
      <c r="I701" s="11" t="inlineStr">
        <is>
          <t>No</t>
        </is>
      </c>
      <c r="J701" s="11" t="n">
        <v>1996</v>
      </c>
      <c r="L701" s="11" t="n">
        <v>1</v>
      </c>
      <c r="M701" s="8">
        <f>L701*G701</f>
        <v/>
      </c>
      <c r="P701" s="9" t="n"/>
    </row>
    <row r="702">
      <c r="A702" s="11" t="inlineStr">
        <is>
          <t>Circle of Protection: Red / Círculo de Proteção: Vermelho</t>
        </is>
      </c>
      <c r="B702" s="11" t="inlineStr">
        <is>
          <t>Enchantment</t>
        </is>
      </c>
      <c r="C702" s="11" t="inlineStr">
        <is>
          <t>Common</t>
        </is>
      </c>
      <c r="D702" s="11" t="inlineStr">
        <is>
          <t>{1}: Prevent all damage against you from one red source. If a source deals damage to you more than once in a turn, you may pay {1} each time to prevent the damage.</t>
        </is>
      </c>
      <c r="E702" s="11" t="inlineStr">
        <is>
          <t>{1}{W}</t>
        </is>
      </c>
      <c r="F702" s="11" t="inlineStr">
        <is>
          <t>White</t>
        </is>
      </c>
      <c r="G702" s="8" t="n">
        <v>0.24</v>
      </c>
      <c r="H702" s="11" t="inlineStr">
        <is>
          <t>Fourth Edition (4ED)</t>
        </is>
      </c>
      <c r="I702" s="11" t="inlineStr">
        <is>
          <t>No</t>
        </is>
      </c>
      <c r="J702" s="11" t="n">
        <v>1995</v>
      </c>
      <c r="L702" s="11" t="n">
        <v>4</v>
      </c>
      <c r="M702" s="8">
        <f>L702*G702</f>
        <v/>
      </c>
      <c r="P702" s="9" t="n"/>
    </row>
    <row r="703">
      <c r="A703" s="11" t="inlineStr">
        <is>
          <t>Mesa Chicken</t>
        </is>
      </c>
      <c r="B703" s="11" t="inlineStr">
        <is>
          <t>Summon Chicken</t>
        </is>
      </c>
      <c r="C703" s="11" t="inlineStr">
        <is>
          <t>Common</t>
        </is>
      </c>
      <c r="D703" s="11" t="inlineStr">
        <is>
          <t>Stand up, Flap your arms, Cluck like a chicken: Mesa Chicken gains flying until end of turn.</t>
        </is>
      </c>
      <c r="E703" s="11" t="inlineStr">
        <is>
          <t>{W}{W}</t>
        </is>
      </c>
      <c r="F703" s="11" t="inlineStr">
        <is>
          <t>White</t>
        </is>
      </c>
      <c r="G703" s="8" t="n">
        <v>0.25</v>
      </c>
      <c r="H703" s="11" t="inlineStr">
        <is>
          <t>Unglued (UGL)</t>
        </is>
      </c>
      <c r="I703" s="11" t="inlineStr">
        <is>
          <t>No</t>
        </is>
      </c>
      <c r="J703" s="11" t="n">
        <v>1998</v>
      </c>
      <c r="K703" s="10" t="n">
        <v>46055</v>
      </c>
      <c r="L703" s="11" t="n">
        <v>2</v>
      </c>
      <c r="M703" s="8">
        <f>L703*G703</f>
        <v/>
      </c>
      <c r="P703" s="9" t="n"/>
    </row>
    <row r="704">
      <c r="A704" s="11" t="inlineStr">
        <is>
          <t>Cinder Marsh / Pântano de Cinzas</t>
        </is>
      </c>
      <c r="B704" s="11" t="inlineStr">
        <is>
          <t>Land</t>
        </is>
      </c>
      <c r="C704" s="11" t="inlineStr">
        <is>
          <t>Uncommon</t>
        </is>
      </c>
      <c r="D704" s="11" t="inlineStr">
        <is>
          <t>{T}: Add one colorless mana to your mana pool. {T}: Add {B} or {R} to your mana pool. Cinder Marsh does not untap during your next untap phase.</t>
        </is>
      </c>
      <c r="E704" s="11" t="inlineStr">
        <is>
          <t>{0}</t>
        </is>
      </c>
      <c r="F704" s="11" t="inlineStr">
        <is>
          <t>Colorless</t>
        </is>
      </c>
      <c r="G704" s="8" t="n">
        <v>0.45</v>
      </c>
      <c r="H704" s="11" t="inlineStr">
        <is>
          <t>Tempest (TMP)</t>
        </is>
      </c>
      <c r="I704" s="11" t="inlineStr">
        <is>
          <t>No</t>
        </is>
      </c>
      <c r="J704" s="11" t="n">
        <v>1997</v>
      </c>
      <c r="L704" s="11" t="n">
        <v>1</v>
      </c>
      <c r="M704" s="8">
        <f>L704*G704</f>
        <v/>
      </c>
      <c r="P704" s="9" t="n"/>
    </row>
    <row r="705">
      <c r="A705" s="11" t="inlineStr">
        <is>
          <t>Tundra Wolves / Lobos da Tundra</t>
        </is>
      </c>
      <c r="B705" s="11" t="inlineStr">
        <is>
          <t>Creature — Wolf</t>
        </is>
      </c>
      <c r="C705" s="11" t="inlineStr">
        <is>
          <t>Common</t>
        </is>
      </c>
      <c r="D705" s="11" t="inlineStr">
        <is>
          <t>First strike</t>
        </is>
      </c>
      <c r="E705" s="11" t="inlineStr">
        <is>
          <t>{W}</t>
        </is>
      </c>
      <c r="F705" s="11" t="inlineStr">
        <is>
          <t>White</t>
        </is>
      </c>
      <c r="G705" s="8" t="n">
        <v>0.1</v>
      </c>
      <c r="H705" s="11" t="inlineStr">
        <is>
          <t>Fourth Edition</t>
        </is>
      </c>
      <c r="I705" s="11" t="inlineStr">
        <is>
          <t>No</t>
        </is>
      </c>
      <c r="J705" s="11" t="n">
        <v>1999</v>
      </c>
      <c r="K705" s="10" t="n">
        <v>46023</v>
      </c>
      <c r="L705" s="11" t="n">
        <v>1</v>
      </c>
      <c r="M705" s="8">
        <f>L705*G705</f>
        <v/>
      </c>
      <c r="P705" s="9" t="n"/>
    </row>
    <row r="706">
      <c r="A706" s="11" t="inlineStr">
        <is>
          <t>Tundra Wolves / Lobos da Tundra</t>
        </is>
      </c>
      <c r="B706" s="11" t="inlineStr">
        <is>
          <t>Creature — Wolf</t>
        </is>
      </c>
      <c r="C706" s="11" t="inlineStr">
        <is>
          <t>Common</t>
        </is>
      </c>
      <c r="D706" s="11" t="inlineStr">
        <is>
          <t>First strike</t>
        </is>
      </c>
      <c r="E706" s="11" t="inlineStr">
        <is>
          <t>{W}</t>
        </is>
      </c>
      <c r="F706" s="11" t="inlineStr">
        <is>
          <t>White</t>
        </is>
      </c>
      <c r="G706" s="8" t="n">
        <v>0.28</v>
      </c>
      <c r="H706" s="11" t="inlineStr">
        <is>
          <t>Fourth Edition (BB)</t>
        </is>
      </c>
      <c r="I706" s="11" t="inlineStr">
        <is>
          <t>No</t>
        </is>
      </c>
      <c r="J706" s="11" t="n">
        <v>1995</v>
      </c>
      <c r="K706" s="10" t="n">
        <v>46023</v>
      </c>
      <c r="L706" s="11" t="n">
        <v>6</v>
      </c>
      <c r="M706" s="8">
        <f>L706*G706</f>
        <v/>
      </c>
      <c r="P706" s="9" t="n"/>
    </row>
    <row r="707">
      <c r="A707" s="11" t="inlineStr">
        <is>
          <t>Avatar of Hope / Avatar da Esperança</t>
        </is>
      </c>
      <c r="B707" s="11" t="inlineStr">
        <is>
          <t>Creature — Avatar</t>
        </is>
      </c>
      <c r="C707" s="11" t="inlineStr">
        <is>
          <t>Rare</t>
        </is>
      </c>
      <c r="D707" s="11" t="inlineStr">
        <is>
          <t>Flying. If you have 3 life or less, Avatar of Hope costs {6} less to play. Avatar of Hope may block any number of creatures.</t>
        </is>
      </c>
      <c r="E707" s="11" t="inlineStr">
        <is>
          <t>{6}{W}{W}</t>
        </is>
      </c>
      <c r="F707" s="11" t="inlineStr">
        <is>
          <t>White</t>
        </is>
      </c>
      <c r="G707" s="8" t="n">
        <v>1.25</v>
      </c>
      <c r="H707" s="11" t="inlineStr">
        <is>
          <t>Prophecy (PCY)</t>
        </is>
      </c>
      <c r="I707" s="11" t="inlineStr">
        <is>
          <t>No</t>
        </is>
      </c>
      <c r="J707" s="11" t="n">
        <v>2000</v>
      </c>
      <c r="K707" s="10" t="n">
        <v>46269</v>
      </c>
      <c r="L707" s="11" t="n">
        <v>2</v>
      </c>
      <c r="M707" s="8">
        <f>L707*G707</f>
        <v/>
      </c>
      <c r="P707" s="9" t="n"/>
    </row>
    <row r="708">
      <c r="A708" s="11" t="inlineStr">
        <is>
          <t>Lavagem Cerebral / Brainwash</t>
        </is>
      </c>
      <c r="B708" s="11" t="inlineStr">
        <is>
          <t>Encantar Criatura</t>
        </is>
      </c>
      <c r="C708" s="11" t="inlineStr">
        <is>
          <t>Comum</t>
        </is>
      </c>
      <c r="D708" s="11" t="inlineStr">
        <is>
          <t>A criatura-alvo não poderá atacar a menos que o jogador que a controla pague {3} adicionais.</t>
        </is>
      </c>
      <c r="E708" s="11" t="inlineStr">
        <is>
          <t>{W}</t>
        </is>
      </c>
      <c r="F708" s="11" t="inlineStr">
        <is>
          <t>Branco</t>
        </is>
      </c>
      <c r="G708" s="8" t="n">
        <v>0.13</v>
      </c>
      <c r="H708" s="11" t="inlineStr">
        <is>
          <t>Fourth Edition (4ED)</t>
        </is>
      </c>
      <c r="I708" s="11" t="inlineStr">
        <is>
          <t>Não</t>
        </is>
      </c>
      <c r="J708" s="11" t="n">
        <v>1995</v>
      </c>
      <c r="L708" s="11" t="n">
        <v>1</v>
      </c>
      <c r="M708" s="8">
        <f>L708*G708</f>
        <v/>
      </c>
      <c r="P708" s="9" t="n"/>
    </row>
    <row r="709">
      <c r="A709" s="11" t="inlineStr">
        <is>
          <t>Lavagem Cerebral / Brainwash</t>
        </is>
      </c>
      <c r="B709" s="11" t="inlineStr">
        <is>
          <t>Encantar Criatura</t>
        </is>
      </c>
      <c r="C709" s="11" t="inlineStr">
        <is>
          <t>Comum</t>
        </is>
      </c>
      <c r="D709" s="11" t="inlineStr">
        <is>
          <t>A criatura-alvo não poderá atacar a menos que o jogador que a controla pague {3} adicionais.</t>
        </is>
      </c>
      <c r="E709" s="11" t="inlineStr">
        <is>
          <t>{W}</t>
        </is>
      </c>
      <c r="F709" s="11" t="inlineStr">
        <is>
          <t>Branco</t>
        </is>
      </c>
      <c r="G709" s="8" t="n">
        <v>0.09</v>
      </c>
      <c r="H709" s="11" t="inlineStr">
        <is>
          <t>Fourth Edition (4ED) Reprint</t>
        </is>
      </c>
      <c r="I709" s="11" t="inlineStr">
        <is>
          <t>Não</t>
        </is>
      </c>
      <c r="J709" s="11" t="n">
        <v>1995</v>
      </c>
      <c r="L709" s="11" t="n">
        <v>1</v>
      </c>
      <c r="M709" s="8">
        <f>L709*G709</f>
        <v/>
      </c>
      <c r="P709" s="9" t="n"/>
    </row>
    <row r="710">
      <c r="A710" s="11" t="inlineStr">
        <is>
          <t>Castelo / Castle</t>
        </is>
      </c>
      <c r="B710" s="11" t="inlineStr">
        <is>
          <t>Encantamento</t>
        </is>
      </c>
      <c r="C710" s="11" t="inlineStr">
        <is>
          <t>Incomum</t>
        </is>
      </c>
      <c r="D710" s="11" t="inlineStr">
        <is>
          <t>As criaturas desviradas sob seu controle ganham +0/+2 quando não estiverem atacando.</t>
        </is>
      </c>
      <c r="E710" s="11" t="inlineStr">
        <is>
          <t>{3}{W}</t>
        </is>
      </c>
      <c r="F710" s="11" t="inlineStr">
        <is>
          <t>Branco</t>
        </is>
      </c>
      <c r="G710" s="8" t="n">
        <v>0.43</v>
      </c>
      <c r="H710" s="11" t="inlineStr">
        <is>
          <t>Fourth Edition (4ED)</t>
        </is>
      </c>
      <c r="I710" s="11" t="inlineStr">
        <is>
          <t>Não</t>
        </is>
      </c>
      <c r="J710" s="11" t="n">
        <v>1995</v>
      </c>
      <c r="L710" s="11" t="n">
        <v>1</v>
      </c>
      <c r="M710" s="8">
        <f>L710*G710</f>
        <v/>
      </c>
      <c r="P710" s="9" t="n"/>
    </row>
    <row r="711">
      <c r="A711" s="11" t="inlineStr">
        <is>
          <t>Castelo / Castle</t>
        </is>
      </c>
      <c r="B711" s="11" t="inlineStr">
        <is>
          <t>Encantamento</t>
        </is>
      </c>
      <c r="C711" s="11" t="inlineStr">
        <is>
          <t>Incomum</t>
        </is>
      </c>
      <c r="D711" s="11" t="inlineStr">
        <is>
          <t>As criaturas desviradas sob seu controle ganham +0/+2 quando não estiverem atacando.</t>
        </is>
      </c>
      <c r="E711" s="11" t="inlineStr">
        <is>
          <t>{3}{W}</t>
        </is>
      </c>
      <c r="F711" s="11" t="inlineStr">
        <is>
          <t>Branco</t>
        </is>
      </c>
      <c r="G711" s="8" t="n">
        <v>0.17</v>
      </c>
      <c r="H711" s="11" t="inlineStr">
        <is>
          <t>Fourth Edition (4ED)</t>
        </is>
      </c>
      <c r="I711" s="11" t="inlineStr">
        <is>
          <t>Não</t>
        </is>
      </c>
      <c r="J711" s="11" t="n">
        <v>1999</v>
      </c>
      <c r="L711" s="11" t="n">
        <v>1</v>
      </c>
      <c r="M711" s="8">
        <f>L711*G711</f>
        <v/>
      </c>
      <c r="P711" s="9" t="n"/>
    </row>
    <row r="712">
      <c r="A712" s="11" t="inlineStr">
        <is>
          <t>War Elephant / Elefante de Guerra</t>
        </is>
      </c>
      <c r="B712" s="11" t="inlineStr">
        <is>
          <t>Summon Elephant</t>
        </is>
      </c>
      <c r="C712" s="11" t="inlineStr">
        <is>
          <t>Common</t>
        </is>
      </c>
      <c r="D712" s="11" t="inlineStr">
        <is>
          <t>Banding, trample</t>
        </is>
      </c>
      <c r="E712" s="11" t="inlineStr">
        <is>
          <t>{3}{W}</t>
        </is>
      </c>
      <c r="F712" s="11" t="inlineStr">
        <is>
          <t>White</t>
        </is>
      </c>
      <c r="G712" s="8" t="n">
        <v>0.07000000000000001</v>
      </c>
      <c r="H712" s="11" t="inlineStr">
        <is>
          <t>Arabian Nights (ARN)</t>
        </is>
      </c>
      <c r="I712" s="11" t="inlineStr">
        <is>
          <t>No</t>
        </is>
      </c>
      <c r="J712" s="11" t="n">
        <v>1995</v>
      </c>
      <c r="K712" s="10" t="n">
        <v>46055</v>
      </c>
      <c r="L712" s="11" t="n">
        <v>5</v>
      </c>
      <c r="M712" s="8">
        <f>L712*G712</f>
        <v/>
      </c>
      <c r="P712" s="9" t="n"/>
    </row>
    <row r="713">
      <c r="A713" s="11" t="inlineStr">
        <is>
          <t>Glittering Lynx / Lince Cintilante</t>
        </is>
      </c>
      <c r="B713" s="11" t="inlineStr">
        <is>
          <t>Creature — Cat</t>
        </is>
      </c>
      <c r="C713" s="11" t="inlineStr">
        <is>
          <t>Common</t>
        </is>
      </c>
      <c r="D713" s="11" t="inlineStr">
        <is>
          <t>Prevent all damage that would be dealt to Glittering Lynx. {2}: Until end of turn, Glittering Lynx loses “Prevent all damage that would be dealt to Glittering Lynx.” Any player may play this ability.</t>
        </is>
      </c>
      <c r="E713" s="11" t="inlineStr">
        <is>
          <t>{W}</t>
        </is>
      </c>
      <c r="F713" s="11" t="inlineStr">
        <is>
          <t>White</t>
        </is>
      </c>
      <c r="G713" s="8" t="n">
        <v>0.05</v>
      </c>
      <c r="H713" s="11" t="inlineStr">
        <is>
          <t>Prophecy (PCY)</t>
        </is>
      </c>
      <c r="I713" s="11" t="inlineStr">
        <is>
          <t>No</t>
        </is>
      </c>
      <c r="J713" s="11" t="n">
        <v>2000</v>
      </c>
      <c r="K713" s="10" t="n">
        <v>46023</v>
      </c>
      <c r="L713" s="11" t="n">
        <v>2</v>
      </c>
      <c r="M713" s="8">
        <f>L713*G713</f>
        <v/>
      </c>
      <c r="P713" s="9" t="n"/>
    </row>
    <row r="714">
      <c r="A714" s="11" t="inlineStr">
        <is>
          <t>Angel of Mercy / Anjo da Misericórdia</t>
        </is>
      </c>
      <c r="B714" s="11" t="inlineStr">
        <is>
          <t>Creature — Angel</t>
        </is>
      </c>
      <c r="C714" s="11" t="inlineStr">
        <is>
          <t>Uncommon</t>
        </is>
      </c>
      <c r="D714" s="11" t="inlineStr">
        <is>
          <t>Flying. When Angel of Mercy comes into play, you gain 3 life.</t>
        </is>
      </c>
      <c r="E714" s="11" t="inlineStr">
        <is>
          <t>{4}{W}</t>
        </is>
      </c>
      <c r="F714" s="11" t="inlineStr">
        <is>
          <t>Branco</t>
        </is>
      </c>
      <c r="G714" s="8" t="n">
        <v>0.15</v>
      </c>
      <c r="H714" s="11" t="inlineStr">
        <is>
          <t>Invasion (INV)</t>
        </is>
      </c>
      <c r="I714" s="11" t="inlineStr">
        <is>
          <t>Não</t>
        </is>
      </c>
      <c r="J714" s="11" t="n">
        <v>2000</v>
      </c>
      <c r="K714" s="10" t="n">
        <v>46084</v>
      </c>
      <c r="L714" s="11" t="n">
        <v>2</v>
      </c>
      <c r="M714" s="8">
        <f>L714*G714</f>
        <v/>
      </c>
      <c r="P714" s="9" t="n"/>
    </row>
    <row r="715">
      <c r="A715" s="11" t="inlineStr">
        <is>
          <t>Seeker / Buscador</t>
        </is>
      </c>
      <c r="B715" s="11" t="inlineStr">
        <is>
          <t>Enchant Creature</t>
        </is>
      </c>
      <c r="C715" s="11" t="inlineStr">
        <is>
          <t>Comum</t>
        </is>
      </c>
      <c r="D715" s="11" t="inlineStr">
        <is>
          <t>Target creature cannot be blocked except by white creatures and artifact creatures.</t>
        </is>
      </c>
      <c r="E715" s="11" t="inlineStr">
        <is>
          <t>{2}{W}{W}</t>
        </is>
      </c>
      <c r="F715" s="11" t="inlineStr">
        <is>
          <t>Branco</t>
        </is>
      </c>
      <c r="G715" s="8" t="n">
        <v>0.05</v>
      </c>
      <c r="H715" s="11" t="inlineStr">
        <is>
          <t>Fourth Edition (4ED)</t>
        </is>
      </c>
      <c r="I715" s="11" t="inlineStr">
        <is>
          <t>Não</t>
        </is>
      </c>
      <c r="J715" s="11" t="n">
        <v>1995</v>
      </c>
      <c r="L715" s="11" t="n">
        <v>2</v>
      </c>
      <c r="M715" s="8">
        <f>L715*G715</f>
        <v/>
      </c>
      <c r="P715" s="9" t="n"/>
    </row>
    <row r="716">
      <c r="A716" s="11" t="inlineStr">
        <is>
          <t>Dancing Scimitar / Cimitarra Dançante</t>
        </is>
      </c>
      <c r="B716" s="11" t="inlineStr">
        <is>
          <t>Artifact Creature</t>
        </is>
      </c>
      <c r="C716" s="11" t="inlineStr">
        <is>
          <t>Uncommon</t>
        </is>
      </c>
      <c r="D716" s="11" t="inlineStr">
        <is>
          <t>Flying</t>
        </is>
      </c>
      <c r="E716" s="11" t="inlineStr">
        <is>
          <t>{4}</t>
        </is>
      </c>
      <c r="F716" s="11" t="inlineStr">
        <is>
          <t>Incolor</t>
        </is>
      </c>
      <c r="G716" s="8" t="n">
        <v>2.99</v>
      </c>
      <c r="H716" s="11" t="inlineStr">
        <is>
          <t>Mirage (MIR)</t>
        </is>
      </c>
      <c r="I716" s="11" t="inlineStr">
        <is>
          <t>Não</t>
        </is>
      </c>
      <c r="J716" s="11" t="n">
        <v>1996</v>
      </c>
      <c r="K716" s="10" t="n">
        <v>46143</v>
      </c>
      <c r="L716" s="11" t="n">
        <v>3</v>
      </c>
      <c r="M716" s="8">
        <f>L716*G716</f>
        <v/>
      </c>
      <c r="P716" s="9" t="n"/>
    </row>
    <row r="717">
      <c r="A717" s="11" t="inlineStr">
        <is>
          <t>Mine Bearer / Portador de Minas</t>
        </is>
      </c>
      <c r="B717" s="11" t="inlineStr">
        <is>
          <t>Creature — Soldier</t>
        </is>
      </c>
      <c r="C717" s="11" t="inlineStr">
        <is>
          <t>Uncommon</t>
        </is>
      </c>
      <c r="D717" s="11" t="inlineStr">
        <is>
          <t>{T}, Sacrifice Mine Bearer: Destroy target attacking creature.</t>
        </is>
      </c>
      <c r="E717" s="11" t="inlineStr">
        <is>
          <t>{2}{W}</t>
        </is>
      </c>
      <c r="F717" s="11" t="inlineStr">
        <is>
          <t>White</t>
        </is>
      </c>
      <c r="G717" s="8" t="n">
        <v>0.09</v>
      </c>
      <c r="H717" s="11" t="inlineStr">
        <is>
          <t>Prophecy (PCY)</t>
        </is>
      </c>
      <c r="I717" s="11" t="inlineStr">
        <is>
          <t>No</t>
        </is>
      </c>
      <c r="J717" s="11" t="n">
        <v>2000</v>
      </c>
      <c r="K717" s="10" t="n">
        <v>46023</v>
      </c>
      <c r="L717" s="11" t="n">
        <v>2</v>
      </c>
      <c r="M717" s="8">
        <f>L717*G717</f>
        <v/>
      </c>
      <c r="P717" s="9" t="n"/>
    </row>
    <row r="718">
      <c r="A718" s="11" t="inlineStr">
        <is>
          <t>Knight of the Hokey Pokey</t>
        </is>
      </c>
      <c r="B718" s="11" t="inlineStr">
        <is>
          <t>Summon Knight</t>
        </is>
      </c>
      <c r="C718" s="11" t="inlineStr">
        <is>
          <t>Common</t>
        </is>
      </c>
      <c r="D718" s="11" t="inlineStr">
        <is>
          <t>First strike. {1}{W}, Do the Hokey Pokey (Stand up, wiggle your butt, raise your hands above your head, and shake them wildly as you rotate 360 degrees): Prevent all damage to Knight of the Hokey Pokey from any one source.</t>
        </is>
      </c>
      <c r="E718" s="11" t="inlineStr">
        <is>
          <t>{W}{W}</t>
        </is>
      </c>
      <c r="F718" s="11" t="inlineStr">
        <is>
          <t>White</t>
        </is>
      </c>
      <c r="G718" s="8" t="n">
        <v>0.25</v>
      </c>
      <c r="H718" s="11" t="inlineStr">
        <is>
          <t>Unglued (UGL)</t>
        </is>
      </c>
      <c r="I718" s="11" t="inlineStr">
        <is>
          <t>No</t>
        </is>
      </c>
      <c r="J718" s="11" t="n">
        <v>1998</v>
      </c>
      <c r="K718" s="10" t="n">
        <v>46055</v>
      </c>
      <c r="L718" s="11" t="n">
        <v>2</v>
      </c>
      <c r="M718" s="8">
        <f>L718*G718</f>
        <v/>
      </c>
      <c r="P718" s="9" t="n"/>
    </row>
    <row r="719">
      <c r="A719" s="11" t="inlineStr">
        <is>
          <t>Circle of Protection: Preto / Círculo de Proteção: Preto</t>
        </is>
      </c>
      <c r="B719" s="11" t="inlineStr">
        <is>
          <t>Enchantment</t>
        </is>
      </c>
      <c r="C719" s="11" t="inlineStr">
        <is>
          <t>Common</t>
        </is>
      </c>
      <c r="D719" s="11" t="inlineStr">
        <is>
          <t>{1}: Prevent all damage against you from one Preto source. If a source deals damage to you more than once in a turn, you may pay {1} each time to prevent the damage.</t>
        </is>
      </c>
      <c r="E719" s="11" t="inlineStr">
        <is>
          <t>{1}{W}</t>
        </is>
      </c>
      <c r="F719" s="11" t="inlineStr">
        <is>
          <t>White</t>
        </is>
      </c>
      <c r="G719" s="8" t="n">
        <v>0.2</v>
      </c>
      <c r="H719" s="11" t="inlineStr">
        <is>
          <t>Fourth Edition (4ED)</t>
        </is>
      </c>
      <c r="I719" s="11" t="inlineStr">
        <is>
          <t>No</t>
        </is>
      </c>
      <c r="J719" s="11" t="n">
        <v>1995</v>
      </c>
      <c r="L719" s="11" t="n">
        <v>3</v>
      </c>
      <c r="M719" s="8">
        <f>L719*G719</f>
        <v/>
      </c>
      <c r="P719" s="9" t="n"/>
    </row>
    <row r="720">
      <c r="A720" s="11" t="inlineStr">
        <is>
          <t>Deadhead</t>
        </is>
      </c>
      <c r="B720" s="11" t="inlineStr">
        <is>
          <t>Summon Zombie</t>
        </is>
      </c>
      <c r="C720" s="11" t="inlineStr">
        <is>
          <t>Rare</t>
        </is>
      </c>
      <c r="D720" s="11" t="inlineStr">
        <is>
          <t>Put Deadhead into play. Use this ability only if any opponent loses contact with his or her hand of cards and only if Deadhead is in your graveyard.</t>
        </is>
      </c>
      <c r="E720" s="11" t="inlineStr">
        <is>
          <t>{3}{B}</t>
        </is>
      </c>
      <c r="F720" s="11" t="inlineStr">
        <is>
          <t>Preto</t>
        </is>
      </c>
      <c r="G720" s="8" t="n">
        <v>0.25</v>
      </c>
      <c r="H720" s="11" t="inlineStr">
        <is>
          <t>Unglued (UGL)</t>
        </is>
      </c>
      <c r="I720" s="11" t="inlineStr">
        <is>
          <t>No</t>
        </is>
      </c>
      <c r="J720" s="11" t="n">
        <v>1998</v>
      </c>
      <c r="K720" s="10" t="n">
        <v>46084</v>
      </c>
      <c r="L720" s="11" t="n">
        <v>2</v>
      </c>
      <c r="M720" s="8">
        <f>L720*G720</f>
        <v/>
      </c>
      <c r="P720" s="9" t="n"/>
    </row>
    <row r="721">
      <c r="A721" s="11" t="inlineStr">
        <is>
          <t>Poultrygeist</t>
        </is>
      </c>
      <c r="B721" s="11" t="inlineStr">
        <is>
          <t>Summon Chicken</t>
        </is>
      </c>
      <c r="C721" s="11" t="inlineStr">
        <is>
          <t>Rare</t>
        </is>
      </c>
      <c r="D721" s="11" t="inlineStr">
        <is>
          <t>Flying. Whenever a creature is put into any graveyard from play, you may roll a six-sided die. On a 1, sacrifice Poultrygeist. Otherwise, put a +1/+1 counter on Poultrygeist.</t>
        </is>
      </c>
      <c r="E721" s="11" t="inlineStr">
        <is>
          <t>{2}{B}</t>
        </is>
      </c>
      <c r="F721" s="11" t="inlineStr">
        <is>
          <t>Preto</t>
        </is>
      </c>
      <c r="G721" s="8" t="n">
        <v>0.3</v>
      </c>
      <c r="H721" s="11" t="inlineStr">
        <is>
          <t>Unglued (UGL)</t>
        </is>
      </c>
      <c r="I721" s="11" t="inlineStr">
        <is>
          <t>No</t>
        </is>
      </c>
      <c r="J721" s="11" t="n">
        <v>1998</v>
      </c>
      <c r="K721" s="10" t="n">
        <v>46023</v>
      </c>
      <c r="L721" s="11" t="n">
        <v>2</v>
      </c>
      <c r="M721" s="8">
        <f>L721*G721</f>
        <v/>
      </c>
      <c r="P721" s="9" t="n"/>
    </row>
    <row r="722">
      <c r="A722" s="11" t="inlineStr">
        <is>
          <t>Baton of Morale / Bastão de Moral</t>
        </is>
      </c>
      <c r="B722" s="11" t="inlineStr">
        <is>
          <t>Artifact</t>
        </is>
      </c>
      <c r="C722" s="11" t="inlineStr">
        <is>
          <t>Uncommon</t>
        </is>
      </c>
      <c r="D722" s="11" t="inlineStr">
        <is>
          <t>{2}: Target creature gains banding until end of turn.</t>
        </is>
      </c>
      <c r="E722" s="11" t="inlineStr">
        <is>
          <t>{2}</t>
        </is>
      </c>
      <c r="F722" s="11" t="inlineStr">
        <is>
          <t>Incolor</t>
        </is>
      </c>
      <c r="G722" s="8" t="n">
        <v>0.1</v>
      </c>
      <c r="H722" s="11" t="inlineStr">
        <is>
          <t>Fourth Edition (4ED)</t>
        </is>
      </c>
      <c r="I722" s="11" t="inlineStr">
        <is>
          <t>Não</t>
        </is>
      </c>
      <c r="J722" s="11" t="n">
        <v>1995</v>
      </c>
      <c r="L722" s="11" t="n">
        <v>1</v>
      </c>
      <c r="M722" s="8">
        <f>L722*G722</f>
        <v/>
      </c>
      <c r="P722" s="9" t="n"/>
    </row>
    <row r="723">
      <c r="A723" s="11" t="inlineStr">
        <is>
          <t>Serrated Biskelion</t>
        </is>
      </c>
      <c r="B723" s="11" t="inlineStr">
        <is>
          <t>Artifact Creature</t>
        </is>
      </c>
      <c r="C723" s="11" t="inlineStr">
        <is>
          <t>Uncommon</t>
        </is>
      </c>
      <c r="D723" s="11" t="inlineStr">
        <is>
          <t>{T}: Put a -1/-1 counter on Serrated Biskelion and a -1/-1 counter on target creature.</t>
        </is>
      </c>
      <c r="E723" s="11" t="inlineStr">
        <is>
          <t>{3}</t>
        </is>
      </c>
      <c r="F723" s="11" t="inlineStr">
        <is>
          <t>Colorless</t>
        </is>
      </c>
      <c r="G723" s="8" t="n">
        <v>0.25</v>
      </c>
      <c r="H723" s="11" t="inlineStr">
        <is>
          <t>Weatherlight (WTH)</t>
        </is>
      </c>
      <c r="I723" s="11" t="inlineStr">
        <is>
          <t>No</t>
        </is>
      </c>
      <c r="J723" s="11" t="n">
        <v>1997</v>
      </c>
      <c r="K723" s="10" t="n">
        <v>46055</v>
      </c>
      <c r="L723" s="11" t="n">
        <v>1</v>
      </c>
      <c r="M723" s="8">
        <f>L723*G723</f>
        <v/>
      </c>
      <c r="P723" s="9" t="n"/>
    </row>
    <row r="724">
      <c r="A724" s="11" t="inlineStr">
        <is>
          <t>Amulet of Kroog / Amuleto de Kroog</t>
        </is>
      </c>
      <c r="B724" s="11" t="inlineStr">
        <is>
          <t>Artifact</t>
        </is>
      </c>
      <c r="C724" s="11" t="inlineStr">
        <is>
          <t>Common</t>
        </is>
      </c>
      <c r="D724" s="11" t="inlineStr">
        <is>
          <t>{2}, {T}: Prevent 1 damage to any creature or player.</t>
        </is>
      </c>
      <c r="E724" s="11" t="inlineStr">
        <is>
          <t>{2}</t>
        </is>
      </c>
      <c r="F724" s="11" t="inlineStr">
        <is>
          <t>Colorless</t>
        </is>
      </c>
      <c r="G724" s="8" t="n">
        <v>0.09</v>
      </c>
      <c r="H724" s="11" t="inlineStr">
        <is>
          <t>Weatherlight (WTH)</t>
        </is>
      </c>
      <c r="I724" s="11" t="inlineStr">
        <is>
          <t>No</t>
        </is>
      </c>
      <c r="J724" s="11" t="n">
        <v>1997</v>
      </c>
      <c r="L724" s="11" t="n">
        <v>1</v>
      </c>
      <c r="M724" s="8">
        <f>L724*G724</f>
        <v/>
      </c>
      <c r="P724" s="9" t="n"/>
    </row>
    <row r="725">
      <c r="A725" s="11" t="inlineStr">
        <is>
          <t>Amulet of Kroog / Amuleto de Kroog</t>
        </is>
      </c>
      <c r="B725" s="11" t="inlineStr">
        <is>
          <t>Artifact</t>
        </is>
      </c>
      <c r="C725" s="11" t="inlineStr">
        <is>
          <t>Common</t>
        </is>
      </c>
      <c r="D725" s="11" t="inlineStr">
        <is>
          <t>{2}, {T}: Prevent 1 damage to any creature or player.</t>
        </is>
      </c>
      <c r="E725" s="11" t="inlineStr">
        <is>
          <t>{2}</t>
        </is>
      </c>
      <c r="F725" s="11" t="inlineStr">
        <is>
          <t>Colorless</t>
        </is>
      </c>
      <c r="G725" s="8" t="n">
        <v>0.05</v>
      </c>
      <c r="H725" s="11" t="inlineStr">
        <is>
          <t>Weatherlight (WTH)</t>
        </is>
      </c>
      <c r="I725" s="11" t="inlineStr">
        <is>
          <t>No</t>
        </is>
      </c>
      <c r="J725" s="11" t="n">
        <v>1995</v>
      </c>
      <c r="L725" s="11" t="n">
        <v>1</v>
      </c>
      <c r="M725" s="8">
        <f>L725*G725</f>
        <v/>
      </c>
      <c r="P725" s="9" t="n"/>
    </row>
    <row r="726">
      <c r="A726" s="11" t="inlineStr">
        <is>
          <t>Disenchant / Desencantar</t>
        </is>
      </c>
      <c r="B726" s="11" t="inlineStr">
        <is>
          <t>Instant</t>
        </is>
      </c>
      <c r="C726" s="11" t="inlineStr">
        <is>
          <t>Common</t>
        </is>
      </c>
      <c r="D726" s="11" t="inlineStr">
        <is>
          <t>Destroy target artifact or enchantment.</t>
        </is>
      </c>
      <c r="E726" s="11" t="inlineStr">
        <is>
          <t>{1}{W}</t>
        </is>
      </c>
      <c r="F726" s="11" t="inlineStr">
        <is>
          <t>White</t>
        </is>
      </c>
      <c r="G726" s="8" t="n">
        <v>0.09</v>
      </c>
      <c r="H726" s="11" t="inlineStr">
        <is>
          <t>Classic Sixth Edition (6ED)</t>
        </is>
      </c>
      <c r="I726" s="11" t="inlineStr">
        <is>
          <t>No</t>
        </is>
      </c>
      <c r="J726" s="11" t="n">
        <v>1999</v>
      </c>
      <c r="L726" s="11" t="n">
        <v>1</v>
      </c>
      <c r="M726" s="8">
        <f>L726*G726</f>
        <v/>
      </c>
      <c r="P726" s="9" t="n"/>
    </row>
    <row r="727">
      <c r="A727" s="11" t="inlineStr">
        <is>
          <t>Benalish Hero / Herói Benalish</t>
        </is>
      </c>
      <c r="B727" s="11" t="inlineStr">
        <is>
          <t>Summon Hero / Invocação (Herói)</t>
        </is>
      </c>
      <c r="C727" s="11" t="inlineStr">
        <is>
          <t>Common / Comum</t>
        </is>
      </c>
      <c r="D727" s="11" t="inlineStr">
        <is>
          <t>Banding / Agrupamento</t>
        </is>
      </c>
      <c r="E727" s="11" t="inlineStr">
        <is>
          <t>{W}</t>
        </is>
      </c>
      <c r="F727" s="11" t="inlineStr">
        <is>
          <t>Branco</t>
        </is>
      </c>
      <c r="G727" s="8" t="n">
        <v>0.05</v>
      </c>
      <c r="H727" s="11" t="inlineStr">
        <is>
          <t>Fourth Edition (4ED)</t>
        </is>
      </c>
      <c r="I727" s="11" t="inlineStr">
        <is>
          <t>No</t>
        </is>
      </c>
      <c r="J727" s="11" t="n">
        <v>1995</v>
      </c>
      <c r="K727" s="10" t="n">
        <v>46023</v>
      </c>
      <c r="L727" s="11" t="n">
        <v>1</v>
      </c>
      <c r="M727" s="8">
        <f>L727*G727</f>
        <v/>
      </c>
      <c r="P727" s="9" t="n"/>
    </row>
    <row r="728">
      <c r="A728" s="11" t="inlineStr">
        <is>
          <t>Miss Demeanor</t>
        </is>
      </c>
      <c r="B728" s="11" t="inlineStr">
        <is>
          <t>Summon Lady of Proper Etiquette</t>
        </is>
      </c>
      <c r="C728" s="11" t="inlineStr">
        <is>
          <t>Rare</t>
        </is>
      </c>
      <c r="D728" s="11" t="inlineStr">
        <is>
          <t>Flying, first strike. During each other player's turn, compliment that player on his or her game play or sacrifice Miss Demeanor.</t>
        </is>
      </c>
      <c r="E728" s="11" t="inlineStr">
        <is>
          <t>{3}{W}</t>
        </is>
      </c>
      <c r="F728" s="11" t="inlineStr">
        <is>
          <t>White</t>
        </is>
      </c>
      <c r="G728" s="8" t="n">
        <v>0.25</v>
      </c>
      <c r="H728" s="11" t="inlineStr">
        <is>
          <t>Unglued (UGL)</t>
        </is>
      </c>
      <c r="I728" s="11" t="inlineStr">
        <is>
          <t>No</t>
        </is>
      </c>
      <c r="J728" s="11" t="n">
        <v>1998</v>
      </c>
      <c r="K728" s="10" t="n">
        <v>46025</v>
      </c>
      <c r="L728" s="11" t="n">
        <v>1</v>
      </c>
      <c r="M728" s="8">
        <f>L728*G728</f>
        <v/>
      </c>
      <c r="P728" s="9" t="n"/>
    </row>
    <row r="729">
      <c r="A729" s="11" t="inlineStr">
        <is>
          <t>Fire Diamond / Diamante de Fogo</t>
        </is>
      </c>
      <c r="B729" s="11" t="inlineStr">
        <is>
          <t>Artifact</t>
        </is>
      </c>
      <c r="C729" s="11" t="inlineStr">
        <is>
          <t>Uncommon</t>
        </is>
      </c>
      <c r="D729" s="11" t="inlineStr">
        <is>
          <t>Fire Diamond comes into play tapped. {T}: Add {R} to your mana pool. Play this ability as a mana source.</t>
        </is>
      </c>
      <c r="E729" s="11" t="inlineStr">
        <is>
          <t>{2}</t>
        </is>
      </c>
      <c r="F729" s="11" t="inlineStr">
        <is>
          <t>Colorless</t>
        </is>
      </c>
      <c r="G729" s="8" t="n">
        <v>5.1</v>
      </c>
      <c r="H729" s="11" t="inlineStr">
        <is>
          <t>Mirage (MIR)</t>
        </is>
      </c>
      <c r="I729" s="11" t="inlineStr">
        <is>
          <t>No</t>
        </is>
      </c>
      <c r="J729" s="11" t="n">
        <v>1996</v>
      </c>
      <c r="L729" s="11" t="n">
        <v>1</v>
      </c>
      <c r="M729" s="8">
        <f>L729*G729</f>
        <v/>
      </c>
      <c r="P729" s="9" t="n"/>
    </row>
    <row r="730">
      <c r="A730" s="11" t="inlineStr">
        <is>
          <t>Glasses of Urza / Óculos de Urza</t>
        </is>
      </c>
      <c r="B730" s="11" t="inlineStr">
        <is>
          <t>Artifact</t>
        </is>
      </c>
      <c r="C730" s="11" t="inlineStr">
        <is>
          <t>Uncommon</t>
        </is>
      </c>
      <c r="D730" s="11" t="inlineStr">
        <is>
          <t>{T}: Look at target player's hand.</t>
        </is>
      </c>
      <c r="E730" s="11" t="inlineStr">
        <is>
          <t>{1}</t>
        </is>
      </c>
      <c r="F730" s="11" t="inlineStr">
        <is>
          <t>Colorless</t>
        </is>
      </c>
      <c r="G730" s="8" t="n">
        <v>0.39</v>
      </c>
      <c r="H730" s="11" t="inlineStr">
        <is>
          <t>Classic Sixth Edition (6ED)</t>
        </is>
      </c>
      <c r="I730" s="11" t="inlineStr">
        <is>
          <t>No</t>
        </is>
      </c>
      <c r="J730" s="11" t="n">
        <v>1999</v>
      </c>
      <c r="L730" s="11" t="n">
        <v>1</v>
      </c>
      <c r="M730" s="8">
        <f>L730*G730</f>
        <v/>
      </c>
      <c r="P730" s="9" t="n"/>
    </row>
    <row r="731">
      <c r="A731" s="11" t="inlineStr">
        <is>
          <t>Farrel's Mantle / Manto de Farrel</t>
        </is>
      </c>
      <c r="B731" s="11" t="inlineStr">
        <is>
          <t>Enchant Creature</t>
        </is>
      </c>
      <c r="C731" s="11" t="inlineStr">
        <is>
          <t>Uncommon</t>
        </is>
      </c>
      <c r="D731" s="11"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31" s="8" t="n">
        <v>0.27</v>
      </c>
      <c r="H731" s="11" t="inlineStr">
        <is>
          <t>Fallen empires</t>
        </is>
      </c>
      <c r="I731" s="11" t="inlineStr">
        <is>
          <t>Não</t>
        </is>
      </c>
      <c r="J731" s="11" t="n">
        <v>1994</v>
      </c>
      <c r="L731" s="11" t="n">
        <v>1</v>
      </c>
      <c r="M731" s="8">
        <f>L731*G731</f>
        <v/>
      </c>
      <c r="P731" s="9" t="n"/>
    </row>
    <row r="732">
      <c r="A732" s="11" t="inlineStr">
        <is>
          <t>Feldon's Cane / Bengala de Feldon</t>
        </is>
      </c>
      <c r="B732" s="11" t="inlineStr">
        <is>
          <t>Artifact</t>
        </is>
      </c>
      <c r="C732" s="11" t="inlineStr">
        <is>
          <t>Uncommon</t>
        </is>
      </c>
      <c r="D732" s="11" t="inlineStr">
        <is>
          <t>{T}, Remove Feldon's Cane from the game: Shuffle your graveyard into your library.</t>
        </is>
      </c>
      <c r="E732" s="11" t="inlineStr">
        <is>
          <t>{1}</t>
        </is>
      </c>
      <c r="F732" s="11" t="inlineStr">
        <is>
          <t>Colorless</t>
        </is>
      </c>
      <c r="G732" s="8" t="n">
        <v>0.9</v>
      </c>
      <c r="H732" s="11" t="inlineStr">
        <is>
          <t>Fifth Edition (5ED)</t>
        </is>
      </c>
      <c r="I732" s="11" t="inlineStr">
        <is>
          <t>No</t>
        </is>
      </c>
      <c r="J732" s="11" t="n">
        <v>1997</v>
      </c>
      <c r="L732" s="11" t="n">
        <v>1</v>
      </c>
      <c r="M732" s="8">
        <f>L732*G732</f>
        <v/>
      </c>
      <c r="P732" s="9" t="n"/>
    </row>
    <row r="733">
      <c r="A733" s="11" t="inlineStr">
        <is>
          <t>Keepers of the Faith / Guardiões da Fé</t>
        </is>
      </c>
      <c r="B733" s="11" t="inlineStr">
        <is>
          <t>Summon Keepers / Invocação (Guardiões)</t>
        </is>
      </c>
      <c r="C733" s="11" t="inlineStr">
        <is>
          <t>Common / Comum</t>
        </is>
      </c>
      <c r="D733" s="11" t="inlineStr">
        <is>
          <t>None</t>
        </is>
      </c>
      <c r="E733" s="11" t="inlineStr">
        <is>
          <t>{1}{W}{W}</t>
        </is>
      </c>
      <c r="F733" s="11" t="inlineStr">
        <is>
          <t>Branco</t>
        </is>
      </c>
      <c r="G733" s="8" t="n">
        <v>1.45</v>
      </c>
      <c r="H733" s="11" t="inlineStr">
        <is>
          <t>Legends (LEG)</t>
        </is>
      </c>
      <c r="I733" s="11" t="inlineStr">
        <is>
          <t>No</t>
        </is>
      </c>
      <c r="J733" s="11" t="n">
        <v>1994</v>
      </c>
      <c r="K733" s="10" t="n">
        <v>46083</v>
      </c>
      <c r="L733" s="11" t="n">
        <v>1</v>
      </c>
      <c r="M733" s="8">
        <f>L733*G733</f>
        <v/>
      </c>
      <c r="P733" s="9" t="n"/>
    </row>
    <row r="734">
      <c r="A734" s="11" t="inlineStr">
        <is>
          <t>Soltari Monk</t>
        </is>
      </c>
      <c r="B734" s="11" t="inlineStr">
        <is>
          <t>Summon Cleric</t>
        </is>
      </c>
      <c r="C734" s="11" t="inlineStr">
        <is>
          <t>Common</t>
        </is>
      </c>
      <c r="D734" s="11" t="inlineStr">
        <is>
          <t>Protection from Preto; shadow (This creature can block or be blocked by only creatures with shadow.)</t>
        </is>
      </c>
      <c r="E734" s="11" t="inlineStr">
        <is>
          <t>{W}{W}</t>
        </is>
      </c>
      <c r="F734" s="11" t="inlineStr">
        <is>
          <t>White</t>
        </is>
      </c>
      <c r="G734" s="8" t="n">
        <v>4.41</v>
      </c>
      <c r="H734" s="11" t="inlineStr">
        <is>
          <t>Tempest (TMP)</t>
        </is>
      </c>
      <c r="I734" s="11" t="inlineStr">
        <is>
          <t>No</t>
        </is>
      </c>
      <c r="J734" s="11" t="n">
        <v>1997</v>
      </c>
      <c r="K734" s="10" t="n">
        <v>46024</v>
      </c>
      <c r="L734" s="11" t="n">
        <v>1</v>
      </c>
      <c r="M734" s="8">
        <f>L734*G734</f>
        <v/>
      </c>
      <c r="P734" s="9" t="n"/>
    </row>
    <row r="735">
      <c r="A735" s="11" t="inlineStr">
        <is>
          <t>Seal of Cleansing / Selo da Purificação</t>
        </is>
      </c>
      <c r="B735" s="11" t="inlineStr">
        <is>
          <t>Enchantment</t>
        </is>
      </c>
      <c r="C735" s="11" t="inlineStr">
        <is>
          <t>Common</t>
        </is>
      </c>
      <c r="D735" s="11" t="inlineStr">
        <is>
          <t>Sacrifice Seal of Cleansing: Destroy target artifact or enchantment.</t>
        </is>
      </c>
      <c r="E735" s="11" t="inlineStr">
        <is>
          <t>{1}{W}</t>
        </is>
      </c>
      <c r="F735" s="11" t="inlineStr">
        <is>
          <t>White</t>
        </is>
      </c>
      <c r="G735" s="8" t="n">
        <v>3.45</v>
      </c>
      <c r="H735" s="11" t="inlineStr">
        <is>
          <t>Prophecy (PCY)</t>
        </is>
      </c>
      <c r="I735" s="11" t="inlineStr">
        <is>
          <t>No</t>
        </is>
      </c>
      <c r="J735" s="11" t="n">
        <v>2000</v>
      </c>
      <c r="L735" s="11" t="n">
        <v>1</v>
      </c>
      <c r="M735" s="8">
        <f>L735*G735</f>
        <v/>
      </c>
      <c r="P735" s="9" t="n"/>
    </row>
    <row r="736">
      <c r="A736" s="11" t="inlineStr">
        <is>
          <t>Skyshaper / Modelador de Céus</t>
        </is>
      </c>
      <c r="B736" s="11" t="inlineStr">
        <is>
          <t>Artifact</t>
        </is>
      </c>
      <c r="C736" s="11" t="inlineStr">
        <is>
          <t>Uncommon</t>
        </is>
      </c>
      <c r="D736" s="11" t="inlineStr">
        <is>
          <t>Sacrifice Skyshaper: All creatures you control gain flying until end of turn.</t>
        </is>
      </c>
      <c r="E736" s="11" t="inlineStr">
        <is>
          <t>{2}</t>
        </is>
      </c>
      <c r="F736" s="11" t="inlineStr">
        <is>
          <t>Colorless</t>
        </is>
      </c>
      <c r="G736" s="8" t="n">
        <v>7.75</v>
      </c>
      <c r="H736" s="11" t="inlineStr">
        <is>
          <t>Exodus (EXO)</t>
        </is>
      </c>
      <c r="I736" s="11" t="inlineStr">
        <is>
          <t>No</t>
        </is>
      </c>
      <c r="J736" s="11" t="n">
        <v>1998</v>
      </c>
      <c r="L736" s="11" t="n">
        <v>1</v>
      </c>
      <c r="M736" s="8">
        <f>L736*G736</f>
        <v/>
      </c>
      <c r="P736" s="9" t="n"/>
    </row>
    <row r="737">
      <c r="A737" s="11" t="inlineStr">
        <is>
          <t>Echo Chamber / Câmara de Ecos</t>
        </is>
      </c>
      <c r="B737" s="11" t="inlineStr">
        <is>
          <t>Artifact / Artefato</t>
        </is>
      </c>
      <c r="C737" s="11" t="inlineStr">
        <is>
          <t>Rare / Rara</t>
        </is>
      </c>
      <c r="D737" s="11"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7" s="11" t="inlineStr">
        <is>
          <t>{4}</t>
        </is>
      </c>
      <c r="F737" s="11" t="inlineStr">
        <is>
          <t>Incolor</t>
        </is>
      </c>
      <c r="G737" s="8" t="n">
        <v>0.55</v>
      </c>
      <c r="H737" s="11" t="inlineStr">
        <is>
          <t>Tempest (TMP)</t>
        </is>
      </c>
      <c r="I737" s="11" t="inlineStr">
        <is>
          <t>No</t>
        </is>
      </c>
      <c r="J737" s="11" t="n">
        <v>1997</v>
      </c>
      <c r="L737" s="11" t="n">
        <v>1</v>
      </c>
      <c r="M737" s="8">
        <f>L737*G737</f>
        <v/>
      </c>
      <c r="P737" s="9" t="n"/>
    </row>
    <row r="738">
      <c r="A738" s="11" t="inlineStr">
        <is>
          <t>Vexing Arcanix</t>
        </is>
      </c>
      <c r="B738" s="11" t="inlineStr">
        <is>
          <t>Artifact</t>
        </is>
      </c>
      <c r="C738" s="11" t="inlineStr">
        <is>
          <t>Rare</t>
        </is>
      </c>
      <c r="D738" s="11"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8" s="11" t="inlineStr">
        <is>
          <t>{4}</t>
        </is>
      </c>
      <c r="F738" s="11" t="inlineStr">
        <is>
          <t>Incolor</t>
        </is>
      </c>
      <c r="G738" s="8" t="n">
        <v>0.48</v>
      </c>
      <c r="H738" s="11" t="inlineStr">
        <is>
          <t>Era Glacial</t>
        </is>
      </c>
      <c r="I738" s="11" t="inlineStr">
        <is>
          <t>Não</t>
        </is>
      </c>
      <c r="J738" s="11" t="n">
        <v>1996</v>
      </c>
      <c r="L738" s="11" t="n">
        <v>1</v>
      </c>
      <c r="M738" s="8">
        <f>L738*G738</f>
        <v/>
      </c>
      <c r="P738" s="9" t="n"/>
    </row>
    <row r="739">
      <c r="A739" s="11" t="inlineStr">
        <is>
          <t>Vexing Arcanix</t>
        </is>
      </c>
      <c r="B739" s="11" t="inlineStr">
        <is>
          <t>Artifact</t>
        </is>
      </c>
      <c r="C739" s="11" t="inlineStr">
        <is>
          <t>Rare</t>
        </is>
      </c>
      <c r="D739" s="11"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9" s="11" t="inlineStr">
        <is>
          <t>{3}</t>
        </is>
      </c>
      <c r="F739" s="11" t="inlineStr">
        <is>
          <t>Incolor</t>
        </is>
      </c>
      <c r="G739" s="8" t="n">
        <v>0.09</v>
      </c>
      <c r="H739" s="11" t="inlineStr">
        <is>
          <t>Nêmesis</t>
        </is>
      </c>
      <c r="I739" s="11" t="inlineStr">
        <is>
          <t>Não</t>
        </is>
      </c>
      <c r="J739" s="11" t="n">
        <v>2000</v>
      </c>
      <c r="L739" s="11" t="n">
        <v>1</v>
      </c>
      <c r="M739" s="8">
        <f>L739*G739</f>
        <v/>
      </c>
      <c r="P739" s="9" t="n"/>
    </row>
    <row r="740">
      <c r="A740" s="11" t="inlineStr">
        <is>
          <t>False Dawn / Amanhecer Falso</t>
        </is>
      </c>
      <c r="B740" s="11" t="inlineStr">
        <is>
          <t>Sorcery</t>
        </is>
      </c>
      <c r="C740" s="11" t="inlineStr">
        <is>
          <t>Rare</t>
        </is>
      </c>
      <c r="D740" s="11" t="inlineStr">
        <is>
          <t>Colored mana symbols on all permanents you control and on all cards you own that aren't in play become {W} until end of turn. Draw a card.</t>
        </is>
      </c>
      <c r="E740" s="11" t="inlineStr">
        <is>
          <t>{1}{W}</t>
        </is>
      </c>
      <c r="F740" s="11" t="inlineStr">
        <is>
          <t>White</t>
        </is>
      </c>
      <c r="G740" s="8" t="n">
        <v>0.62</v>
      </c>
      <c r="H740" s="11" t="inlineStr">
        <is>
          <t>Apocalypse (APC)</t>
        </is>
      </c>
      <c r="I740" s="11" t="inlineStr">
        <is>
          <t>No</t>
        </is>
      </c>
      <c r="J740" s="11" t="n">
        <v>2001</v>
      </c>
      <c r="L740" s="11" t="n">
        <v>1</v>
      </c>
      <c r="M740" s="8">
        <f>L740*G740</f>
        <v/>
      </c>
      <c r="P740" s="9" t="n"/>
    </row>
    <row r="741">
      <c r="A741" s="11" t="inlineStr">
        <is>
          <t>Aladdin's Lamp</t>
        </is>
      </c>
      <c r="B741" s="11" t="inlineStr">
        <is>
          <t>Artifact</t>
        </is>
      </c>
      <c r="C741" s="11" t="inlineStr">
        <is>
          <t>Rare</t>
        </is>
      </c>
      <c r="D741" s="11" t="inlineStr">
        <is>
          <t>{X}, {T}: Instead of drawing a card from the top of your library, draw X cards but choose only one to put into your hand. Shuffle the leftover cards and put them at the bottom of your library. X cannot be 0.</t>
        </is>
      </c>
      <c r="E741" s="11" t="inlineStr">
        <is>
          <t>{10}</t>
        </is>
      </c>
      <c r="F741" s="11" t="inlineStr">
        <is>
          <t>Colorless</t>
        </is>
      </c>
      <c r="G741" s="8" t="n">
        <v>0.75</v>
      </c>
      <c r="H741" s="11" t="inlineStr">
        <is>
          <t>Fourth Edition (4ED)</t>
        </is>
      </c>
      <c r="I741" s="11" t="inlineStr">
        <is>
          <t>No</t>
        </is>
      </c>
      <c r="J741" s="11" t="n">
        <v>1995</v>
      </c>
      <c r="L741" s="11" t="n">
        <v>1</v>
      </c>
      <c r="M741" s="8">
        <f>L741*G741</f>
        <v/>
      </c>
      <c r="P741" s="9" t="n"/>
    </row>
    <row r="742">
      <c r="A742" s="11" t="inlineStr">
        <is>
          <t>Sex Appeal</t>
        </is>
      </c>
      <c r="B742" s="11" t="inlineStr">
        <is>
          <t>Instant</t>
        </is>
      </c>
      <c r="C742" s="11" t="inlineStr">
        <is>
          <t>Rare</t>
        </is>
      </c>
      <c r="D742" s="11" t="inlineStr">
        <is>
          <t>Prevent up to 3 damage total to any number of creatures and/or players. If there are more players in the room of the opposite sex, prevent up to 3 additional damage total to any number of creatures and/or players.</t>
        </is>
      </c>
      <c r="E742" s="11" t="inlineStr">
        <is>
          <t>{W/B}</t>
        </is>
      </c>
      <c r="F742" s="11" t="inlineStr">
        <is>
          <t>White/Preto</t>
        </is>
      </c>
      <c r="G742" s="8" t="n">
        <v>0.45</v>
      </c>
      <c r="H742" s="11" t="inlineStr">
        <is>
          <t>Unglued (UGL)</t>
        </is>
      </c>
      <c r="I742" s="11" t="inlineStr">
        <is>
          <t>No</t>
        </is>
      </c>
      <c r="J742" s="11" t="n">
        <v>1998</v>
      </c>
      <c r="L742" s="11" t="n">
        <v>1</v>
      </c>
      <c r="M742" s="8">
        <f>L742*G742</f>
        <v/>
      </c>
      <c r="P742" s="9" t="n"/>
    </row>
    <row r="743">
      <c r="A743" s="11" t="inlineStr">
        <is>
          <t>Urza's Mine / Miniera di Urza</t>
        </is>
      </c>
      <c r="B743" s="11" t="inlineStr">
        <is>
          <t>Land / Terra</t>
        </is>
      </c>
      <c r="C743" s="11" t="inlineStr">
        <is>
          <t>Common / Comum</t>
        </is>
      </c>
      <c r="D743" s="11" t="inlineStr">
        <is>
          <t>{T}: Add {C} to your mana pool. If you control an Urza's Tower and an Urza's Power Plant, add {C}{C} to your mana pool instead.</t>
        </is>
      </c>
      <c r="E743" s="11" t="inlineStr">
        <is>
          <t>None</t>
        </is>
      </c>
      <c r="F743" s="11" t="inlineStr">
        <is>
          <t>Incolor</t>
        </is>
      </c>
      <c r="G743" s="8" t="n">
        <v>3</v>
      </c>
      <c r="H743" s="11" t="inlineStr">
        <is>
          <t>Chronicles (CHR)</t>
        </is>
      </c>
      <c r="I743" s="11" t="inlineStr">
        <is>
          <t>No</t>
        </is>
      </c>
      <c r="J743" s="11" t="n">
        <v>1995</v>
      </c>
      <c r="L743" s="11" t="n">
        <v>1</v>
      </c>
      <c r="M743" s="8">
        <f>L743*G743</f>
        <v/>
      </c>
      <c r="P743" s="9" t="n"/>
    </row>
    <row r="744">
      <c r="A744" s="11" t="inlineStr">
        <is>
          <t>Rhystic Circle</t>
        </is>
      </c>
      <c r="B744" s="11" t="inlineStr">
        <is>
          <t>Enchantment</t>
        </is>
      </c>
      <c r="C744" s="11" t="inlineStr">
        <is>
          <t>Rare</t>
        </is>
      </c>
      <c r="D744" s="11" t="inlineStr">
        <is>
          <t>{1}: Any player may pay {1}. If no one does, the next time a source of your choice would deal damage to you this turn, prevent that damage.</t>
        </is>
      </c>
      <c r="E744" s="11" t="inlineStr">
        <is>
          <t>{2}{W}{W}</t>
        </is>
      </c>
      <c r="F744" s="11" t="inlineStr">
        <is>
          <t>White</t>
        </is>
      </c>
      <c r="G744" s="8" t="n">
        <v>0.32</v>
      </c>
      <c r="H744" s="11" t="inlineStr">
        <is>
          <t>Prophecy (PCY)</t>
        </is>
      </c>
      <c r="I744" s="11" t="inlineStr">
        <is>
          <t>No</t>
        </is>
      </c>
      <c r="J744" s="11" t="n">
        <v>2000</v>
      </c>
      <c r="L744" s="11" t="n">
        <v>1</v>
      </c>
      <c r="M744" s="8">
        <f>L744*G744</f>
        <v/>
      </c>
      <c r="P744" s="9" t="n"/>
    </row>
    <row r="745">
      <c r="A745" s="11" t="inlineStr">
        <is>
          <t>Howling Mine</t>
        </is>
      </c>
      <c r="B745" s="11" t="inlineStr">
        <is>
          <t>Artifact</t>
        </is>
      </c>
      <c r="C745" s="11" t="inlineStr">
        <is>
          <t>Rare</t>
        </is>
      </c>
      <c r="D745" s="11" t="inlineStr">
        <is>
          <t>During each player's draw phase, that player draws an additional card.</t>
        </is>
      </c>
      <c r="E745" s="11" t="inlineStr">
        <is>
          <t>{2}</t>
        </is>
      </c>
      <c r="F745" s="11" t="inlineStr">
        <is>
          <t>Colorless</t>
        </is>
      </c>
      <c r="G745" s="8" t="n">
        <v>11.99</v>
      </c>
      <c r="H745" s="11" t="inlineStr">
        <is>
          <t>Fifth Edition (5ED)</t>
        </is>
      </c>
      <c r="I745" s="11" t="inlineStr">
        <is>
          <t>No</t>
        </is>
      </c>
      <c r="J745" s="11" t="n">
        <v>1997</v>
      </c>
      <c r="L745" s="11" t="n">
        <v>1</v>
      </c>
      <c r="M745" s="8">
        <f>L745*G745</f>
        <v/>
      </c>
      <c r="P745" s="9" t="n"/>
    </row>
    <row r="746">
      <c r="A746" s="11" t="inlineStr">
        <is>
          <t>Karplusan Forest</t>
        </is>
      </c>
      <c r="B746" s="11" t="inlineStr">
        <is>
          <t>Land</t>
        </is>
      </c>
      <c r="C746" s="11" t="inlineStr">
        <is>
          <t>Rare</t>
        </is>
      </c>
      <c r="D746" s="11" t="inlineStr">
        <is>
          <t>{T}: Add one colorless mana to your mana pool. {T}: Add {R} or {G} to your mana pool. Karplusan Forest deals 1 damage to you.</t>
        </is>
      </c>
      <c r="E746" s="11" t="inlineStr">
        <is>
          <t>None</t>
        </is>
      </c>
      <c r="F746" s="11" t="inlineStr">
        <is>
          <t>Red/Green</t>
        </is>
      </c>
      <c r="G746" s="8" t="n">
        <v>26.78</v>
      </c>
      <c r="H746" s="11" t="inlineStr">
        <is>
          <t>Classic Sixth Edition (6ED)</t>
        </is>
      </c>
      <c r="I746" s="11" t="inlineStr">
        <is>
          <t>No</t>
        </is>
      </c>
      <c r="J746" s="11" t="n">
        <v>1999</v>
      </c>
      <c r="L746" s="11" t="n">
        <v>1</v>
      </c>
      <c r="M746" s="8">
        <f>L746*G746</f>
        <v/>
      </c>
      <c r="P746" s="9" t="n"/>
    </row>
    <row r="747">
      <c r="A747" s="11" t="inlineStr">
        <is>
          <t>Metamorfo / Shapeshifter</t>
        </is>
      </c>
      <c r="B747" s="11" t="inlineStr">
        <is>
          <t>Artifact Creature / Criatura Artefato</t>
        </is>
      </c>
      <c r="C747" s="11" t="inlineStr">
        <is>
          <t>Rare / Rara</t>
        </is>
      </c>
      <c r="D747" s="11" t="inlineStr">
        <is>
          <t>A soma do poder e da resistência do Metamorfo é igual 7. Você define estes valores no momento em que o Metamorfo entra em jogo. Você pode alterá-los durante sua fase de manutenção.</t>
        </is>
      </c>
      <c r="E747" s="11" t="inlineStr">
        <is>
          <t>{6}</t>
        </is>
      </c>
      <c r="F747" s="11" t="inlineStr">
        <is>
          <t>Incolor</t>
        </is>
      </c>
      <c r="G747" s="8" t="n">
        <v>0.43</v>
      </c>
      <c r="H747" s="11" t="inlineStr">
        <is>
          <t>Chronicles (CHR)</t>
        </is>
      </c>
      <c r="I747" s="11" t="inlineStr">
        <is>
          <t>No</t>
        </is>
      </c>
      <c r="J747" s="11" t="n">
        <v>1995</v>
      </c>
      <c r="K747" s="11" t="inlineStr">
        <is>
          <t>*/(7-*)</t>
        </is>
      </c>
      <c r="L747" s="11" t="n">
        <v>1</v>
      </c>
      <c r="M747" s="8">
        <f>L747*G747</f>
        <v/>
      </c>
      <c r="P747" s="9" t="n"/>
    </row>
    <row r="748">
      <c r="A748" s="11" t="inlineStr">
        <is>
          <t>Common Cause</t>
        </is>
      </c>
      <c r="B748" s="11" t="inlineStr">
        <is>
          <t>Enchantment</t>
        </is>
      </c>
      <c r="C748" s="11" t="inlineStr">
        <is>
          <t>Uncommon</t>
        </is>
      </c>
      <c r="D748" s="11" t="inlineStr">
        <is>
          <t>Nonartifact creatures get +2/+2 as long as they all share a color.</t>
        </is>
      </c>
      <c r="E748" s="11" t="inlineStr">
        <is>
          <t>{2}{W}</t>
        </is>
      </c>
      <c r="F748" s="11" t="inlineStr">
        <is>
          <t>White</t>
        </is>
      </c>
      <c r="G748" s="8" t="n">
        <v>3.9</v>
      </c>
      <c r="H748" s="11" t="inlineStr">
        <is>
          <t>Mercadian Masques (MMQ)</t>
        </is>
      </c>
      <c r="I748" s="11" t="inlineStr">
        <is>
          <t>No</t>
        </is>
      </c>
      <c r="J748" s="11" t="n">
        <v>1999</v>
      </c>
      <c r="L748" s="11" t="n">
        <v>1</v>
      </c>
      <c r="M748" s="8">
        <f>L748*G748</f>
        <v/>
      </c>
      <c r="P748" s="9" t="n"/>
    </row>
    <row r="749">
      <c r="A749" s="11" t="inlineStr">
        <is>
          <t>Kill Switch</t>
        </is>
      </c>
      <c r="B749" s="11" t="inlineStr">
        <is>
          <t>Artifact</t>
        </is>
      </c>
      <c r="C749" s="11" t="inlineStr">
        <is>
          <t>Rare</t>
        </is>
      </c>
      <c r="D749" s="11" t="inlineStr">
        <is>
          <t>{2}, {T}: Tap all other artifacts. They don't untap during their controllers' untap steps as long as Kill Switch remains tapped.</t>
        </is>
      </c>
      <c r="E749" s="11" t="inlineStr">
        <is>
          <t>{3}</t>
        </is>
      </c>
      <c r="F749" s="11" t="inlineStr">
        <is>
          <t>Colorless</t>
        </is>
      </c>
      <c r="G749" s="8" t="n">
        <v>13.32</v>
      </c>
      <c r="H749" s="11" t="inlineStr">
        <is>
          <t>Nemesis (NMS)</t>
        </is>
      </c>
      <c r="I749" s="11" t="inlineStr">
        <is>
          <t>No</t>
        </is>
      </c>
      <c r="J749" s="11" t="n">
        <v>2000</v>
      </c>
      <c r="L749" s="11" t="n">
        <v>1</v>
      </c>
      <c r="M749" s="8">
        <f>L749*G749</f>
        <v/>
      </c>
      <c r="P749" s="9" t="n"/>
    </row>
    <row r="750">
      <c r="A750" s="11" t="inlineStr">
        <is>
          <t>Serra's Blessing</t>
        </is>
      </c>
      <c r="B750" s="11" t="inlineStr">
        <is>
          <t>Enchantment</t>
        </is>
      </c>
      <c r="C750" s="11" t="inlineStr">
        <is>
          <t>Uncommon</t>
        </is>
      </c>
      <c r="D750" s="11" t="inlineStr">
        <is>
          <t>Attacking doesn't cause creatures you control to tap.</t>
        </is>
      </c>
      <c r="E750" s="11" t="inlineStr">
        <is>
          <t>{1}{W}</t>
        </is>
      </c>
      <c r="F750" s="11" t="inlineStr">
        <is>
          <t>White</t>
        </is>
      </c>
      <c r="G750" s="8" t="n">
        <v>2.38</v>
      </c>
      <c r="H750" s="11" t="inlineStr">
        <is>
          <t>Classic Sixth Edition (6ED)</t>
        </is>
      </c>
      <c r="I750" s="11" t="inlineStr">
        <is>
          <t>No</t>
        </is>
      </c>
      <c r="J750" s="11" t="n">
        <v>1999</v>
      </c>
      <c r="L750" s="11" t="n">
        <v>1</v>
      </c>
      <c r="M750" s="8">
        <f>L750*G750</f>
        <v/>
      </c>
      <c r="P750" s="9" t="n"/>
    </row>
    <row r="751">
      <c r="A751" s="11" t="inlineStr">
        <is>
          <t>Sky Diamond</t>
        </is>
      </c>
      <c r="B751" s="11" t="inlineStr">
        <is>
          <t>Artifact</t>
        </is>
      </c>
      <c r="C751" s="11" t="inlineStr">
        <is>
          <t>Common</t>
        </is>
      </c>
      <c r="D751" s="11" t="inlineStr">
        <is>
          <t>Sky Diamond comes into play tapped. {T}: Add {U} to your mana pool. Play this ability as a mana source.</t>
        </is>
      </c>
      <c r="E751" s="11" t="inlineStr">
        <is>
          <t>{2}</t>
        </is>
      </c>
      <c r="F751" s="11" t="inlineStr">
        <is>
          <t>Colorless</t>
        </is>
      </c>
      <c r="G751" s="8" t="n">
        <v>2.5</v>
      </c>
      <c r="H751" s="11" t="inlineStr">
        <is>
          <t>Mirage (MIR)</t>
        </is>
      </c>
      <c r="I751" s="11" t="inlineStr">
        <is>
          <t>No</t>
        </is>
      </c>
      <c r="J751" s="11" t="n">
        <v>1996</v>
      </c>
      <c r="L751" s="11" t="n">
        <v>1</v>
      </c>
      <c r="M751" s="8">
        <f>L751*G751</f>
        <v/>
      </c>
      <c r="P751" s="9" t="n"/>
    </row>
    <row r="752">
      <c r="A752" s="11" t="inlineStr">
        <is>
          <t>Disrupting Scepter / Cetro Desintegrador</t>
        </is>
      </c>
      <c r="B752" s="11" t="inlineStr">
        <is>
          <t>Artifact</t>
        </is>
      </c>
      <c r="C752" s="11" t="inlineStr">
        <is>
          <t>Rare</t>
        </is>
      </c>
      <c r="D752" s="11" t="inlineStr">
        <is>
          <t>{3}, {T}: Target player chooses and discards one card from his or her hand. Use this ability only during your turn.</t>
        </is>
      </c>
      <c r="E752" s="11" t="inlineStr">
        <is>
          <t>{3}</t>
        </is>
      </c>
      <c r="F752" s="11" t="inlineStr">
        <is>
          <t>Colorless</t>
        </is>
      </c>
      <c r="G752" s="8" t="n">
        <v>0.75</v>
      </c>
      <c r="H752" s="11" t="inlineStr">
        <is>
          <t>Fourth Edition</t>
        </is>
      </c>
      <c r="I752" s="11" t="inlineStr">
        <is>
          <t>No</t>
        </is>
      </c>
      <c r="J752" s="11" t="n">
        <v>1995</v>
      </c>
      <c r="L752" s="11" t="n">
        <v>4</v>
      </c>
      <c r="M752" s="8">
        <f>L752*G752</f>
        <v/>
      </c>
      <c r="P752" s="9" t="n"/>
    </row>
    <row r="753">
      <c r="A753" s="11" t="inlineStr">
        <is>
          <t>Crimson Acolyte</t>
        </is>
      </c>
      <c r="B753" s="11" t="inlineStr">
        <is>
          <t>Creature — Cleric</t>
        </is>
      </c>
      <c r="C753" s="11" t="inlineStr">
        <is>
          <t>Common</t>
        </is>
      </c>
      <c r="D753" s="11" t="inlineStr">
        <is>
          <t>Protection from red. {W}: Target creature gains protection from red until end of turn.</t>
        </is>
      </c>
      <c r="E753" s="11" t="inlineStr">
        <is>
          <t>{1}{W}</t>
        </is>
      </c>
      <c r="F753" s="11" t="inlineStr">
        <is>
          <t>White</t>
        </is>
      </c>
      <c r="G753" s="8" t="n">
        <v>4.79</v>
      </c>
      <c r="H753" s="11" t="inlineStr">
        <is>
          <t>Invasion (INV)</t>
        </is>
      </c>
      <c r="I753" s="11" t="inlineStr">
        <is>
          <t>No</t>
        </is>
      </c>
      <c r="J753" s="11" t="n">
        <v>2000</v>
      </c>
      <c r="K753" s="10" t="n">
        <v>46023</v>
      </c>
      <c r="L753" s="11" t="n">
        <v>1</v>
      </c>
      <c r="M753" s="8">
        <f>L753*G753</f>
        <v/>
      </c>
      <c r="P753" s="9" t="n"/>
    </row>
    <row r="754">
      <c r="A754" s="11" t="inlineStr">
        <is>
          <t>Circle of Protection: White / Círculo de Proteção: Branco</t>
        </is>
      </c>
      <c r="B754" s="11" t="inlineStr">
        <is>
          <t>Enchantment / Encantamento</t>
        </is>
      </c>
      <c r="C754" s="11" t="inlineStr">
        <is>
          <t>Common / Comum</t>
        </is>
      </c>
      <c r="D754" s="11" t="inlineStr">
        <is>
          <t>{1}: Prevent all damage that would be dealt to you by a source of your choice.</t>
        </is>
      </c>
      <c r="E754" s="11" t="inlineStr">
        <is>
          <t>{1}{W}</t>
        </is>
      </c>
      <c r="F754" s="11" t="inlineStr">
        <is>
          <t>Branco</t>
        </is>
      </c>
      <c r="G754" s="8" t="n">
        <v>0.45</v>
      </c>
      <c r="H754" s="11" t="inlineStr">
        <is>
          <t>Fourth Edition (4ED)</t>
        </is>
      </c>
      <c r="I754" s="11" t="inlineStr">
        <is>
          <t>No</t>
        </is>
      </c>
      <c r="J754" s="11" t="n">
        <v>1995</v>
      </c>
      <c r="L754" s="11" t="n">
        <v>1</v>
      </c>
      <c r="M754" s="8">
        <f>L754*G754</f>
        <v/>
      </c>
      <c r="P754" s="9" t="n"/>
    </row>
    <row r="755">
      <c r="A755" s="11" t="inlineStr">
        <is>
          <t>Circle of Protection: Artifacts / Círculo de Proteção: Artefatos</t>
        </is>
      </c>
      <c r="B755" s="11" t="inlineStr">
        <is>
          <t>Enchantment / Encantamento</t>
        </is>
      </c>
      <c r="C755" s="11" t="inlineStr">
        <is>
          <t>Common / Comum</t>
        </is>
      </c>
      <c r="D755" s="11" t="inlineStr">
        <is>
          <t>{2}: Prevent all damage that would be dealt to you by an artifact source of your choice.</t>
        </is>
      </c>
      <c r="E755" s="11" t="inlineStr">
        <is>
          <t>{1}{W}</t>
        </is>
      </c>
      <c r="F755" s="11" t="inlineStr">
        <is>
          <t>Branco</t>
        </is>
      </c>
      <c r="G755" s="8" t="n">
        <v>0.51</v>
      </c>
      <c r="H755" s="11" t="inlineStr">
        <is>
          <t>Fourth Edition (4ED)</t>
        </is>
      </c>
      <c r="I755" s="11" t="inlineStr">
        <is>
          <t>No</t>
        </is>
      </c>
      <c r="J755" s="11" t="n">
        <v>1995</v>
      </c>
      <c r="L755" s="11" t="n">
        <v>1</v>
      </c>
      <c r="M755" s="8">
        <f>L755*G755</f>
        <v/>
      </c>
      <c r="P755" s="9" t="n"/>
    </row>
    <row r="756">
      <c r="A756" s="11" t="inlineStr">
        <is>
          <t>Mystic Skull / Crânio Místico</t>
        </is>
      </c>
      <c r="B756" s="11" t="inlineStr">
        <is>
          <t>Artifact / Artefato</t>
        </is>
      </c>
      <c r="C756" s="11" t="inlineStr">
        <is>
          <t>Uncommon / Incomum</t>
        </is>
      </c>
      <c r="D756" s="11" t="inlineStr">
        <is>
          <t>{1}, {T}: Add one mana of any color. {5}, {T}: Transform Mystic Skull.</t>
        </is>
      </c>
      <c r="E756" s="11" t="inlineStr">
        <is>
          <t>{2}</t>
        </is>
      </c>
      <c r="F756" s="11" t="inlineStr">
        <is>
          <t>Incolor</t>
        </is>
      </c>
      <c r="G756" s="8" t="n">
        <v>0.1</v>
      </c>
      <c r="H756" s="11" t="inlineStr">
        <is>
          <t>Innistrad: Midnight Hunt (MID)</t>
        </is>
      </c>
      <c r="I756" s="11" t="inlineStr">
        <is>
          <t>No</t>
        </is>
      </c>
      <c r="J756" s="11" t="n">
        <v>2021</v>
      </c>
      <c r="L756" s="11" t="n">
        <v>1</v>
      </c>
      <c r="M756" s="8">
        <f>L756*G756</f>
        <v/>
      </c>
      <c r="P756" s="9" t="n"/>
    </row>
    <row r="757">
      <c r="A757" s="11" t="inlineStr">
        <is>
          <t>Guardian's Longbow / Arco Longo do Guardião</t>
        </is>
      </c>
      <c r="B757" s="11" t="inlineStr">
        <is>
          <t>Artifact — Equipment / Artefato — Equipamento</t>
        </is>
      </c>
      <c r="C757" s="11" t="inlineStr">
        <is>
          <t>Common / Comum</t>
        </is>
      </c>
      <c r="D757" s="11" t="inlineStr">
        <is>
          <t>Equipped creature gets +2/+1 and has reach. Equip {3}</t>
        </is>
      </c>
      <c r="E757" s="11" t="inlineStr">
        <is>
          <t>{1}{G}</t>
        </is>
      </c>
      <c r="F757" s="11" t="inlineStr">
        <is>
          <t>Green / Verde</t>
        </is>
      </c>
      <c r="G757" s="8" t="n">
        <v>0.06</v>
      </c>
      <c r="H757" s="11" t="inlineStr">
        <is>
          <t>Adventures in the Forgotten Realms (AFR)</t>
        </is>
      </c>
      <c r="I757" s="11" t="inlineStr">
        <is>
          <t>No</t>
        </is>
      </c>
      <c r="J757" s="11" t="n">
        <v>2021</v>
      </c>
      <c r="L757" s="11" t="n">
        <v>1</v>
      </c>
      <c r="M757" s="8">
        <f>L757*G757</f>
        <v/>
      </c>
      <c r="P757" s="9" t="n"/>
    </row>
    <row r="758">
      <c r="A758" s="11" t="inlineStr">
        <is>
          <t>Bear Trap</t>
        </is>
      </c>
      <c r="B758" s="11" t="inlineStr">
        <is>
          <t>Artifact</t>
        </is>
      </c>
      <c r="C758" s="11" t="inlineStr">
        <is>
          <t>Common</t>
        </is>
      </c>
      <c r="D758" s="11" t="inlineStr">
        <is>
          <t>Flash. {3}, {T}, Sacrifice Bear Trap: It deals 3 damage to target creature.</t>
        </is>
      </c>
      <c r="E758" s="11" t="inlineStr">
        <is>
          <t>{1}</t>
        </is>
      </c>
      <c r="F758" s="11" t="inlineStr">
        <is>
          <t>Colorless</t>
        </is>
      </c>
      <c r="G758" s="8" t="n">
        <v>0.15</v>
      </c>
      <c r="H758" s="11" t="inlineStr">
        <is>
          <t>Duskmourn: House of Horror (DSK)</t>
        </is>
      </c>
      <c r="I758" s="11" t="inlineStr">
        <is>
          <t>Sim</t>
        </is>
      </c>
      <c r="J758" s="11" t="n">
        <v>2024</v>
      </c>
      <c r="L758" s="11" t="n">
        <v>1</v>
      </c>
      <c r="M758" s="8">
        <f>L758*G758</f>
        <v/>
      </c>
      <c r="P758" s="9" t="n"/>
    </row>
    <row r="759">
      <c r="A759" s="11" t="inlineStr">
        <is>
          <t>Sol Ring</t>
        </is>
      </c>
      <c r="B759" s="11" t="inlineStr">
        <is>
          <t>Artifact</t>
        </is>
      </c>
      <c r="C759" s="11" t="inlineStr">
        <is>
          <t>Uncommon</t>
        </is>
      </c>
      <c r="D759" s="11" t="inlineStr">
        <is>
          <t>{T}: Add {C}{C}.</t>
        </is>
      </c>
      <c r="E759" s="11" t="inlineStr">
        <is>
          <t>{1}</t>
        </is>
      </c>
      <c r="F759" s="11" t="inlineStr">
        <is>
          <t>Colorless</t>
        </is>
      </c>
      <c r="G759" s="8" t="n">
        <v>8.75</v>
      </c>
      <c r="H759" s="11" t="inlineStr">
        <is>
          <t>Commander (SOC)</t>
        </is>
      </c>
      <c r="I759" s="11" t="inlineStr">
        <is>
          <t>No</t>
        </is>
      </c>
      <c r="J759" s="11" t="n">
        <v>2026</v>
      </c>
      <c r="L759" s="11" t="n">
        <v>1</v>
      </c>
      <c r="M759" s="8">
        <f>L759*G759</f>
        <v/>
      </c>
      <c r="P759" s="9" t="n"/>
    </row>
    <row r="760">
      <c r="A760" s="11" t="inlineStr">
        <is>
          <t>Universal Solvent / Solvente Universal</t>
        </is>
      </c>
      <c r="B760" s="11" t="inlineStr">
        <is>
          <t>Artifact / Artefato</t>
        </is>
      </c>
      <c r="C760" s="11" t="inlineStr">
        <is>
          <t>Common / Comum</t>
        </is>
      </c>
      <c r="D760" s="11" t="inlineStr">
        <is>
          <t>{7}, {T}, Sacrifice Universal Solvent: Destroy target permanent.</t>
        </is>
      </c>
      <c r="E760" s="11" t="inlineStr">
        <is>
          <t>{1}</t>
        </is>
      </c>
      <c r="F760" s="11" t="inlineStr">
        <is>
          <t>Incolor</t>
        </is>
      </c>
      <c r="G760" s="8" t="n">
        <v>0.05</v>
      </c>
      <c r="H760" s="11" t="inlineStr">
        <is>
          <t>Commander Legends: Battle for Baldur's Gate (CLB)</t>
        </is>
      </c>
      <c r="I760" s="11" t="inlineStr">
        <is>
          <t>No</t>
        </is>
      </c>
      <c r="J760" s="11" t="n">
        <v>2022</v>
      </c>
      <c r="L760" s="11" t="n">
        <v>1</v>
      </c>
      <c r="M760" s="8">
        <f>L760*G760</f>
        <v/>
      </c>
      <c r="P760" s="9" t="n"/>
    </row>
    <row r="761">
      <c r="A761" s="11" t="inlineStr">
        <is>
          <t>Found Footage</t>
        </is>
      </c>
      <c r="B761" s="11" t="inlineStr">
        <is>
          <t>Artifact — Clue</t>
        </is>
      </c>
      <c r="C761" s="11" t="inlineStr">
        <is>
          <t>Common</t>
        </is>
      </c>
      <c r="D761" s="11" t="inlineStr">
        <is>
          <t>You may look at face-down creatures your opponents control any time. {2}, Sacrifice Found Footage: Surveil 2, then draw a card.</t>
        </is>
      </c>
      <c r="E761" s="11" t="inlineStr">
        <is>
          <t>{1}</t>
        </is>
      </c>
      <c r="F761" s="11" t="inlineStr">
        <is>
          <t>Colorless</t>
        </is>
      </c>
      <c r="G761" s="8" t="n">
        <v>0.03</v>
      </c>
      <c r="H761" s="11" t="inlineStr">
        <is>
          <t>Duskmourn: House of Horror (DSK)</t>
        </is>
      </c>
      <c r="I761" s="11" t="inlineStr">
        <is>
          <t>No</t>
        </is>
      </c>
      <c r="J761" s="11" t="n">
        <v>2024</v>
      </c>
      <c r="L761" s="11" t="n">
        <v>1</v>
      </c>
      <c r="M761" s="8">
        <f>L761*G761</f>
        <v/>
      </c>
      <c r="P761" s="9" t="n"/>
    </row>
    <row r="762">
      <c r="A762" s="11" t="inlineStr">
        <is>
          <t>Glimmerlight</t>
        </is>
      </c>
      <c r="B762" s="11" t="inlineStr">
        <is>
          <t>Artifact — Equipment</t>
        </is>
      </c>
      <c r="C762" s="11" t="inlineStr">
        <is>
          <t>Common</t>
        </is>
      </c>
      <c r="D762" s="11" t="inlineStr">
        <is>
          <t>When Glimmerlight enters, create a 1/1 white Glimmer enchantment creature token. Equipped creature gets +1/+1. Equip {1}</t>
        </is>
      </c>
      <c r="E762" s="11" t="inlineStr">
        <is>
          <t>{2}</t>
        </is>
      </c>
      <c r="F762" s="11" t="inlineStr">
        <is>
          <t>Colorless</t>
        </is>
      </c>
      <c r="G762" s="8" t="n">
        <v>0.05</v>
      </c>
      <c r="H762" s="11" t="inlineStr">
        <is>
          <t>Duskmourn: House of Horror (DSK)</t>
        </is>
      </c>
      <c r="I762" s="11" t="inlineStr">
        <is>
          <t>No</t>
        </is>
      </c>
      <c r="J762" s="11" t="n">
        <v>2024</v>
      </c>
      <c r="L762" s="11" t="n">
        <v>1</v>
      </c>
      <c r="M762" s="8">
        <f>L762*G762</f>
        <v/>
      </c>
      <c r="P762" s="9" t="n"/>
    </row>
    <row r="763">
      <c r="A763" s="11" t="inlineStr">
        <is>
          <t>Gate Colossus / Colosso do Portão</t>
        </is>
      </c>
      <c r="B763" s="11" t="inlineStr">
        <is>
          <t>Artifact Creature — Construct / Criatura Artefato — Constructo</t>
        </is>
      </c>
      <c r="C763" s="11" t="inlineStr">
        <is>
          <t>Uncommon / Incomum</t>
        </is>
      </c>
      <c r="D763" s="11" t="inlineStr">
        <is>
          <t>This spell costs {1} less to cast for each Gate you control. Gate Colossus can't be blocked by creatures with power 2 or less. Whenever a Gate enters the battlefield under your control, you may put Gate Colossus from your graveyard on top of your library.</t>
        </is>
      </c>
      <c r="E763" s="11" t="inlineStr">
        <is>
          <t>{8}</t>
        </is>
      </c>
      <c r="F763" s="11" t="inlineStr">
        <is>
          <t>Incolor</t>
        </is>
      </c>
      <c r="G763" s="8" t="n">
        <v>0.09</v>
      </c>
      <c r="H763" s="11" t="inlineStr">
        <is>
          <t>Ravnica Allegiance (RNA)</t>
        </is>
      </c>
      <c r="I763" s="11" t="inlineStr">
        <is>
          <t>No</t>
        </is>
      </c>
      <c r="J763" s="11" t="n">
        <v>2019</v>
      </c>
      <c r="K763" s="10" t="n">
        <v>46242</v>
      </c>
      <c r="L763" s="11" t="n">
        <v>1</v>
      </c>
      <c r="M763" s="8">
        <f>L763*G763</f>
        <v/>
      </c>
      <c r="P763" s="9" t="n"/>
    </row>
    <row r="764">
      <c r="A764" s="11" t="inlineStr">
        <is>
          <t>Stuffed Bear / Urso Empalhado</t>
        </is>
      </c>
      <c r="B764" s="11" t="inlineStr">
        <is>
          <t>Artifact / Artefato</t>
        </is>
      </c>
      <c r="C764" s="11" t="inlineStr">
        <is>
          <t>Common / Comum</t>
        </is>
      </c>
      <c r="D764" s="11" t="inlineStr">
        <is>
          <t>{2}: Stuffed Bear becomes a 4/4 green Bear artifact creature until end of turn.</t>
        </is>
      </c>
      <c r="E764" s="11" t="inlineStr">
        <is>
          <t>{2}</t>
        </is>
      </c>
      <c r="F764" s="11" t="inlineStr">
        <is>
          <t>Incolor</t>
        </is>
      </c>
      <c r="G764" s="8" t="n">
        <v>0.05</v>
      </c>
      <c r="H764" s="11" t="inlineStr">
        <is>
          <t>Innistrad: Midnight Hunt (MID)</t>
        </is>
      </c>
      <c r="I764" s="11" t="inlineStr">
        <is>
          <t>No</t>
        </is>
      </c>
      <c r="J764" s="11" t="n">
        <v>2021</v>
      </c>
      <c r="L764" s="11" t="n">
        <v>1</v>
      </c>
      <c r="M764" s="8">
        <f>L764*G764</f>
        <v/>
      </c>
      <c r="P764" s="9" t="n"/>
    </row>
    <row r="765">
      <c r="A765" s="11" t="inlineStr">
        <is>
          <t>Dredging Claw / Garra Dragadora</t>
        </is>
      </c>
      <c r="B765" s="11" t="inlineStr">
        <is>
          <t>Artifact — Equipment / Artefato — Equipamento</t>
        </is>
      </c>
      <c r="C765" s="11" t="inlineStr">
        <is>
          <t>Common / Comum</t>
        </is>
      </c>
      <c r="D765" s="11" t="inlineStr">
        <is>
          <t>Equipped creature gets +1/+0 and has menace. Whenever a creature enters the battlefield from your graveyard, you may attach Dredging Claw to it. Equip {1}{B}</t>
        </is>
      </c>
      <c r="E765" s="11" t="inlineStr">
        <is>
          <t>{2}</t>
        </is>
      </c>
      <c r="F765" s="11" t="inlineStr">
        <is>
          <t>Incolor</t>
        </is>
      </c>
      <c r="G765" s="8" t="n">
        <v>0.2</v>
      </c>
      <c r="H765" s="11" t="inlineStr">
        <is>
          <t>The Brothers' War (BRO)</t>
        </is>
      </c>
      <c r="I765" s="11" t="inlineStr">
        <is>
          <t>Sim</t>
        </is>
      </c>
      <c r="J765" s="11" t="n">
        <v>2022</v>
      </c>
      <c r="L765" s="11" t="n">
        <v>1</v>
      </c>
      <c r="M765" s="8">
        <f>L765*G765</f>
        <v/>
      </c>
      <c r="P765" s="9" t="n"/>
    </row>
    <row r="766">
      <c r="A766" s="11" t="inlineStr">
        <is>
          <t>Knot-Knotted Effigy / Efigie Nodosa</t>
        </is>
      </c>
      <c r="B766" s="11" t="inlineStr">
        <is>
          <t>Artifact / Artefato</t>
        </is>
      </c>
      <c r="C766" s="11" t="inlineStr">
        <is>
          <t>Uncommon / Incomum</t>
        </is>
      </c>
      <c r="D766" s="11" t="inlineStr">
        <is>
          <t>{4}, {T}: Put a -1/-1 counter on target creature.</t>
        </is>
      </c>
      <c r="E766" s="11" t="inlineStr">
        <is>
          <t>{4}</t>
        </is>
      </c>
      <c r="F766" s="11" t="inlineStr">
        <is>
          <t>Incolor</t>
        </is>
      </c>
      <c r="G766" s="8" t="n">
        <v>0.06</v>
      </c>
      <c r="H766" s="11" t="inlineStr">
        <is>
          <t>Shadowmoor (SHM)</t>
        </is>
      </c>
      <c r="I766" s="11" t="inlineStr">
        <is>
          <t>No</t>
        </is>
      </c>
      <c r="J766" s="11" t="n">
        <v>2008</v>
      </c>
      <c r="L766" s="11" t="n">
        <v>1</v>
      </c>
      <c r="M766" s="8">
        <f>L766*G766</f>
        <v/>
      </c>
      <c r="P766" s="9" t="n"/>
    </row>
    <row r="767">
      <c r="A767" s="11" t="inlineStr">
        <is>
          <t>Hedron Blade / Lâmina de Edro</t>
        </is>
      </c>
      <c r="B767" s="11" t="inlineStr">
        <is>
          <t>Artifact — Equipment / Artefato — Equipamento</t>
        </is>
      </c>
      <c r="C767" s="11" t="inlineStr">
        <is>
          <t>Common / Comum</t>
        </is>
      </c>
      <c r="D767" s="11" t="inlineStr">
        <is>
          <t>Equipped creature gets +1/+1. Whenever equipped creature becomes blocked by one or more colorless creatures, it gains deathtouch until end of turn. Equip {2}</t>
        </is>
      </c>
      <c r="E767" s="11" t="inlineStr">
        <is>
          <t>{1}</t>
        </is>
      </c>
      <c r="F767" s="11" t="inlineStr">
        <is>
          <t>Incolor</t>
        </is>
      </c>
      <c r="G767" s="8" t="n">
        <v>0.09</v>
      </c>
      <c r="H767" s="11" t="inlineStr">
        <is>
          <t>Battle for Zendikar (BFZ)</t>
        </is>
      </c>
      <c r="I767" s="11" t="inlineStr">
        <is>
          <t>No</t>
        </is>
      </c>
      <c r="J767" s="11" t="n">
        <v>2015</v>
      </c>
      <c r="L767" s="11" t="n">
        <v>1</v>
      </c>
      <c r="M767" s="8">
        <f>L767*G767</f>
        <v/>
      </c>
      <c r="P767" s="9" t="n"/>
    </row>
    <row r="768">
      <c r="A768" s="11" t="inlineStr">
        <is>
          <t>Retributive Wand / Varinha Retribuidora</t>
        </is>
      </c>
      <c r="B768" s="11" t="inlineStr">
        <is>
          <t>Artifact / Artefato</t>
        </is>
      </c>
      <c r="C768" s="11" t="inlineStr">
        <is>
          <t>Uncommon / Incomum</t>
        </is>
      </c>
      <c r="D768" s="11" t="inlineStr">
        <is>
          <t>{3}, {T}: Retributive Wand deals 1 damage to any target. When Retributive Wand is put into a graveyard from the battlefield, it deals 5 damage to any target.</t>
        </is>
      </c>
      <c r="E768" s="11" t="inlineStr">
        <is>
          <t>{3}</t>
        </is>
      </c>
      <c r="F768" s="11" t="inlineStr">
        <is>
          <t>Incolor</t>
        </is>
      </c>
      <c r="G768" s="8" t="n">
        <v>0.06</v>
      </c>
      <c r="H768" s="11" t="inlineStr">
        <is>
          <t>Core Set 2020 (M20)</t>
        </is>
      </c>
      <c r="I768" s="11" t="inlineStr">
        <is>
          <t>No</t>
        </is>
      </c>
      <c r="J768" s="11" t="n">
        <v>2019</v>
      </c>
      <c r="L768" s="11" t="n">
        <v>1</v>
      </c>
      <c r="M768" s="8">
        <f>L768*G768</f>
        <v/>
      </c>
      <c r="P768" s="9" t="n"/>
    </row>
    <row r="769">
      <c r="A769" s="11" t="inlineStr">
        <is>
          <t>Spellskite / Pique do Trovador Mágico</t>
        </is>
      </c>
      <c r="B769" s="11" t="inlineStr">
        <is>
          <t>Artifact — Equipment / Artefato — Equipamento</t>
        </is>
      </c>
      <c r="C769" s="11" t="inlineStr">
        <is>
          <t>Rare / Rara</t>
        </is>
      </c>
      <c r="D769" s="11" t="inlineStr">
        <is>
          <t>Equipped creature has first strike and gets +X/+0, where X is the number of instant and sorcery cards in your graveyard. Equip {2}</t>
        </is>
      </c>
      <c r="E769" s="11" t="inlineStr">
        <is>
          <t>{2}</t>
        </is>
      </c>
      <c r="F769" s="11" t="inlineStr">
        <is>
          <t>Incolor</t>
        </is>
      </c>
      <c r="G769" s="8" t="n">
        <v>0.5</v>
      </c>
      <c r="H769" s="11" t="inlineStr">
        <is>
          <t>Innistrad (ISD)</t>
        </is>
      </c>
      <c r="I769" s="11" t="inlineStr">
        <is>
          <t>No</t>
        </is>
      </c>
      <c r="J769" s="11" t="n">
        <v>2011</v>
      </c>
      <c r="L769" s="11" t="n">
        <v>1</v>
      </c>
      <c r="M769" s="8">
        <f>L769*G769</f>
        <v/>
      </c>
      <c r="P769" s="9" t="n"/>
    </row>
    <row r="770">
      <c r="A770" s="11" t="inlineStr">
        <is>
          <t>Galvanic Key</t>
        </is>
      </c>
      <c r="B770" s="11" t="inlineStr">
        <is>
          <t>Artifact</t>
        </is>
      </c>
      <c r="C770" s="11" t="inlineStr">
        <is>
          <t>Uncommon</t>
        </is>
      </c>
      <c r="D770" s="11" t="inlineStr">
        <is>
          <t>You may play Galvanic Key any time you could play an instant. {3}, {T}: Untap target artifact.</t>
        </is>
      </c>
      <c r="E770" s="11" t="inlineStr">
        <is>
          <t>{2}</t>
        </is>
      </c>
      <c r="F770" s="11" t="inlineStr">
        <is>
          <t>Colorless</t>
        </is>
      </c>
      <c r="G770" s="8" t="n">
        <v>0.05</v>
      </c>
      <c r="H770" s="11" t="inlineStr">
        <is>
          <t>Mirrodin (MRD)</t>
        </is>
      </c>
      <c r="I770" s="11" t="inlineStr">
        <is>
          <t>No</t>
        </is>
      </c>
      <c r="J770" s="11" t="n">
        <v>2003</v>
      </c>
      <c r="L770" s="11" t="n">
        <v>1</v>
      </c>
      <c r="M770" s="8">
        <f>L770*G770</f>
        <v/>
      </c>
      <c r="P770" s="9" t="n"/>
    </row>
    <row r="771">
      <c r="A771" s="11" t="inlineStr">
        <is>
          <t>Bone Saw / Serra Óssea</t>
        </is>
      </c>
      <c r="B771" s="11" t="inlineStr">
        <is>
          <t>Artifact — Equipment / Artefato — Equipamento</t>
        </is>
      </c>
      <c r="C771" s="11" t="inlineStr">
        <is>
          <t>Common / Comum</t>
        </is>
      </c>
      <c r="D771" s="11" t="inlineStr">
        <is>
          <t>Equipped creature gets +1/+0. Equip {1}</t>
        </is>
      </c>
      <c r="E771" s="11" t="inlineStr">
        <is>
          <t>{0}</t>
        </is>
      </c>
      <c r="F771" s="11" t="inlineStr">
        <is>
          <t>Incolor</t>
        </is>
      </c>
      <c r="G771" s="8" t="n">
        <v>0.08</v>
      </c>
      <c r="H771" s="11" t="inlineStr">
        <is>
          <t>Oath of the Gatewatch (OGW)</t>
        </is>
      </c>
      <c r="I771" s="11" t="inlineStr">
        <is>
          <t>No</t>
        </is>
      </c>
      <c r="J771" s="11" t="n">
        <v>2016</v>
      </c>
      <c r="L771" s="11" t="n">
        <v>1</v>
      </c>
      <c r="M771" s="8">
        <f>L771*G771</f>
        <v/>
      </c>
      <c r="P771" s="9" t="n"/>
    </row>
    <row r="772">
      <c r="A772" s="11" t="inlineStr">
        <is>
          <t>Weapon Rack / Cavalete de Armas</t>
        </is>
      </c>
      <c r="B772" s="11" t="inlineStr">
        <is>
          <t>Artifact / Artefato</t>
        </is>
      </c>
      <c r="C772" s="11" t="inlineStr">
        <is>
          <t>Common / Comum</t>
        </is>
      </c>
      <c r="D772" s="11" t="inlineStr">
        <is>
          <t>Weapon Rack enters the battlefield with three +1/+1 counters on it. {T}: Move a +1/+1 counter from Weapon Rack onto target creature. Activate only as a sorcery.</t>
        </is>
      </c>
      <c r="E772" s="11" t="inlineStr">
        <is>
          <t>{4}</t>
        </is>
      </c>
      <c r="F772" s="11" t="inlineStr">
        <is>
          <t>Incolor</t>
        </is>
      </c>
      <c r="G772" s="8" t="n">
        <v>0.04</v>
      </c>
      <c r="H772" s="11" t="inlineStr">
        <is>
          <t>Throne of Eldraine (ELD)</t>
        </is>
      </c>
      <c r="I772" s="11" t="inlineStr">
        <is>
          <t>No</t>
        </is>
      </c>
      <c r="J772" s="11" t="n">
        <v>2019</v>
      </c>
      <c r="L772" s="11" t="n">
        <v>1</v>
      </c>
      <c r="M772" s="8">
        <f>L772*G772</f>
        <v/>
      </c>
      <c r="P772" s="9" t="n"/>
    </row>
    <row r="773">
      <c r="A773" s="11" t="inlineStr">
        <is>
          <t>Rusted Relic</t>
        </is>
      </c>
      <c r="B773" s="11" t="inlineStr">
        <is>
          <t>Artifact</t>
        </is>
      </c>
      <c r="C773" s="11" t="inlineStr">
        <is>
          <t>Common</t>
        </is>
      </c>
      <c r="D773" s="11" t="inlineStr">
        <is>
          <t>Metalcraft — Rusted Relic is a 5/5 Golem artifact creature as long as you control three or more artifacts.</t>
        </is>
      </c>
      <c r="E773" s="11" t="inlineStr">
        <is>
          <t>{4}</t>
        </is>
      </c>
      <c r="F773" s="11" t="inlineStr">
        <is>
          <t>Colorless</t>
        </is>
      </c>
      <c r="G773" s="8" t="n">
        <v>0.03</v>
      </c>
      <c r="H773" s="11" t="inlineStr">
        <is>
          <t>Modern Masters 2015 (MM2)</t>
        </is>
      </c>
      <c r="I773" s="11" t="inlineStr">
        <is>
          <t>No</t>
        </is>
      </c>
      <c r="J773" s="11" t="n">
        <v>2015</v>
      </c>
      <c r="K773" s="10" t="n">
        <v>46147</v>
      </c>
      <c r="L773" s="11" t="n">
        <v>1</v>
      </c>
      <c r="M773" s="8">
        <f>L773*G773</f>
        <v/>
      </c>
      <c r="P773" s="9" t="n"/>
    </row>
    <row r="774">
      <c r="A774" s="11" t="inlineStr">
        <is>
          <t>Stonework Packbeast / Besta de Carga Pétrea</t>
        </is>
      </c>
      <c r="B774" s="11" t="inlineStr">
        <is>
          <t>Artifact Creature — Beast / Criatura Artefato — Besta</t>
        </is>
      </c>
      <c r="C774" s="11" t="inlineStr">
        <is>
          <t>Common / Comum</t>
        </is>
      </c>
      <c r="D774" s="11" t="inlineStr">
        <is>
          <t>Stonework Packbeast is also a Cleric, Rogue, Warrior, and Wizard. {2}: Add one mana of any color.</t>
        </is>
      </c>
      <c r="E774" s="11" t="inlineStr">
        <is>
          <t>{2}</t>
        </is>
      </c>
      <c r="F774" s="11" t="inlineStr">
        <is>
          <t>Incolor</t>
        </is>
      </c>
      <c r="G774" s="8" t="n">
        <v>0.05</v>
      </c>
      <c r="H774" s="11" t="inlineStr">
        <is>
          <t>Zendikar Rising (ZNR)</t>
        </is>
      </c>
      <c r="I774" s="11" t="inlineStr">
        <is>
          <t>No</t>
        </is>
      </c>
      <c r="J774" s="11" t="n">
        <v>2020</v>
      </c>
      <c r="K774" s="10" t="n">
        <v>46024</v>
      </c>
      <c r="L774" s="11" t="n">
        <v>1</v>
      </c>
      <c r="M774" s="8">
        <f>L774*G774</f>
        <v/>
      </c>
      <c r="P774" s="9" t="n"/>
    </row>
    <row r="775">
      <c r="A775" s="11" t="inlineStr">
        <is>
          <t>Dimir Keyrune / Chave Rúnica Dimir</t>
        </is>
      </c>
      <c r="B775" s="11" t="inlineStr">
        <is>
          <t>Artifact / Artefato</t>
        </is>
      </c>
      <c r="C775" s="11" t="inlineStr">
        <is>
          <t>Uncommon / Incomum</t>
        </is>
      </c>
      <c r="D775" s="11" t="inlineStr">
        <is>
          <t>{T}: Add {U} or {B}. {U}{B}: Dimir Keyrune becomes a 2/2 blue and Preto Horror artifact creature until end of turn and can't be blocked this turn.</t>
        </is>
      </c>
      <c r="E775" s="11" t="inlineStr">
        <is>
          <t>{3}</t>
        </is>
      </c>
      <c r="F775" s="11" t="inlineStr">
        <is>
          <t>Incolor</t>
        </is>
      </c>
      <c r="G775" s="8" t="n">
        <v>0.21</v>
      </c>
      <c r="H775" s="11" t="inlineStr">
        <is>
          <t>Gatecrash (GTC)</t>
        </is>
      </c>
      <c r="I775" s="11" t="inlineStr">
        <is>
          <t>No</t>
        </is>
      </c>
      <c r="J775" s="11" t="n">
        <v>2013</v>
      </c>
      <c r="L775" s="11" t="n">
        <v>1</v>
      </c>
      <c r="M775" s="8">
        <f>L775*G775</f>
        <v/>
      </c>
      <c r="P775" s="9" t="n"/>
    </row>
    <row r="776">
      <c r="A776" s="11" t="inlineStr">
        <is>
          <t>Pantheon's Altar / Altar do Panteão</t>
        </is>
      </c>
      <c r="B776" s="11" t="inlineStr">
        <is>
          <t>Artifact / Artefato</t>
        </is>
      </c>
      <c r="C776" s="11" t="inlineStr">
        <is>
          <t>Common / Comum</t>
        </is>
      </c>
      <c r="D776" s="11" t="inlineStr">
        <is>
          <t>Your devotion to each color and each color combination is increased by one. {T}: Add one mana of any color. If you control a God, Demigod, or legendary enchantment, you gain 1 life.</t>
        </is>
      </c>
      <c r="E776" s="11" t="inlineStr">
        <is>
          <t>{3}</t>
        </is>
      </c>
      <c r="F776" s="11" t="inlineStr">
        <is>
          <t>Incolor</t>
        </is>
      </c>
      <c r="G776" s="8" t="n">
        <v>0.06</v>
      </c>
      <c r="H776" s="11" t="inlineStr">
        <is>
          <t>Theros Beyond Death (THB)</t>
        </is>
      </c>
      <c r="I776" s="11" t="inlineStr">
        <is>
          <t>No</t>
        </is>
      </c>
      <c r="J776" s="11" t="n">
        <v>2020</v>
      </c>
      <c r="L776" s="11" t="n">
        <v>1</v>
      </c>
      <c r="M776" s="8">
        <f>L776*G776</f>
        <v/>
      </c>
      <c r="P776" s="9" t="n"/>
    </row>
    <row r="777">
      <c r="A777" s="11" t="inlineStr">
        <is>
          <t>Trip Noose / Nó de Viagem</t>
        </is>
      </c>
      <c r="B777" s="11" t="inlineStr">
        <is>
          <t>Artifact / Artefato</t>
        </is>
      </c>
      <c r="C777" s="11" t="inlineStr">
        <is>
          <t>Common / Comum</t>
        </is>
      </c>
      <c r="D777" s="11" t="inlineStr">
        <is>
          <t>{2}, {T}: Tap target creature.</t>
        </is>
      </c>
      <c r="E777" s="11" t="inlineStr">
        <is>
          <t>{2}</t>
        </is>
      </c>
      <c r="F777" s="11" t="inlineStr">
        <is>
          <t>Incolor</t>
        </is>
      </c>
      <c r="G777" s="8" t="n">
        <v>0.06</v>
      </c>
      <c r="H777" s="11" t="inlineStr">
        <is>
          <t>Shadowmoor (SHM)</t>
        </is>
      </c>
      <c r="I777" s="11" t="inlineStr">
        <is>
          <t>No</t>
        </is>
      </c>
      <c r="J777" s="11" t="n">
        <v>2008</v>
      </c>
      <c r="L777" s="11" t="n">
        <v>1</v>
      </c>
      <c r="M777" s="8">
        <f>L777*G777</f>
        <v/>
      </c>
      <c r="P777" s="9" t="n"/>
    </row>
    <row r="778">
      <c r="A778" s="11" t="inlineStr">
        <is>
          <t>Shrine Steward / Zelador do Sacrário</t>
        </is>
      </c>
      <c r="B778" s="11" t="inlineStr">
        <is>
          <t>Artifact Creature — Construct / Criatura Artefato — Constructo</t>
        </is>
      </c>
      <c r="C778" s="11" t="inlineStr">
        <is>
          <t>Common / Comum</t>
        </is>
      </c>
      <c r="D778" s="11" t="inlineStr">
        <is>
          <t>When Shrine Steward enters the battlefield, you may search your library for an Aura or Shrine card, reveal it, put it into your hand, then shuffle.</t>
        </is>
      </c>
      <c r="E778" s="11" t="inlineStr">
        <is>
          <t>{5}</t>
        </is>
      </c>
      <c r="F778" s="11" t="inlineStr">
        <is>
          <t>Incolor</t>
        </is>
      </c>
      <c r="G778" s="8" t="n">
        <v>0.25</v>
      </c>
      <c r="H778" s="11" t="inlineStr">
        <is>
          <t>Kamigawa: Neon Dynasty (NEO)</t>
        </is>
      </c>
      <c r="I778" s="11" t="inlineStr">
        <is>
          <t>Sim</t>
        </is>
      </c>
      <c r="J778" s="11" t="n">
        <v>2022</v>
      </c>
      <c r="K778" s="10" t="n">
        <v>46056</v>
      </c>
      <c r="L778" s="11" t="n">
        <v>1</v>
      </c>
      <c r="M778" s="8">
        <f>L778*G778</f>
        <v/>
      </c>
      <c r="P778" s="9" t="n"/>
    </row>
    <row r="779">
      <c r="A779" s="11" t="inlineStr">
        <is>
          <t>Lashknife / Faca de Chicote</t>
        </is>
      </c>
      <c r="B779" s="11" t="inlineStr">
        <is>
          <t>Enchantment — Aura / Encantamento — Aura</t>
        </is>
      </c>
      <c r="C779" s="11" t="inlineStr">
        <is>
          <t>Common / Comum</t>
        </is>
      </c>
      <c r="D779" s="11"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9" s="11" t="inlineStr">
        <is>
          <t>{1}{W}</t>
        </is>
      </c>
      <c r="F779" s="11" t="inlineStr">
        <is>
          <t>Branco</t>
        </is>
      </c>
      <c r="G779" s="8" t="n">
        <v>0.1</v>
      </c>
      <c r="H779" s="11" t="inlineStr">
        <is>
          <t>Nemesis (NMS)</t>
        </is>
      </c>
      <c r="I779" s="11" t="inlineStr">
        <is>
          <t>No</t>
        </is>
      </c>
      <c r="J779" s="11" t="n">
        <v>2000</v>
      </c>
      <c r="L779" s="11" t="n">
        <v>1</v>
      </c>
      <c r="M779" s="8">
        <f>L779*G779</f>
        <v/>
      </c>
      <c r="P779" s="9" t="n"/>
    </row>
    <row r="780">
      <c r="A780" s="11" t="inlineStr">
        <is>
          <t>Cloudchaser Eagle / Águia Perseguidora de Nuvens</t>
        </is>
      </c>
      <c r="B780" s="11" t="inlineStr">
        <is>
          <t>Creature — Bird / Criatura — Ave</t>
        </is>
      </c>
      <c r="C780" s="11" t="inlineStr">
        <is>
          <t>Common / Comum</t>
        </is>
      </c>
      <c r="D780" s="11" t="inlineStr">
        <is>
          <t>Flying. When Cloudchaser Eagle comes into play, destroy target enchantment. / Voar. Quando Águia Perseguidora de Nuvens entra em jogo, destrua o encantamento alvo.</t>
        </is>
      </c>
      <c r="E780" s="11" t="inlineStr">
        <is>
          <t>{3}{W}</t>
        </is>
      </c>
      <c r="F780" s="11" t="inlineStr">
        <is>
          <t>Branco</t>
        </is>
      </c>
      <c r="G780" s="8" t="n">
        <v>0.03</v>
      </c>
      <c r="H780" s="11" t="inlineStr">
        <is>
          <t>Tempest (TMP)</t>
        </is>
      </c>
      <c r="I780" s="11" t="inlineStr">
        <is>
          <t>No</t>
        </is>
      </c>
      <c r="J780" s="11" t="n">
        <v>1997</v>
      </c>
      <c r="K780" s="10" t="n">
        <v>46055</v>
      </c>
      <c r="L780" s="11" t="n">
        <v>1</v>
      </c>
      <c r="M780" s="8">
        <f>L780*G780</f>
        <v/>
      </c>
      <c r="P780" s="9" t="n"/>
    </row>
    <row r="781">
      <c r="A781" s="11" t="inlineStr">
        <is>
          <t>Magma Mine / Mina de Magma</t>
        </is>
      </c>
      <c r="B781" s="11" t="inlineStr">
        <is>
          <t>Artifact / Artefato</t>
        </is>
      </c>
      <c r="C781" s="11" t="inlineStr">
        <is>
          <t>Rare / Rara</t>
        </is>
      </c>
      <c r="D781" s="11"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81" s="11" t="inlineStr">
        <is>
          <t>{1}</t>
        </is>
      </c>
      <c r="F781" s="11" t="inlineStr">
        <is>
          <t>Incolor</t>
        </is>
      </c>
      <c r="G781" s="8" t="n">
        <v>0.13</v>
      </c>
      <c r="H781" s="11" t="inlineStr">
        <is>
          <t>Visions (VIS)</t>
        </is>
      </c>
      <c r="I781" s="11" t="inlineStr">
        <is>
          <t>No</t>
        </is>
      </c>
      <c r="J781" s="11" t="n">
        <v>1997</v>
      </c>
      <c r="L781" s="11" t="n">
        <v>1</v>
      </c>
      <c r="M781" s="8">
        <f>L781*G781</f>
        <v/>
      </c>
      <c r="P781" s="9" t="n"/>
    </row>
    <row r="782">
      <c r="A782" s="11" t="inlineStr">
        <is>
          <t>Soldevi Steam Beast / Besta de Vapor Soldevi</t>
        </is>
      </c>
      <c r="B782" s="11" t="inlineStr">
        <is>
          <t>Artifact Creature — Beast / Criatura Artefato — Besta</t>
        </is>
      </c>
      <c r="C782" s="11" t="inlineStr">
        <is>
          <t>Common / Comum</t>
        </is>
      </c>
      <c r="D782" s="11" t="inlineStr">
        <is>
          <t>Whenever Soldevi Steam Beast becomes tapped, target opponent gains 2 life. {2}: Regenerate. / Sempre que Besta de Vapor Soldevi se torna virada, o oponente alvo ganha 2 pontos de vida. {2}: Regenerar.</t>
        </is>
      </c>
      <c r="E782" s="11" t="inlineStr">
        <is>
          <t>{5}</t>
        </is>
      </c>
      <c r="F782" s="11" t="inlineStr">
        <is>
          <t>Incolor</t>
        </is>
      </c>
      <c r="G782" s="8" t="n">
        <v>0.05</v>
      </c>
      <c r="H782" s="11" t="inlineStr">
        <is>
          <t>Alliances (ALL)</t>
        </is>
      </c>
      <c r="I782" s="11" t="inlineStr">
        <is>
          <t>No</t>
        </is>
      </c>
      <c r="J782" s="11" t="n">
        <v>1996</v>
      </c>
      <c r="K782" s="10" t="n">
        <v>46057</v>
      </c>
      <c r="L782" s="11" t="n">
        <v>1</v>
      </c>
      <c r="M782" s="8">
        <f>L782*G782</f>
        <v/>
      </c>
      <c r="P782" s="9" t="n"/>
    </row>
    <row r="783">
      <c r="A783" s="11" t="inlineStr">
        <is>
          <t>Disenchant / Desencantar</t>
        </is>
      </c>
      <c r="B783" s="11" t="inlineStr">
        <is>
          <t>Instant / Instântanea</t>
        </is>
      </c>
      <c r="C783" s="11" t="inlineStr">
        <is>
          <t>Common / Comum</t>
        </is>
      </c>
      <c r="D783" s="11" t="inlineStr">
        <is>
          <t>Target enchantment or artifact is destroyed. / Destrua o encantamento ou artefato alvo.</t>
        </is>
      </c>
      <c r="E783" s="11" t="inlineStr">
        <is>
          <t>{1}{W}</t>
        </is>
      </c>
      <c r="F783" s="11" t="inlineStr">
        <is>
          <t>Branco</t>
        </is>
      </c>
      <c r="G783" s="8" t="n">
        <v>0.43</v>
      </c>
      <c r="H783" s="11" t="inlineStr">
        <is>
          <t>Alpha (LEA)</t>
        </is>
      </c>
      <c r="I783" s="11" t="inlineStr">
        <is>
          <t>No</t>
        </is>
      </c>
      <c r="J783" s="11" t="n">
        <v>1993</v>
      </c>
      <c r="L783" s="11" t="n">
        <v>1</v>
      </c>
      <c r="M783" s="8">
        <f>L783*G783</f>
        <v/>
      </c>
      <c r="P783" s="9" t="n"/>
    </row>
    <row r="784">
      <c r="A784" s="11" t="inlineStr">
        <is>
          <t>Mishra's War Machine / Máquina de Guerra de Mishra</t>
        </is>
      </c>
      <c r="B784" s="11" t="inlineStr">
        <is>
          <t>Artifact Creature — Construct / Criatura Artefato — Constructo</t>
        </is>
      </c>
      <c r="C784" s="11" t="inlineStr">
        <is>
          <t>Rare / Rara</t>
        </is>
      </c>
      <c r="D784" s="11"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4" s="11" t="inlineStr">
        <is>
          <t>{7}</t>
        </is>
      </c>
      <c r="F784" s="11" t="inlineStr">
        <is>
          <t>Incolor</t>
        </is>
      </c>
      <c r="G784" s="8" t="n">
        <v>0.5</v>
      </c>
      <c r="H784" s="11" t="inlineStr">
        <is>
          <t>Fourth Edition (4ED)</t>
        </is>
      </c>
      <c r="I784" s="11" t="inlineStr">
        <is>
          <t>No</t>
        </is>
      </c>
      <c r="J784" s="11" t="n">
        <v>1995</v>
      </c>
      <c r="K784" s="10" t="n">
        <v>46147</v>
      </c>
      <c r="L784" s="11" t="n">
        <v>2</v>
      </c>
      <c r="M784" s="8">
        <f>L784*G784</f>
        <v/>
      </c>
      <c r="P784" s="9" t="n"/>
    </row>
    <row r="785">
      <c r="A785" s="11" t="inlineStr">
        <is>
          <t>Pearled Unicorn / Unicórnio Perolado</t>
        </is>
      </c>
      <c r="B785" s="11" t="inlineStr">
        <is>
          <t>Creature — Unicorn / Criatura — Unicórnio</t>
        </is>
      </c>
      <c r="C785" s="11" t="inlineStr">
        <is>
          <t>Common / Comum</t>
        </is>
      </c>
      <c r="D785" s="11" t="inlineStr">
        <is>
          <t>None. / Nenhuma.</t>
        </is>
      </c>
      <c r="E785" s="11" t="inlineStr">
        <is>
          <t>{2}{W}</t>
        </is>
      </c>
      <c r="F785" s="11" t="inlineStr">
        <is>
          <t>Branco</t>
        </is>
      </c>
      <c r="G785" s="8" t="n">
        <v>0.17</v>
      </c>
      <c r="H785" s="11" t="inlineStr">
        <is>
          <t>Fourth Edition (4ED)</t>
        </is>
      </c>
      <c r="I785" s="11" t="inlineStr">
        <is>
          <t>No</t>
        </is>
      </c>
      <c r="J785" s="11" t="n">
        <v>1995</v>
      </c>
      <c r="K785" s="10" t="n">
        <v>46055</v>
      </c>
      <c r="L785" s="11" t="n">
        <v>1</v>
      </c>
      <c r="M785" s="8">
        <f>L785*G785</f>
        <v/>
      </c>
      <c r="P785" s="9" t="n"/>
    </row>
    <row r="786">
      <c r="A786" s="11" t="inlineStr">
        <is>
          <t>Ballista Squad / Esquadrão de Balista</t>
        </is>
      </c>
      <c r="B786" s="11" t="inlineStr">
        <is>
          <t>Creature — Rebel / Criatura — Rebelde</t>
        </is>
      </c>
      <c r="C786" s="11" t="inlineStr">
        <is>
          <t>Uncommon / Incomum</t>
        </is>
      </c>
      <c r="D786" s="11" t="inlineStr">
        <is>
          <t>{X}{W}, {T}: Ballista Squad deals X damage to target attacking or blocking creature. / {X}{W}, {T}: Esquadrão de Balista causa X pontos de dano à criatura atacante ou bloqueadora alvo.</t>
        </is>
      </c>
      <c r="E786" s="11" t="inlineStr">
        <is>
          <t>{3}{W}</t>
        </is>
      </c>
      <c r="F786" s="11" t="inlineStr">
        <is>
          <t>Branco</t>
        </is>
      </c>
      <c r="G786" s="8" t="n">
        <v>0.09</v>
      </c>
      <c r="H786" s="11" t="inlineStr">
        <is>
          <t>Mercadian Masques (MMQ)</t>
        </is>
      </c>
      <c r="I786" s="11" t="inlineStr">
        <is>
          <t>No</t>
        </is>
      </c>
      <c r="J786" s="11" t="n">
        <v>1999</v>
      </c>
      <c r="K786" s="10" t="n">
        <v>46055</v>
      </c>
      <c r="L786" s="11" t="n">
        <v>1</v>
      </c>
      <c r="M786" s="8">
        <f>L786*G786</f>
        <v/>
      </c>
      <c r="P786" s="9" t="n"/>
    </row>
    <row r="787">
      <c r="A787" s="11" t="inlineStr">
        <is>
          <t>Shackles / Grilhões</t>
        </is>
      </c>
      <c r="B787" s="11" t="inlineStr">
        <is>
          <t>Enchantment — Aura / Encantamento — Aura</t>
        </is>
      </c>
      <c r="C787" s="11" t="inlineStr">
        <is>
          <t>Common / Comum</t>
        </is>
      </c>
      <c r="D787" s="11" t="inlineStr">
        <is>
          <t>Enchanted creature doesn't untap during its controller's untap step. {W}: Return Shackles to its owner's hand. / A criatura encantada não desvira durante a etapa de desvirar de seu controlador. {W}: Devolva Grilhões para a mão de seu dono.</t>
        </is>
      </c>
      <c r="E787" s="11" t="inlineStr">
        <is>
          <t>{2}{W}</t>
        </is>
      </c>
      <c r="F787" s="11" t="inlineStr">
        <is>
          <t>Branco</t>
        </is>
      </c>
      <c r="G787" s="8" t="n">
        <v>0.05</v>
      </c>
      <c r="H787" s="11" t="inlineStr">
        <is>
          <t>Mercadian Masques (MMQ)</t>
        </is>
      </c>
      <c r="I787" s="11" t="inlineStr">
        <is>
          <t>No</t>
        </is>
      </c>
      <c r="J787" s="11" t="n">
        <v>1999</v>
      </c>
      <c r="L787" s="11" t="n">
        <v>1</v>
      </c>
      <c r="M787" s="8">
        <f>L787*G787</f>
        <v/>
      </c>
      <c r="P787" s="9" t="n"/>
    </row>
    <row r="788">
      <c r="A788" s="11" t="inlineStr">
        <is>
          <t>Icatian Infantry / Infantaria Icatiana</t>
        </is>
      </c>
      <c r="B788" s="11" t="inlineStr">
        <is>
          <t>Creature — Soldiers / Criatura — Soldados</t>
        </is>
      </c>
      <c r="C788" s="11" t="inlineStr">
        <is>
          <t>Common / Comum</t>
        </is>
      </c>
      <c r="D788" s="11" t="inlineStr">
        <is>
          <t>{1}: Bands until end of turn. {1}: First strike until end of turn. / {1}: Forma bandos até o final do turno. {1}: Iniciativa até o final do turno.</t>
        </is>
      </c>
      <c r="E788" s="11" t="inlineStr">
        <is>
          <t>{W}</t>
        </is>
      </c>
      <c r="F788" s="11" t="inlineStr">
        <is>
          <t>Branco</t>
        </is>
      </c>
      <c r="G788" s="8" t="n">
        <v>0.18</v>
      </c>
      <c r="H788" s="11" t="inlineStr">
        <is>
          <t>Fallen Empires (FEM)</t>
        </is>
      </c>
      <c r="I788" s="11" t="inlineStr">
        <is>
          <t>No</t>
        </is>
      </c>
      <c r="J788" s="11" t="n">
        <v>1994</v>
      </c>
      <c r="K788" s="10" t="n">
        <v>46023</v>
      </c>
      <c r="L788" s="11" t="n">
        <v>1</v>
      </c>
      <c r="M788" s="8">
        <f>L788*G788</f>
        <v/>
      </c>
      <c r="P788" s="9" t="n"/>
    </row>
    <row r="789">
      <c r="A789" s="11" t="inlineStr">
        <is>
          <t>Icatian Scout / Explorador Icatiano</t>
        </is>
      </c>
      <c r="B789" s="11" t="inlineStr">
        <is>
          <t>Creature — Soldier / Criatura — Soldado</t>
        </is>
      </c>
      <c r="C789" s="11" t="inlineStr">
        <is>
          <t>Common / Comum</t>
        </is>
      </c>
      <c r="D789" s="11" t="inlineStr">
        <is>
          <t>{1}, {T}: Target creature gains first strike until end of turn. / {1}, {T}: A criatura alvo ganha iniciativa até o final do turno.</t>
        </is>
      </c>
      <c r="E789" s="11" t="inlineStr">
        <is>
          <t>{W}</t>
        </is>
      </c>
      <c r="F789" s="11" t="inlineStr">
        <is>
          <t>Branco</t>
        </is>
      </c>
      <c r="G789" s="8" t="n">
        <v>0.25</v>
      </c>
      <c r="H789" s="11" t="inlineStr">
        <is>
          <t>Fallen Empires (FEM)</t>
        </is>
      </c>
      <c r="I789" s="11" t="inlineStr">
        <is>
          <t>No</t>
        </is>
      </c>
      <c r="J789" s="11" t="n">
        <v>1994</v>
      </c>
      <c r="K789" s="10" t="n">
        <v>46023</v>
      </c>
      <c r="L789" s="11" t="n">
        <v>1</v>
      </c>
      <c r="M789" s="8">
        <f>L789*G789</f>
        <v/>
      </c>
      <c r="P789" s="9" t="n"/>
    </row>
    <row r="790">
      <c r="A790" s="11" t="inlineStr">
        <is>
          <t>Trenching Steed / Corcel de Trincheira</t>
        </is>
      </c>
      <c r="B790" s="11" t="inlineStr">
        <is>
          <t>Creature — Rebel / Criatura — Rebelde</t>
        </is>
      </c>
      <c r="C790" s="11" t="inlineStr">
        <is>
          <t>Common / Comum</t>
        </is>
      </c>
      <c r="D790" s="11" t="inlineStr">
        <is>
          <t>Sacrifice a land: Trenching Steed gets +0/+3 until end of turn. / Sacrifique um terreno: Corcel de Trincheira recebe +0/+3 até o final do turno.</t>
        </is>
      </c>
      <c r="E790" s="11" t="inlineStr">
        <is>
          <t>{3}{W}</t>
        </is>
      </c>
      <c r="F790" s="11" t="inlineStr">
        <is>
          <t>Branco</t>
        </is>
      </c>
      <c r="G790" s="8" t="n">
        <v>0.09</v>
      </c>
      <c r="H790" s="11" t="inlineStr">
        <is>
          <t>Nemesis (NMS)</t>
        </is>
      </c>
      <c r="I790" s="11" t="inlineStr">
        <is>
          <t>No</t>
        </is>
      </c>
      <c r="J790" s="11" t="n">
        <v>2000</v>
      </c>
      <c r="K790" s="10" t="n">
        <v>46083</v>
      </c>
      <c r="L790" s="11" t="n">
        <v>3</v>
      </c>
      <c r="M790" s="8">
        <f>L790*G790</f>
        <v/>
      </c>
      <c r="P790" s="9" t="n"/>
    </row>
    <row r="791">
      <c r="A791" s="11" t="inlineStr">
        <is>
          <t>Hematite Talisman / Talismã de Hematita</t>
        </is>
      </c>
      <c r="B791" s="11" t="inlineStr">
        <is>
          <t>Artifact / Artefato</t>
        </is>
      </c>
      <c r="C791" s="11" t="inlineStr">
        <is>
          <t>Uncommon / Incomum</t>
        </is>
      </c>
      <c r="D791" s="11"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91" s="11" t="inlineStr">
        <is>
          <t>{2}</t>
        </is>
      </c>
      <c r="F791" s="11" t="inlineStr">
        <is>
          <t>Incolor</t>
        </is>
      </c>
      <c r="G791" s="8" t="n">
        <v>0.2</v>
      </c>
      <c r="H791" s="11" t="inlineStr">
        <is>
          <t>Ice Age (ICE)</t>
        </is>
      </c>
      <c r="I791" s="11" t="inlineStr">
        <is>
          <t>No</t>
        </is>
      </c>
      <c r="J791" s="11" t="n">
        <v>1995</v>
      </c>
      <c r="L791" s="11" t="n">
        <v>1</v>
      </c>
      <c r="M791" s="8">
        <f>L791*G791</f>
        <v/>
      </c>
      <c r="P791" s="9" t="n"/>
    </row>
    <row r="792">
      <c r="A792" s="11" t="inlineStr">
        <is>
          <t>Walking Wall / Muralha Andante</t>
        </is>
      </c>
      <c r="B792" s="11" t="inlineStr">
        <is>
          <t>Artifact Creature — Wall / Criatura Artefato — Parede</t>
        </is>
      </c>
      <c r="C792" s="11" t="inlineStr">
        <is>
          <t>Uncommon / Incomum</t>
        </is>
      </c>
      <c r="D792" s="11"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92" s="11" t="inlineStr">
        <is>
          <t>{4}</t>
        </is>
      </c>
      <c r="F792" s="11" t="inlineStr">
        <is>
          <t>Incolor</t>
        </is>
      </c>
      <c r="G792" s="8" t="n">
        <v>0.2</v>
      </c>
      <c r="H792" s="11" t="inlineStr">
        <is>
          <t>Ice Age (ICE)</t>
        </is>
      </c>
      <c r="I792" s="11" t="inlineStr">
        <is>
          <t>No</t>
        </is>
      </c>
      <c r="J792" s="11" t="n">
        <v>1995</v>
      </c>
      <c r="K792" s="11" t="inlineStr">
        <is>
          <t>0/6</t>
        </is>
      </c>
      <c r="L792" s="11" t="n">
        <v>1</v>
      </c>
      <c r="M792" s="8">
        <f>L792*G792</f>
        <v/>
      </c>
      <c r="P792" s="9" t="n"/>
    </row>
    <row r="793">
      <c r="A793" s="11" t="inlineStr">
        <is>
          <t>Haunted Angel / Anjo Assombrado</t>
        </is>
      </c>
      <c r="B793" s="11" t="inlineStr">
        <is>
          <t>Creature — Angel / Criatura — Anjo</t>
        </is>
      </c>
      <c r="C793" s="11" t="inlineStr">
        <is>
          <t>Rare / Rara</t>
        </is>
      </c>
      <c r="D793" s="11"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93" s="11" t="inlineStr">
        <is>
          <t>{2}{W}</t>
        </is>
      </c>
      <c r="F793" s="11" t="inlineStr">
        <is>
          <t>Branco</t>
        </is>
      </c>
      <c r="G793" s="8" t="n">
        <v>0.35</v>
      </c>
      <c r="H793" s="11" t="inlineStr">
        <is>
          <t>Apocalypse (APC)</t>
        </is>
      </c>
      <c r="I793" s="11" t="inlineStr">
        <is>
          <t>No</t>
        </is>
      </c>
      <c r="J793" s="11" t="n">
        <v>2001</v>
      </c>
      <c r="K793" s="10" t="n">
        <v>46084</v>
      </c>
      <c r="L793" s="11" t="n">
        <v>1</v>
      </c>
      <c r="M793" s="8">
        <f>L793*G793</f>
        <v/>
      </c>
      <c r="P793" s="9" t="n"/>
    </row>
    <row r="794">
      <c r="A794" s="11" t="inlineStr">
        <is>
          <t>Double Dip</t>
        </is>
      </c>
      <c r="B794" s="11" t="inlineStr">
        <is>
          <t>Instant / Instântanea</t>
        </is>
      </c>
      <c r="C794" s="11" t="inlineStr">
        <is>
          <t>Rare / Rara</t>
        </is>
      </c>
      <c r="D794" s="11" t="inlineStr">
        <is>
          <t>Choose another player. Gain 5 life now and an additional 5 life at the beginning of the next game with that player. / Escolha outro jogador. Ganhe 5 pontos de vida agora e 5 pontos de vida adicionais no início do próximo jogo com aquele jogador.</t>
        </is>
      </c>
      <c r="E794" s="11" t="inlineStr">
        <is>
          <t>{4}{W}</t>
        </is>
      </c>
      <c r="F794" s="11" t="inlineStr">
        <is>
          <t>Branco</t>
        </is>
      </c>
      <c r="G794" s="8" t="n">
        <v>0.2</v>
      </c>
      <c r="H794" s="11" t="inlineStr">
        <is>
          <t>Unglued (UGL)</t>
        </is>
      </c>
      <c r="I794" s="11" t="inlineStr">
        <is>
          <t>No</t>
        </is>
      </c>
      <c r="J794" s="11" t="n">
        <v>1998</v>
      </c>
      <c r="L794" s="11" t="n">
        <v>1</v>
      </c>
      <c r="M794" s="8">
        <f>L794*G794</f>
        <v/>
      </c>
      <c r="P794" s="9" t="n"/>
    </row>
    <row r="795">
      <c r="A795" s="11" t="inlineStr">
        <is>
          <t>Prismatic Wardrobe</t>
        </is>
      </c>
      <c r="B795" s="11" t="inlineStr">
        <is>
          <t>Sorcery / Feitiço</t>
        </is>
      </c>
      <c r="C795" s="11" t="inlineStr">
        <is>
          <t>Common / Comum</t>
        </is>
      </c>
      <c r="D795" s="11"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5" s="11" t="inlineStr">
        <is>
          <t>{W}</t>
        </is>
      </c>
      <c r="F795" s="11" t="inlineStr">
        <is>
          <t>Branco</t>
        </is>
      </c>
      <c r="G795" s="8" t="n">
        <v>0.45</v>
      </c>
      <c r="H795" s="11" t="inlineStr">
        <is>
          <t>Unglued (UGL)</t>
        </is>
      </c>
      <c r="I795" s="11" t="inlineStr">
        <is>
          <t>No</t>
        </is>
      </c>
      <c r="J795" s="11" t="n">
        <v>1998</v>
      </c>
      <c r="L795" s="11" t="n">
        <v>1</v>
      </c>
      <c r="M795" s="8">
        <f>L795*G795</f>
        <v/>
      </c>
      <c r="P795" s="9" t="n"/>
    </row>
    <row r="796">
      <c r="A796" s="11" t="inlineStr">
        <is>
          <t>Temp of the Damned / Temporário dos Malditos</t>
        </is>
      </c>
      <c r="B796" s="11" t="inlineStr">
        <is>
          <t>Creature — Zombie / Criatura — Zumbi</t>
        </is>
      </c>
      <c r="C796" s="11" t="inlineStr">
        <is>
          <t>Rare / Rara</t>
        </is>
      </c>
      <c r="D796" s="11"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6" s="11" t="inlineStr">
        <is>
          <t>{2}{B}</t>
        </is>
      </c>
      <c r="F796" s="11" t="inlineStr">
        <is>
          <t>Preto / Preto</t>
        </is>
      </c>
      <c r="G796" s="8" t="n">
        <v>0.19</v>
      </c>
      <c r="H796" s="11" t="inlineStr">
        <is>
          <t>Unglued (UGL)</t>
        </is>
      </c>
      <c r="I796" s="11" t="inlineStr">
        <is>
          <t>No</t>
        </is>
      </c>
      <c r="J796" s="11" t="n">
        <v>1998</v>
      </c>
      <c r="K796" s="10" t="n">
        <v>46084</v>
      </c>
      <c r="L796" s="11" t="n">
        <v>1</v>
      </c>
      <c r="M796" s="8">
        <f>L796*G796</f>
        <v/>
      </c>
      <c r="P796" s="9" t="n"/>
    </row>
    <row r="797">
      <c r="A797" s="11" t="inlineStr">
        <is>
          <t>Thermal Glider / Planador Térmico</t>
        </is>
      </c>
      <c r="B797" s="11" t="inlineStr">
        <is>
          <t>Creature — Rebel / Criatura — Rebelde</t>
        </is>
      </c>
      <c r="C797" s="11" t="inlineStr">
        <is>
          <t>Common / Comum</t>
        </is>
      </c>
      <c r="D797" s="11" t="inlineStr">
        <is>
          <t>Flying, protection from red. / Voar, proteção contra o vermelho.</t>
        </is>
      </c>
      <c r="E797" s="11" t="inlineStr">
        <is>
          <t>{2}{W}</t>
        </is>
      </c>
      <c r="F797" s="11" t="inlineStr">
        <is>
          <t>Branco</t>
        </is>
      </c>
      <c r="G797" s="8" t="n">
        <v>0.19</v>
      </c>
      <c r="H797" s="11" t="inlineStr">
        <is>
          <t>Mercadian Masques (MMQ)</t>
        </is>
      </c>
      <c r="I797" s="11" t="inlineStr">
        <is>
          <t>No</t>
        </is>
      </c>
      <c r="J797" s="11" t="n">
        <v>1999</v>
      </c>
      <c r="K797" s="10" t="n">
        <v>46024</v>
      </c>
      <c r="L797" s="11" t="n">
        <v>1</v>
      </c>
      <c r="M797" s="8">
        <f>L797*G797</f>
        <v/>
      </c>
      <c r="P797" s="9" t="n"/>
    </row>
    <row r="798">
      <c r="A798" s="11" t="inlineStr">
        <is>
          <t>Skull Catapult / Catapulta de Crânios</t>
        </is>
      </c>
      <c r="B798" s="11" t="inlineStr">
        <is>
          <t>Artifact / Artefato</t>
        </is>
      </c>
      <c r="C798" s="11" t="inlineStr">
        <is>
          <t>Uncommon / Incomum</t>
        </is>
      </c>
      <c r="D798" s="11" t="inlineStr">
        <is>
          <t>{1}, {T}, Sacrifice a creature: Skull Catapult deals 2 damage to target creature or player. / {1}, {T}, Sacrifique uma criatura: Catapulta de Crânios causa 2 pontos de dano à criatura ou jogador alvo.</t>
        </is>
      </c>
      <c r="E798" s="11" t="inlineStr">
        <is>
          <t>{4}</t>
        </is>
      </c>
      <c r="F798" s="11" t="inlineStr">
        <is>
          <t>Incolor</t>
        </is>
      </c>
      <c r="G798" s="8" t="n">
        <v>0.25</v>
      </c>
      <c r="H798" s="11" t="inlineStr">
        <is>
          <t>Sixth Edition (6ED)</t>
        </is>
      </c>
      <c r="I798" s="11" t="inlineStr">
        <is>
          <t>No</t>
        </is>
      </c>
      <c r="J798" s="11" t="n">
        <v>1999</v>
      </c>
      <c r="L798" s="11" t="n">
        <v>1</v>
      </c>
      <c r="M798" s="8">
        <f>L798*G798</f>
        <v/>
      </c>
      <c r="P798" s="9" t="n"/>
    </row>
    <row r="799">
      <c r="A799" s="11" t="inlineStr">
        <is>
          <t>Rod of Ruin / Vara da Ruína</t>
        </is>
      </c>
      <c r="B799" s="11" t="inlineStr">
        <is>
          <t>Artifact / Artefato</t>
        </is>
      </c>
      <c r="C799" s="11" t="inlineStr">
        <is>
          <t>Uncommon / Incomum</t>
        </is>
      </c>
      <c r="D799" s="11" t="inlineStr">
        <is>
          <t>{3}, {T}: Rod of Ruin deals 1 damage to target creature or player. / {3}, {T}: Vara da Ruína causa 1 ponto de dano à criatura ou jogador alvo.</t>
        </is>
      </c>
      <c r="E799" s="11" t="inlineStr">
        <is>
          <t>{4}</t>
        </is>
      </c>
      <c r="F799" s="11" t="inlineStr">
        <is>
          <t>Incolor</t>
        </is>
      </c>
      <c r="G799" s="8" t="n">
        <v>0.09</v>
      </c>
      <c r="H799" s="11" t="inlineStr">
        <is>
          <t>Sixth Edition (6ED)</t>
        </is>
      </c>
      <c r="I799" s="11" t="inlineStr">
        <is>
          <t>No</t>
        </is>
      </c>
      <c r="J799" s="11" t="n">
        <v>1999</v>
      </c>
      <c r="L799" s="11" t="n">
        <v>1</v>
      </c>
      <c r="M799" s="8">
        <f>L799*G799</f>
        <v/>
      </c>
      <c r="P799" s="9" t="n"/>
    </row>
    <row r="800">
      <c r="A800" s="11" t="inlineStr">
        <is>
          <t>Onyx Talisman / Talismã de Ônix</t>
        </is>
      </c>
      <c r="B800" s="11" t="inlineStr">
        <is>
          <t>Artifact / Artefato</t>
        </is>
      </c>
      <c r="C800" s="11" t="inlineStr">
        <is>
          <t>Uncommon / Incomum</t>
        </is>
      </c>
      <c r="D800" s="11"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800" s="11" t="inlineStr">
        <is>
          <t>{2}</t>
        </is>
      </c>
      <c r="F800" s="11" t="inlineStr">
        <is>
          <t>Incolor</t>
        </is>
      </c>
      <c r="G800" s="8" t="n">
        <v>0.18</v>
      </c>
      <c r="H800" s="11" t="inlineStr">
        <is>
          <t>Ice Age (ICE)</t>
        </is>
      </c>
      <c r="I800" s="11" t="inlineStr">
        <is>
          <t>No</t>
        </is>
      </c>
      <c r="J800" s="11" t="n">
        <v>1995</v>
      </c>
      <c r="L800" s="11" t="n">
        <v>1</v>
      </c>
      <c r="M800" s="8">
        <f>L800*G800</f>
        <v/>
      </c>
      <c r="P800" s="9" t="n"/>
    </row>
    <row r="801">
      <c r="A801" s="11" t="inlineStr">
        <is>
          <t>Soltari Trooper / Soldado Soltari</t>
        </is>
      </c>
      <c r="B801" s="11" t="inlineStr">
        <is>
          <t>Creature — Soldier / Criatura — Soldado</t>
        </is>
      </c>
      <c r="C801" s="11" t="inlineStr">
        <is>
          <t>Common / Comum</t>
        </is>
      </c>
      <c r="D801" s="11"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801" s="11" t="inlineStr">
        <is>
          <t>{1}{W}</t>
        </is>
      </c>
      <c r="F801" s="11" t="inlineStr">
        <is>
          <t>Branco</t>
        </is>
      </c>
      <c r="G801" s="8" t="n">
        <v>0.19</v>
      </c>
      <c r="H801" s="11" t="inlineStr">
        <is>
          <t>Tempest (TMP)</t>
        </is>
      </c>
      <c r="I801" s="11" t="inlineStr">
        <is>
          <t>No</t>
        </is>
      </c>
      <c r="J801" s="11" t="n">
        <v>1997</v>
      </c>
      <c r="K801" s="10" t="n">
        <v>46023</v>
      </c>
      <c r="L801" s="11" t="n">
        <v>1</v>
      </c>
      <c r="M801" s="8">
        <f>L801*G801</f>
        <v/>
      </c>
      <c r="P801" s="9" t="n"/>
    </row>
    <row r="802">
      <c r="A802" s="11" t="inlineStr">
        <is>
          <t>Crossbow Infantry / Infantaria de Besteiros</t>
        </is>
      </c>
      <c r="B802" s="11" t="inlineStr">
        <is>
          <t>Creature — Soldier / Criatura — Soldado</t>
        </is>
      </c>
      <c r="C802" s="11" t="inlineStr">
        <is>
          <t>Common / Comum</t>
        </is>
      </c>
      <c r="D802" s="11" t="inlineStr">
        <is>
          <t>{T}: Crossbow Infantry deals 1 damage to target attacking or blocking creature. / {T}: Infantaria de Besteiros causa 1 ponto de dano à criatura atacante ou bloqueadora alvo.</t>
        </is>
      </c>
      <c r="E802" s="11" t="inlineStr">
        <is>
          <t>{1}{W}</t>
        </is>
      </c>
      <c r="F802" s="11" t="inlineStr">
        <is>
          <t>Branco</t>
        </is>
      </c>
      <c r="G802" s="8" t="n">
        <v>0.05</v>
      </c>
      <c r="H802" s="11" t="inlineStr">
        <is>
          <t>Mercadian Masques (MMQ)</t>
        </is>
      </c>
      <c r="I802" s="11" t="inlineStr">
        <is>
          <t>No</t>
        </is>
      </c>
      <c r="J802" s="11" t="n">
        <v>1999</v>
      </c>
      <c r="K802" s="10" t="n">
        <v>46023</v>
      </c>
      <c r="L802" s="11" t="n">
        <v>1</v>
      </c>
      <c r="M802" s="8">
        <f>L802*G802</f>
        <v/>
      </c>
      <c r="P802" s="9" t="n"/>
    </row>
    <row r="803">
      <c r="A803" s="11" t="inlineStr">
        <is>
          <t>Diving Griffin / Grifo Mergulhador</t>
        </is>
      </c>
      <c r="B803" s="11" t="inlineStr">
        <is>
          <t>Creature — Griffin / Criatura — Grifo</t>
        </is>
      </c>
      <c r="C803" s="11" t="inlineStr">
        <is>
          <t>Common / Comum</t>
        </is>
      </c>
      <c r="D803" s="11" t="inlineStr">
        <is>
          <t>Flying. Attacking doesn't cause Diving Griffin to tap. / Voar. Atacar não faz com que Grifo Mergulhador vire.</t>
        </is>
      </c>
      <c r="E803" s="11" t="inlineStr">
        <is>
          <t>{1}{W}{W}</t>
        </is>
      </c>
      <c r="F803" s="11" t="inlineStr">
        <is>
          <t>Branco</t>
        </is>
      </c>
      <c r="G803" s="8" t="n">
        <v>0.06</v>
      </c>
      <c r="H803" s="11" t="inlineStr">
        <is>
          <t>Nemesis (NMS)</t>
        </is>
      </c>
      <c r="I803" s="11" t="inlineStr">
        <is>
          <t>No</t>
        </is>
      </c>
      <c r="J803" s="11" t="n">
        <v>2000</v>
      </c>
      <c r="K803" s="10" t="n">
        <v>46055</v>
      </c>
      <c r="L803" s="11" t="n">
        <v>1</v>
      </c>
      <c r="M803" s="8">
        <f>L803*G803</f>
        <v/>
      </c>
      <c r="P803" s="9" t="n"/>
    </row>
    <row r="804">
      <c r="A804" s="11" t="inlineStr">
        <is>
          <t>Soltari Lancer / Lanceiro Soltari</t>
        </is>
      </c>
      <c r="B804" s="11" t="inlineStr">
        <is>
          <t>Creature — Knight / Criatura — Cavaleiro</t>
        </is>
      </c>
      <c r="C804" s="11" t="inlineStr">
        <is>
          <t>Common / Comum</t>
        </is>
      </c>
      <c r="D804" s="11" t="inlineStr">
        <is>
          <t>Shadow (This creature can block or be blocked by only creatures with shadow). First strike when attacking. / Sombra (Esta criatura pode bloquear ou ser bloqueada apenas por criaturas com sombra). Iniciativa quando ataca.</t>
        </is>
      </c>
      <c r="E804" s="11" t="inlineStr">
        <is>
          <t>{2}{W}</t>
        </is>
      </c>
      <c r="F804" s="11" t="inlineStr">
        <is>
          <t>Branco</t>
        </is>
      </c>
      <c r="G804" s="8" t="n">
        <v>0.05</v>
      </c>
      <c r="H804" s="11" t="inlineStr">
        <is>
          <t>Tempest (TMP)</t>
        </is>
      </c>
      <c r="I804" s="11" t="inlineStr">
        <is>
          <t>No</t>
        </is>
      </c>
      <c r="J804" s="11" t="n">
        <v>1997</v>
      </c>
      <c r="K804" s="10" t="n">
        <v>46055</v>
      </c>
      <c r="L804" s="11" t="n">
        <v>1</v>
      </c>
      <c r="M804" s="8">
        <f>L804*G804</f>
        <v/>
      </c>
      <c r="P804" s="9" t="n"/>
    </row>
    <row r="805">
      <c r="A805" s="11" t="inlineStr">
        <is>
          <t>Rhystic Shield / Escudo Rístico</t>
        </is>
      </c>
      <c r="B805" s="11" t="inlineStr">
        <is>
          <t>Instant / Instântanea</t>
        </is>
      </c>
      <c r="C805" s="11" t="inlineStr">
        <is>
          <t>Common / Comum</t>
        </is>
      </c>
      <c r="D805" s="11"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5" s="11" t="inlineStr">
        <is>
          <t>{1}{W}</t>
        </is>
      </c>
      <c r="F805" s="11" t="inlineStr">
        <is>
          <t>Branco</t>
        </is>
      </c>
      <c r="G805" s="8" t="n">
        <v>0.01</v>
      </c>
      <c r="H805" s="11" t="inlineStr">
        <is>
          <t>Prophecy (PCY)</t>
        </is>
      </c>
      <c r="I805" s="11" t="inlineStr">
        <is>
          <t>No</t>
        </is>
      </c>
      <c r="J805" s="11" t="n">
        <v>2000</v>
      </c>
      <c r="L805" s="11" t="n">
        <v>1</v>
      </c>
      <c r="M805" s="8">
        <f>L805*G805</f>
        <v/>
      </c>
      <c r="P805" s="9" t="n"/>
    </row>
    <row r="806">
      <c r="A806" s="11" t="inlineStr">
        <is>
          <t>Barbed Sextant / Sextante farpado</t>
        </is>
      </c>
      <c r="B806" s="11" t="inlineStr">
        <is>
          <t>Artifact / Artefato</t>
        </is>
      </c>
      <c r="C806" s="11" t="inlineStr">
        <is>
          <t>Common / Comum</t>
        </is>
      </c>
      <c r="D806" s="11"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6" s="11" t="inlineStr">
        <is>
          <t>{1}</t>
        </is>
      </c>
      <c r="F806" s="11" t="inlineStr">
        <is>
          <t>Incolor</t>
        </is>
      </c>
      <c r="G806" s="8" t="n">
        <v>0.2</v>
      </c>
      <c r="H806" s="11" t="inlineStr">
        <is>
          <t>Mirage (MIR)</t>
        </is>
      </c>
      <c r="I806" s="11" t="inlineStr">
        <is>
          <t>No</t>
        </is>
      </c>
      <c r="J806" s="11" t="n">
        <v>1996</v>
      </c>
      <c r="L806" s="11" t="n">
        <v>1</v>
      </c>
      <c r="M806" s="8">
        <f>L806*G806</f>
        <v/>
      </c>
      <c r="P806" s="9" t="n"/>
    </row>
    <row r="807">
      <c r="A807" s="11" t="inlineStr">
        <is>
          <t>Joven's Tools / Ferramentas de Joven</t>
        </is>
      </c>
      <c r="B807" s="11" t="inlineStr">
        <is>
          <t>Artifact / Artefato</t>
        </is>
      </c>
      <c r="C807" s="11" t="inlineStr">
        <is>
          <t>Uncommon / Incomum</t>
        </is>
      </c>
      <c r="D807" s="11" t="inlineStr">
        <is>
          <t>{4}, {T}: Target creature cannot be blocked this turn except by Walls. / {4}, {T}: A criatura alvo não pode ser bloqueada neste turno, exceto por Paredes.</t>
        </is>
      </c>
      <c r="E807" s="11" t="inlineStr">
        <is>
          <t>{6}</t>
        </is>
      </c>
      <c r="F807" s="11" t="inlineStr">
        <is>
          <t>Incolor</t>
        </is>
      </c>
      <c r="G807" s="8" t="n">
        <v>0.14</v>
      </c>
      <c r="H807" s="11" t="inlineStr">
        <is>
          <t>Homelands (HML)</t>
        </is>
      </c>
      <c r="I807" s="11" t="inlineStr">
        <is>
          <t>No</t>
        </is>
      </c>
      <c r="J807" s="11" t="n">
        <v>1995</v>
      </c>
      <c r="L807" s="11" t="n">
        <v>1</v>
      </c>
      <c r="M807" s="8">
        <f>L807*G807</f>
        <v/>
      </c>
      <c r="P807" s="9" t="n"/>
    </row>
    <row r="808">
      <c r="A808" s="11" t="inlineStr">
        <is>
          <t>Ashnod's Transmogrant / Transmogratificador de Ashnod</t>
        </is>
      </c>
      <c r="B808" s="11" t="inlineStr">
        <is>
          <t>Artifact / Artefato</t>
        </is>
      </c>
      <c r="C808" s="11" t="inlineStr">
        <is>
          <t>Uncommon / Incomum</t>
        </is>
      </c>
      <c r="D808" s="11"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8" s="11" t="inlineStr">
        <is>
          <t>{1}</t>
        </is>
      </c>
      <c r="F808" s="11" t="inlineStr">
        <is>
          <t>Incolor</t>
        </is>
      </c>
      <c r="G808" s="8" t="n">
        <v>0.28</v>
      </c>
      <c r="H808" s="11" t="inlineStr">
        <is>
          <t>Chronicles (CHR)</t>
        </is>
      </c>
      <c r="I808" s="11" t="inlineStr">
        <is>
          <t>No</t>
        </is>
      </c>
      <c r="J808" s="11" t="n">
        <v>1995</v>
      </c>
      <c r="L808" s="11" t="n">
        <v>2</v>
      </c>
      <c r="M808" s="8">
        <f>L808*G808</f>
        <v/>
      </c>
      <c r="P808" s="9" t="n"/>
    </row>
    <row r="809">
      <c r="A809" s="11" t="inlineStr">
        <is>
          <t>Moral</t>
        </is>
      </c>
      <c r="B809" s="11" t="inlineStr">
        <is>
          <t>Instant / Mágica Instantânea</t>
        </is>
      </c>
      <c r="C809" s="11" t="inlineStr">
        <is>
          <t>Common / Comum</t>
        </is>
      </c>
      <c r="D809" s="11" t="inlineStr">
        <is>
          <t>Todas as criaturas que estiverem atacando ganharão +1/+1 até o final do turno.</t>
        </is>
      </c>
      <c r="E809" s="11" t="inlineStr">
        <is>
          <t>{1}{W}{W}</t>
        </is>
      </c>
      <c r="F809" s="11" t="inlineStr">
        <is>
          <t>Branco</t>
        </is>
      </c>
      <c r="G809" s="8" t="n">
        <v>0.12</v>
      </c>
      <c r="H809" s="11" t="inlineStr">
        <is>
          <t>Ice Age (ICE)</t>
        </is>
      </c>
      <c r="I809" s="11" t="inlineStr">
        <is>
          <t>No</t>
        </is>
      </c>
      <c r="J809" s="11" t="n">
        <v>1995</v>
      </c>
      <c r="L809" s="11" t="n">
        <v>1</v>
      </c>
      <c r="M809" s="8">
        <f>L809*G809</f>
        <v/>
      </c>
      <c r="P809" s="9" t="n"/>
    </row>
    <row r="810">
      <c r="A810" s="11" t="inlineStr">
        <is>
          <t>Moss Diamond / Diamante de Musgo</t>
        </is>
      </c>
      <c r="B810" s="11" t="inlineStr">
        <is>
          <t>Artifact / Artefato</t>
        </is>
      </c>
      <c r="C810" s="11" t="inlineStr">
        <is>
          <t>Uncommon / Incomum</t>
        </is>
      </c>
      <c r="D810" s="11" t="inlineStr">
        <is>
          <t>Moss Diamond comes into play tapped. {T}: Add {G} to your mana pool. Play this ability as a mana source. / Diamante de Musgo entra em jogo virado. {T}: Adicione {G} à sua reserva de mana. Jogue esta habilidade como uma fonte de mana.</t>
        </is>
      </c>
      <c r="E810" s="11" t="inlineStr">
        <is>
          <t>{2}</t>
        </is>
      </c>
      <c r="F810" s="11" t="inlineStr">
        <is>
          <t>Incolor</t>
        </is>
      </c>
      <c r="G810" s="8" t="n">
        <v>0.4</v>
      </c>
      <c r="H810" s="11" t="inlineStr">
        <is>
          <t>Mirage (MIR)</t>
        </is>
      </c>
      <c r="I810" s="11" t="inlineStr">
        <is>
          <t>No</t>
        </is>
      </c>
      <c r="J810" s="11" t="n">
        <v>1996</v>
      </c>
      <c r="L810" s="11" t="n">
        <v>1</v>
      </c>
      <c r="M810" s="8">
        <f>L810*G810</f>
        <v/>
      </c>
      <c r="P810" s="9" t="n"/>
    </row>
    <row r="811">
      <c r="A811" s="11" t="inlineStr">
        <is>
          <t>Defiant Vanguard / Vanguarda Desafiadora</t>
        </is>
      </c>
      <c r="B811" s="11" t="inlineStr">
        <is>
          <t>Creature — Rebel / Criatura — Rebelde</t>
        </is>
      </c>
      <c r="C811" s="11" t="inlineStr">
        <is>
          <t>Uncommon / Incomum</t>
        </is>
      </c>
      <c r="D811" s="11"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11" s="11" t="inlineStr">
        <is>
          <t>{2}{W}</t>
        </is>
      </c>
      <c r="F811" s="11" t="inlineStr">
        <is>
          <t>Branco</t>
        </is>
      </c>
      <c r="G811" s="8" t="n">
        <v>0.2</v>
      </c>
      <c r="H811" s="11" t="inlineStr">
        <is>
          <t>Nemesis (NMS)</t>
        </is>
      </c>
      <c r="I811" s="11" t="inlineStr">
        <is>
          <t>No</t>
        </is>
      </c>
      <c r="J811" s="11" t="n">
        <v>2000</v>
      </c>
      <c r="K811" s="10" t="n">
        <v>46055</v>
      </c>
      <c r="L811" s="11" t="n">
        <v>1</v>
      </c>
      <c r="M811" s="8">
        <f>L811*G811</f>
        <v/>
      </c>
      <c r="P811" s="9" t="n"/>
    </row>
    <row r="812">
      <c r="A812" s="11" t="inlineStr">
        <is>
          <t>Shield Dancer / Dançarina de Escudo</t>
        </is>
      </c>
      <c r="B812" s="11" t="inlineStr">
        <is>
          <t>Creature — Rebel / Criatura — Rebelde</t>
        </is>
      </c>
      <c r="C812" s="11" t="inlineStr">
        <is>
          <t>Rare / Rara</t>
        </is>
      </c>
      <c r="D812" s="11"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12" s="11" t="inlineStr">
        <is>
          <t>{2}{W}</t>
        </is>
      </c>
      <c r="F812" s="11" t="inlineStr">
        <is>
          <t>Branco</t>
        </is>
      </c>
      <c r="G812" s="8" t="n">
        <v>0.09</v>
      </c>
      <c r="H812" s="11" t="inlineStr">
        <is>
          <t>Prophecy (PCY)</t>
        </is>
      </c>
      <c r="I812" s="11" t="inlineStr">
        <is>
          <t>No</t>
        </is>
      </c>
      <c r="J812" s="11" t="n">
        <v>2000</v>
      </c>
      <c r="K812" s="10" t="n">
        <v>46082</v>
      </c>
      <c r="L812" s="11" t="n">
        <v>1</v>
      </c>
      <c r="M812" s="8">
        <f>L812*G812</f>
        <v/>
      </c>
      <c r="P812" s="9" t="n"/>
    </row>
    <row r="813">
      <c r="A813" s="11" t="inlineStr">
        <is>
          <t>Mercenary Informer / Informante Mercenário</t>
        </is>
      </c>
      <c r="B813" s="11" t="inlineStr">
        <is>
          <t>Creature — Rebel Mercenary / Criatura — Rebelde Mercenário</t>
        </is>
      </c>
      <c r="C813" s="11" t="inlineStr">
        <is>
          <t>Uncommon / Incomum</t>
        </is>
      </c>
      <c r="D813" s="11"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13" s="11" t="inlineStr">
        <is>
          <t>{2}{W}</t>
        </is>
      </c>
      <c r="F813" s="11" t="inlineStr">
        <is>
          <t>Branco</t>
        </is>
      </c>
      <c r="G813" s="8" t="n">
        <v>0.24</v>
      </c>
      <c r="H813" s="11" t="inlineStr">
        <is>
          <t>Prophecy (PCY)</t>
        </is>
      </c>
      <c r="I813" s="11" t="inlineStr">
        <is>
          <t>No</t>
        </is>
      </c>
      <c r="J813" s="11" t="n">
        <v>2000</v>
      </c>
      <c r="K813" s="10" t="n">
        <v>46024</v>
      </c>
      <c r="L813" s="11" t="n">
        <v>1</v>
      </c>
      <c r="M813" s="8">
        <f>L813*G813</f>
        <v/>
      </c>
      <c r="P813" s="9" t="n"/>
    </row>
    <row r="814">
      <c r="A814" s="11" t="inlineStr">
        <is>
          <t>Piedade / Mercy</t>
        </is>
      </c>
      <c r="B814" s="11" t="inlineStr">
        <is>
          <t>Instant / Mágica Instantânea</t>
        </is>
      </c>
      <c r="C814" s="11" t="inlineStr">
        <is>
          <t>Common / Comum</t>
        </is>
      </c>
      <c r="D814" s="11" t="inlineStr">
        <is>
          <t>Todas as criaturas que estiverem bloqueando ganharão +0/+3 até o final do turno.</t>
        </is>
      </c>
      <c r="E814" s="11" t="inlineStr">
        <is>
          <t>{2}{W}</t>
        </is>
      </c>
      <c r="F814" s="11" t="inlineStr">
        <is>
          <t>Branco</t>
        </is>
      </c>
      <c r="G814" s="8" t="n">
        <v>0.14</v>
      </c>
      <c r="H814" s="11" t="inlineStr">
        <is>
          <t>Ice Age (ICE)</t>
        </is>
      </c>
      <c r="I814" s="11" t="inlineStr">
        <is>
          <t>No</t>
        </is>
      </c>
      <c r="J814" s="11" t="n">
        <v>1995</v>
      </c>
      <c r="L814" s="11" t="n">
        <v>1</v>
      </c>
      <c r="M814" s="8">
        <f>L814*G814</f>
        <v/>
      </c>
      <c r="P814" s="9" t="n"/>
    </row>
    <row r="815">
      <c r="A815" s="11" t="inlineStr">
        <is>
          <t>Mesa Pegasus / Pégaso da Mesa</t>
        </is>
      </c>
      <c r="B815" s="11" t="inlineStr">
        <is>
          <t>Creature — Pegasus / Criatura — Pégaso</t>
        </is>
      </c>
      <c r="C815" s="11" t="inlineStr">
        <is>
          <t>Common / Comum</t>
        </is>
      </c>
      <c r="D815" s="11" t="inlineStr">
        <is>
          <t>Flying, banding. / Voar, banding.</t>
        </is>
      </c>
      <c r="E815" s="11" t="inlineStr">
        <is>
          <t>{1}{W}</t>
        </is>
      </c>
      <c r="F815" s="11" t="inlineStr">
        <is>
          <t>Branco</t>
        </is>
      </c>
      <c r="G815" s="8" t="n">
        <v>0.07000000000000001</v>
      </c>
      <c r="H815" s="11" t="inlineStr">
        <is>
          <t>Chronicles (CHR)</t>
        </is>
      </c>
      <c r="I815" s="11" t="inlineStr">
        <is>
          <t>No</t>
        </is>
      </c>
      <c r="J815" s="11" t="n">
        <v>1995</v>
      </c>
      <c r="K815" s="10" t="n">
        <v>46023</v>
      </c>
      <c r="L815" s="11" t="n">
        <v>1</v>
      </c>
      <c r="M815" s="8">
        <f>L815*G815</f>
        <v/>
      </c>
      <c r="P815" s="9" t="n"/>
    </row>
    <row r="816">
      <c r="A816" s="11" t="inlineStr">
        <is>
          <t>Soul Charmer / Encantadora de Almas</t>
        </is>
      </c>
      <c r="B816" s="11" t="inlineStr">
        <is>
          <t>Creature — Rebel / Criatura — Rebelde</t>
        </is>
      </c>
      <c r="C816" s="11" t="inlineStr">
        <is>
          <t>Common / Comum</t>
        </is>
      </c>
      <c r="D816" s="11"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6" s="11" t="inlineStr">
        <is>
          <t>{2}{W}</t>
        </is>
      </c>
      <c r="F816" s="11" t="inlineStr">
        <is>
          <t>Branco</t>
        </is>
      </c>
      <c r="G816" s="8" t="n">
        <v>0.03</v>
      </c>
      <c r="H816" s="11" t="inlineStr">
        <is>
          <t>Prophecy (PCY)</t>
        </is>
      </c>
      <c r="I816" s="11" t="inlineStr">
        <is>
          <t>No</t>
        </is>
      </c>
      <c r="J816" s="11" t="n">
        <v>2000</v>
      </c>
      <c r="K816" s="10" t="n">
        <v>46055</v>
      </c>
      <c r="L816" s="11" t="n">
        <v>1</v>
      </c>
      <c r="M816" s="8">
        <f>L816*G816</f>
        <v/>
      </c>
      <c r="P816" s="9" t="n"/>
    </row>
    <row r="817">
      <c r="A817" s="11" t="inlineStr">
        <is>
          <t>Manacles of Decay / Algemas da Decadência</t>
        </is>
      </c>
      <c r="B817" s="11" t="inlineStr">
        <is>
          <t>Enchantment — Aura / Encantamento — Aura</t>
        </is>
      </c>
      <c r="C817" s="11" t="inlineStr">
        <is>
          <t>Uncommon / Incomum</t>
        </is>
      </c>
      <c r="D817" s="11"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7" s="11" t="inlineStr">
        <is>
          <t>{1}{W}</t>
        </is>
      </c>
      <c r="F817" s="11" t="inlineStr">
        <is>
          <t>Branco</t>
        </is>
      </c>
      <c r="G817" s="8" t="n">
        <v>0.05</v>
      </c>
      <c r="H817" s="11" t="inlineStr">
        <is>
          <t>Apocalypse (APC)</t>
        </is>
      </c>
      <c r="I817" s="11" t="inlineStr">
        <is>
          <t>No</t>
        </is>
      </c>
      <c r="J817" s="11" t="n">
        <v>2001</v>
      </c>
      <c r="L817" s="11" t="n">
        <v>1</v>
      </c>
      <c r="M817" s="8">
        <f>L817*G817</f>
        <v/>
      </c>
      <c r="P817" s="9" t="n"/>
    </row>
    <row r="818">
      <c r="A818" s="11" t="inlineStr">
        <is>
          <t>Benalish Lancer / Lanceiro Benalita</t>
        </is>
      </c>
      <c r="B818" s="11" t="inlineStr">
        <is>
          <t>Creature — Knight / Criatura — Cavaleiro</t>
        </is>
      </c>
      <c r="C818" s="11" t="inlineStr">
        <is>
          <t>Common / Comum</t>
        </is>
      </c>
      <c r="D818" s="11"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8" s="11" t="inlineStr">
        <is>
          <t>{2}{W}</t>
        </is>
      </c>
      <c r="F818" s="11" t="inlineStr">
        <is>
          <t>Branco</t>
        </is>
      </c>
      <c r="G818" s="8" t="n">
        <v>0.06</v>
      </c>
      <c r="H818" s="11" t="inlineStr">
        <is>
          <t>Invasion (INV)</t>
        </is>
      </c>
      <c r="I818" s="11" t="inlineStr">
        <is>
          <t>No</t>
        </is>
      </c>
      <c r="J818" s="11" t="n">
        <v>2000</v>
      </c>
      <c r="K818" s="10" t="n">
        <v>46055</v>
      </c>
      <c r="L818" s="11" t="n">
        <v>1</v>
      </c>
      <c r="M818" s="8">
        <f>L818*G818</f>
        <v/>
      </c>
      <c r="P818" s="9" t="n"/>
    </row>
    <row r="819">
      <c r="A819" s="11" t="inlineStr">
        <is>
          <t>Samite Alchemist / Alquimista Samita</t>
        </is>
      </c>
      <c r="B819" s="11" t="inlineStr">
        <is>
          <t>Creature — Alchemist / Criatura — Alquimista</t>
        </is>
      </c>
      <c r="C819" s="11" t="inlineStr">
        <is>
          <t>Rare / Rara</t>
        </is>
      </c>
      <c r="D819" s="11"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9" s="11" t="inlineStr">
        <is>
          <t>{3}{W}</t>
        </is>
      </c>
      <c r="F819" s="11" t="inlineStr">
        <is>
          <t>Branco</t>
        </is>
      </c>
      <c r="G819" s="8" t="n">
        <v>0.06</v>
      </c>
      <c r="H819" s="11" t="inlineStr">
        <is>
          <t>Homelands (HML)</t>
        </is>
      </c>
      <c r="I819" s="11" t="inlineStr">
        <is>
          <t>No</t>
        </is>
      </c>
      <c r="J819" s="11" t="n">
        <v>1995</v>
      </c>
      <c r="K819" s="11" t="inlineStr">
        <is>
          <t>0/2</t>
        </is>
      </c>
      <c r="L819" s="11" t="n">
        <v>1</v>
      </c>
      <c r="M819" s="8">
        <f>L819*G819</f>
        <v/>
      </c>
      <c r="P819" s="9" t="n"/>
    </row>
    <row r="820">
      <c r="A820" s="11" t="inlineStr">
        <is>
          <t>Abbey Matron / Matrona da Abadia</t>
        </is>
      </c>
      <c r="B820" s="11" t="inlineStr">
        <is>
          <t>Creature — Cleric / Criatura — Clérigo</t>
        </is>
      </c>
      <c r="C820" s="11" t="inlineStr">
        <is>
          <t>Common / Comum</t>
        </is>
      </c>
      <c r="D820" s="11" t="inlineStr">
        <is>
          <t>{W}, {T}: +0/+3 until end of turn. / {W}, {T}: +0/+3 até o final do turno.</t>
        </is>
      </c>
      <c r="E820" s="11" t="inlineStr">
        <is>
          <t>{2}{W}</t>
        </is>
      </c>
      <c r="F820" s="11" t="inlineStr">
        <is>
          <t>Branco</t>
        </is>
      </c>
      <c r="G820" s="8" t="n">
        <v>0.1</v>
      </c>
      <c r="H820" s="11" t="inlineStr">
        <is>
          <t>Homelands (HML)</t>
        </is>
      </c>
      <c r="I820" s="11" t="inlineStr">
        <is>
          <t>No</t>
        </is>
      </c>
      <c r="J820" s="11" t="n">
        <v>1995</v>
      </c>
      <c r="K820" s="10" t="n">
        <v>46082</v>
      </c>
      <c r="L820" s="11" t="n">
        <v>1</v>
      </c>
      <c r="M820" s="8">
        <f>L820*G820</f>
        <v/>
      </c>
      <c r="P820" s="9" t="n"/>
    </row>
    <row r="821">
      <c r="A821" s="11" t="inlineStr">
        <is>
          <t>Razorfoot Griffin / Grifo Pata-de-Navalha</t>
        </is>
      </c>
      <c r="B821" s="11" t="inlineStr">
        <is>
          <t>Creature — Griffin / Criatura — Grifo</t>
        </is>
      </c>
      <c r="C821" s="11" t="inlineStr">
        <is>
          <t>Common / Comum</t>
        </is>
      </c>
      <c r="D821" s="11" t="inlineStr">
        <is>
          <t>Flying, first strike. / Voar, iniciativa.</t>
        </is>
      </c>
      <c r="E821" s="11" t="inlineStr">
        <is>
          <t>{3}{W}</t>
        </is>
      </c>
      <c r="F821" s="11" t="inlineStr">
        <is>
          <t>Branco</t>
        </is>
      </c>
      <c r="G821" s="8" t="n">
        <v>0.09</v>
      </c>
      <c r="H821" s="11" t="inlineStr">
        <is>
          <t>Invasion (INV)</t>
        </is>
      </c>
      <c r="I821" s="11" t="inlineStr">
        <is>
          <t>No</t>
        </is>
      </c>
      <c r="J821" s="11" t="n">
        <v>2000</v>
      </c>
      <c r="K821" s="10" t="n">
        <v>46055</v>
      </c>
      <c r="L821" s="11" t="n">
        <v>1</v>
      </c>
      <c r="M821" s="8">
        <f>L821*G821</f>
        <v/>
      </c>
      <c r="P821" s="9" t="n"/>
    </row>
    <row r="822">
      <c r="A822" s="11" t="inlineStr">
        <is>
          <t>Capashen Unicorn / Unicórnio de Capashen</t>
        </is>
      </c>
      <c r="B822" s="11" t="inlineStr">
        <is>
          <t>Creature — Unicorn / Criatura — Unicórnio</t>
        </is>
      </c>
      <c r="C822" s="11" t="inlineStr">
        <is>
          <t>Common / Comum</t>
        </is>
      </c>
      <c r="D822" s="11" t="inlineStr">
        <is>
          <t>{1}{W}, {T}, Sacrifice Capashen Unicorn: Destroy target artifact or enchantment. / {1}{W}, {T}, Sacrifique Unicórnio de Capashen: Destrua o artefato ou encantamento alvo.</t>
        </is>
      </c>
      <c r="E822" s="11" t="inlineStr">
        <is>
          <t>{1}{W}</t>
        </is>
      </c>
      <c r="F822" s="11" t="inlineStr">
        <is>
          <t>Branco</t>
        </is>
      </c>
      <c r="G822" s="8" t="n">
        <v>0.07000000000000001</v>
      </c>
      <c r="H822" s="11" t="inlineStr">
        <is>
          <t>Invasion (INV)</t>
        </is>
      </c>
      <c r="I822" s="11" t="inlineStr">
        <is>
          <t>No</t>
        </is>
      </c>
      <c r="J822" s="11" t="n">
        <v>2000</v>
      </c>
      <c r="K822" s="10" t="n">
        <v>46054</v>
      </c>
      <c r="L822" s="11" t="n">
        <v>1</v>
      </c>
      <c r="M822" s="8">
        <f>L822*G822</f>
        <v/>
      </c>
      <c r="P822" s="9" t="n"/>
    </row>
    <row r="823">
      <c r="A823" s="11" t="inlineStr">
        <is>
          <t>Ardent Soldier / Soldado Ardente</t>
        </is>
      </c>
      <c r="B823" s="11" t="inlineStr">
        <is>
          <t>Creature — Soldier / Criatura — Soldado</t>
        </is>
      </c>
      <c r="C823" s="11" t="inlineStr">
        <is>
          <t>Common / Comum</t>
        </is>
      </c>
      <c r="D823" s="11"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23" s="11" t="inlineStr">
        <is>
          <t>{1}{W}</t>
        </is>
      </c>
      <c r="F823" s="11" t="inlineStr">
        <is>
          <t>Branco</t>
        </is>
      </c>
      <c r="G823" s="8" t="n">
        <v>0.09</v>
      </c>
      <c r="H823" s="11" t="inlineStr">
        <is>
          <t>Invasion (INV)</t>
        </is>
      </c>
      <c r="I823" s="11" t="inlineStr">
        <is>
          <t>No</t>
        </is>
      </c>
      <c r="J823" s="11" t="n">
        <v>2000</v>
      </c>
      <c r="K823" s="10" t="n">
        <v>46054</v>
      </c>
      <c r="L823" s="11" t="n">
        <v>1</v>
      </c>
      <c r="M823" s="8">
        <f>L823*G823</f>
        <v/>
      </c>
      <c r="P823" s="9" t="n"/>
    </row>
    <row r="824">
      <c r="A824" s="11" t="inlineStr">
        <is>
          <t>Rampant Elephant / Elefante Desenfreado</t>
        </is>
      </c>
      <c r="B824" s="11" t="inlineStr">
        <is>
          <t>Creature — Elephant / Criatura — Elefante</t>
        </is>
      </c>
      <c r="C824" s="11" t="inlineStr">
        <is>
          <t>Common / Comum</t>
        </is>
      </c>
      <c r="D824" s="11" t="inlineStr">
        <is>
          <t>{G}: Target creature blocks Rampant Elephant this turn if able. / {G}: A criatura alvo bloqueia Elefante Desenfreado neste turno, se estiver apta.</t>
        </is>
      </c>
      <c r="E824" s="11" t="inlineStr">
        <is>
          <t>{3}{W}</t>
        </is>
      </c>
      <c r="F824" s="11" t="inlineStr">
        <is>
          <t>Branco</t>
        </is>
      </c>
      <c r="G824" s="8" t="n">
        <v>0.05</v>
      </c>
      <c r="H824" s="11" t="inlineStr">
        <is>
          <t>Invasion (INV)</t>
        </is>
      </c>
      <c r="I824" s="11" t="inlineStr">
        <is>
          <t>No</t>
        </is>
      </c>
      <c r="J824" s="11" t="n">
        <v>2000</v>
      </c>
      <c r="K824" s="10" t="n">
        <v>46055</v>
      </c>
      <c r="L824" s="11" t="n">
        <v>1</v>
      </c>
      <c r="M824" s="8">
        <f>L824*G824</f>
        <v/>
      </c>
      <c r="P824" s="9" t="n"/>
    </row>
    <row r="825">
      <c r="A825" s="11" t="inlineStr">
        <is>
          <t>Myr Retriever / Resgatador Myr</t>
        </is>
      </c>
      <c r="B825" s="11" t="inlineStr">
        <is>
          <t>Artifact Creature — Myr / Criatura Artefato — Myr</t>
        </is>
      </c>
      <c r="C825" s="11" t="inlineStr">
        <is>
          <t>Common / Comum</t>
        </is>
      </c>
      <c r="D825" s="11" t="inlineStr">
        <is>
          <t>When Myr Retriever dies, return another target artifact card from your graveyard to your hand. / Quando Resgatador Myr morrer, devolva outro card de artefato alvo de seu cemitério para sua mão.</t>
        </is>
      </c>
      <c r="E825" s="11" t="inlineStr">
        <is>
          <t>{2}</t>
        </is>
      </c>
      <c r="F825" s="11" t="inlineStr">
        <is>
          <t>Incolor</t>
        </is>
      </c>
      <c r="G825" s="8" t="n">
        <v>3.76</v>
      </c>
      <c r="H825" s="11" t="inlineStr">
        <is>
          <t>Double Masters (2XM)</t>
        </is>
      </c>
      <c r="I825" s="11" t="inlineStr">
        <is>
          <t>No</t>
        </is>
      </c>
      <c r="J825" s="11" t="n">
        <v>2020</v>
      </c>
      <c r="K825" s="10" t="n">
        <v>46023</v>
      </c>
      <c r="L825" s="11" t="n">
        <v>1</v>
      </c>
      <c r="M825" s="8">
        <f>L825*G825</f>
        <v/>
      </c>
      <c r="P825" s="9" t="n"/>
    </row>
    <row r="826">
      <c r="A826" s="11" t="inlineStr">
        <is>
          <t>Iron Bully / Valentão de Ferro</t>
        </is>
      </c>
      <c r="B826" s="11" t="inlineStr">
        <is>
          <t>Artifact Creature — Golem / Criatura Artefato — Golem</t>
        </is>
      </c>
      <c r="C826" s="11" t="inlineStr">
        <is>
          <t>Common / Comum</t>
        </is>
      </c>
      <c r="D826" s="11" t="inlineStr">
        <is>
          <t>Menace. When Iron Bully enters the battlefield, put a +1/+1 counter on target creature. / Ameaçar. Quando Valentão de Ferro entra no campo de batalha, coloque um marcador +1/+1 na criatura alvo.</t>
        </is>
      </c>
      <c r="E826" s="11" t="inlineStr">
        <is>
          <t>{3}</t>
        </is>
      </c>
      <c r="F826" s="11" t="inlineStr">
        <is>
          <t>Incolor</t>
        </is>
      </c>
      <c r="G826" s="8" t="n">
        <v>0.06</v>
      </c>
      <c r="H826" s="11" t="inlineStr">
        <is>
          <t>Double Masters (2XM)</t>
        </is>
      </c>
      <c r="I826" s="11" t="inlineStr">
        <is>
          <t>No</t>
        </is>
      </c>
      <c r="J826" s="11" t="n">
        <v>2020</v>
      </c>
      <c r="K826" s="10" t="n">
        <v>46023</v>
      </c>
      <c r="L826" s="11" t="n">
        <v>1</v>
      </c>
      <c r="M826" s="8">
        <f>L826*G826</f>
        <v/>
      </c>
      <c r="P826" s="9" t="n"/>
    </row>
    <row r="827">
      <c r="A827" s="11" t="inlineStr">
        <is>
          <t>Olho do Peregrino / Pilgrim's Eye</t>
        </is>
      </c>
      <c r="B827" s="11" t="inlineStr">
        <is>
          <t>Criatura Artefato — Tóptero / Artifact Creature — Thopter</t>
        </is>
      </c>
      <c r="C827" s="11" t="inlineStr">
        <is>
          <t>Comum / Common</t>
        </is>
      </c>
      <c r="D827" s="11"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7" s="11" t="inlineStr">
        <is>
          <t>{3}</t>
        </is>
      </c>
      <c r="F827" s="11" t="inlineStr">
        <is>
          <t>Incolor / Colorless</t>
        </is>
      </c>
      <c r="G827" s="8" t="n">
        <v>0.06</v>
      </c>
      <c r="H827" s="11" t="inlineStr">
        <is>
          <t>Commander Masters (CMM)</t>
        </is>
      </c>
      <c r="I827" s="11" t="inlineStr">
        <is>
          <t>No</t>
        </is>
      </c>
      <c r="J827" s="11" t="n">
        <v>2023</v>
      </c>
      <c r="K827" s="10" t="n">
        <v>46023</v>
      </c>
      <c r="L827" s="11" t="n">
        <v>1</v>
      </c>
      <c r="M827" s="8">
        <f>L827*G827</f>
        <v/>
      </c>
      <c r="P827" s="9" t="n"/>
    </row>
    <row r="828">
      <c r="A828" s="11" t="inlineStr">
        <is>
          <t>Rompe-Correntes / Chainbreaker</t>
        </is>
      </c>
      <c r="B828" s="11" t="inlineStr">
        <is>
          <t>Artifact Creature — Scarecrow / Criatura Artefato — Espantalho</t>
        </is>
      </c>
      <c r="C828" s="11" t="inlineStr">
        <is>
          <t>Common / Comum</t>
        </is>
      </c>
      <c r="D828" s="11" t="inlineStr">
        <is>
          <t>Rompe-Correntes enters the battlefield with two -1/-1 counters on it. {3}, {T}: Remove a -1/-1 counter from target creature. / Rompe-Correntes entra em jogo com dois marcadores -1/-1. {3}, {T}: Remova um marcador -1/-1 da criatura alvo.</t>
        </is>
      </c>
      <c r="E828" s="11" t="inlineStr">
        <is>
          <t>{2}</t>
        </is>
      </c>
      <c r="F828" s="11" t="inlineStr">
        <is>
          <t>Incolor</t>
        </is>
      </c>
      <c r="G828" s="8" t="n">
        <v>0.08</v>
      </c>
      <c r="H828" s="11" t="inlineStr">
        <is>
          <t>Shadowmoor (SHM)</t>
        </is>
      </c>
      <c r="I828" s="11" t="inlineStr">
        <is>
          <t>No</t>
        </is>
      </c>
      <c r="J828" s="11" t="n">
        <v>2008</v>
      </c>
      <c r="K828" s="10" t="n">
        <v>46084</v>
      </c>
      <c r="L828" s="11" t="n">
        <v>1</v>
      </c>
      <c r="M828" s="8">
        <f>L828*G828</f>
        <v/>
      </c>
      <c r="P828" s="9" t="n"/>
    </row>
    <row r="829">
      <c r="A829" s="11" t="inlineStr">
        <is>
          <t>Cesto Remendado / Patchwork Gnomes</t>
        </is>
      </c>
      <c r="B829" s="11" t="inlineStr">
        <is>
          <t>Artifact Creature — Scarecrow / Criatura Artefato — Espantalho</t>
        </is>
      </c>
      <c r="C829" s="11" t="inlineStr">
        <is>
          <t>Common / Comum</t>
        </is>
      </c>
      <c r="D829" s="11" t="inlineStr">
        <is>
          <t>{1}: Cesto Remendado torna-se de todas as cores até o final do turno. / {1}: Patchwork Gnomes becomes all colors until end of turn.</t>
        </is>
      </c>
      <c r="E829" s="11" t="inlineStr">
        <is>
          <t>{4}</t>
        </is>
      </c>
      <c r="F829" s="11" t="inlineStr">
        <is>
          <t>Incolor</t>
        </is>
      </c>
      <c r="G829" s="8" t="n">
        <v>0.09</v>
      </c>
      <c r="H829" s="11" t="inlineStr">
        <is>
          <t>Shadowmoor (SHM)</t>
        </is>
      </c>
      <c r="I829" s="11" t="inlineStr">
        <is>
          <t>No</t>
        </is>
      </c>
      <c r="J829" s="11" t="n">
        <v>2008</v>
      </c>
      <c r="K829" s="10" t="n">
        <v>46056</v>
      </c>
      <c r="L829" s="11" t="n">
        <v>1</v>
      </c>
      <c r="M829" s="8">
        <f>L829*G829</f>
        <v/>
      </c>
      <c r="P829" s="9" t="n"/>
    </row>
    <row r="830">
      <c r="A830" s="11" t="inlineStr">
        <is>
          <t>Assistente de Oficina / Workshop Assistant</t>
        </is>
      </c>
      <c r="B830" s="11" t="inlineStr">
        <is>
          <t>Artifact Creature — Construct / Criatura Artefato — Constructo</t>
        </is>
      </c>
      <c r="C830" s="11" t="inlineStr">
        <is>
          <t>Common / Comum</t>
        </is>
      </c>
      <c r="D830" s="11" t="inlineStr">
        <is>
          <t>When Workshop Assistant dies, return another target artifact card from your graveyard to your hand. / Quando Assistente de Oficina morrer, devolva outro card de artefato alvo de seu cemitério para sua mão.</t>
        </is>
      </c>
      <c r="E830" s="11" t="inlineStr">
        <is>
          <t>{3}</t>
        </is>
      </c>
      <c r="F830" s="11" t="inlineStr">
        <is>
          <t>Incolor</t>
        </is>
      </c>
      <c r="G830" s="8" t="n">
        <v>0.03</v>
      </c>
      <c r="H830" s="11" t="inlineStr">
        <is>
          <t>Kaladesh (KLD)</t>
        </is>
      </c>
      <c r="I830" s="11" t="inlineStr">
        <is>
          <t>No</t>
        </is>
      </c>
      <c r="J830" s="11" t="n">
        <v>2016</v>
      </c>
      <c r="K830" s="10" t="n">
        <v>46054</v>
      </c>
      <c r="L830" s="11" t="n">
        <v>1</v>
      </c>
      <c r="M830" s="8">
        <f>L830*G830</f>
        <v/>
      </c>
      <c r="P830" s="9" t="n"/>
    </row>
    <row r="831">
      <c r="A831" s="11" t="inlineStr">
        <is>
          <t>Arcbound Wanderer / Andarilho Arcbound</t>
        </is>
      </c>
      <c r="B831" s="11" t="inlineStr">
        <is>
          <t>Artifact Creature — Golem / Criatura Artefato — Golem</t>
        </is>
      </c>
      <c r="C831" s="11" t="inlineStr">
        <is>
          <t>Uncommon / Incomum</t>
        </is>
      </c>
      <c r="D831" s="11"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31" s="11" t="inlineStr">
        <is>
          <t>{6}</t>
        </is>
      </c>
      <c r="F831" s="11" t="inlineStr">
        <is>
          <t>Incolor</t>
        </is>
      </c>
      <c r="G831" s="8" t="n">
        <v>0.13</v>
      </c>
      <c r="H831" s="11" t="inlineStr">
        <is>
          <t>Modern Masters (MMA)</t>
        </is>
      </c>
      <c r="I831" s="11" t="inlineStr">
        <is>
          <t>No</t>
        </is>
      </c>
      <c r="J831" s="11" t="n">
        <v>2013</v>
      </c>
      <c r="K831" s="11" t="inlineStr">
        <is>
          <t>0/0</t>
        </is>
      </c>
      <c r="L831" s="11" t="n">
        <v>1</v>
      </c>
      <c r="M831" s="8">
        <f>L831*G831</f>
        <v/>
      </c>
      <c r="P831" s="9" t="n"/>
    </row>
    <row r="832">
      <c r="A832" s="11" t="inlineStr">
        <is>
          <t>Iron League Steed / Corcel da Liga de Ferro</t>
        </is>
      </c>
      <c r="B832" s="11" t="inlineStr">
        <is>
          <t>Artifact Creature — Construct / Criatura Artefato — Constructo</t>
        </is>
      </c>
      <c r="C832" s="11" t="inlineStr">
        <is>
          <t>Common / Comum</t>
        </is>
      </c>
      <c r="D832" s="11"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32" s="11" t="inlineStr">
        <is>
          <t>{4}</t>
        </is>
      </c>
      <c r="F832" s="11" t="inlineStr">
        <is>
          <t>Incolor</t>
        </is>
      </c>
      <c r="G832" s="8" t="n">
        <v>0.15</v>
      </c>
      <c r="H832" s="11" t="inlineStr">
        <is>
          <t>Double Masters (2XM)</t>
        </is>
      </c>
      <c r="I832" s="11" t="inlineStr">
        <is>
          <t>Sim</t>
        </is>
      </c>
      <c r="J832" s="11" t="n">
        <v>2020</v>
      </c>
      <c r="K832" s="10" t="n">
        <v>46055</v>
      </c>
      <c r="L832" s="11" t="n">
        <v>1</v>
      </c>
      <c r="M832" s="8">
        <f>L832*G832</f>
        <v/>
      </c>
      <c r="P832" s="9" t="n"/>
    </row>
    <row r="833">
      <c r="A833" s="11" t="inlineStr">
        <is>
          <t>Golem Volitivo / Will-Forged Golem</t>
        </is>
      </c>
      <c r="B833" s="11" t="inlineStr">
        <is>
          <t>Artifact Creature — Golem / Criatura Artefato — Golem</t>
        </is>
      </c>
      <c r="C833" s="11" t="inlineStr">
        <is>
          <t>Common / Comum</t>
        </is>
      </c>
      <c r="D833" s="11"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33" s="11" t="inlineStr">
        <is>
          <t>{6}</t>
        </is>
      </c>
      <c r="F833" s="11" t="inlineStr">
        <is>
          <t>Incolor</t>
        </is>
      </c>
      <c r="G833" s="8" t="n">
        <v>0.05</v>
      </c>
      <c r="H833" s="11" t="inlineStr">
        <is>
          <t>Magic 2015 (M15)</t>
        </is>
      </c>
      <c r="I833" s="11" t="inlineStr">
        <is>
          <t>No</t>
        </is>
      </c>
      <c r="J833" s="11" t="n">
        <v>2014</v>
      </c>
      <c r="K833" s="10" t="n">
        <v>46116</v>
      </c>
      <c r="L833" s="11" t="n">
        <v>1</v>
      </c>
      <c r="M833" s="8">
        <f>L833*G833</f>
        <v/>
      </c>
      <c r="P833" s="9" t="n"/>
    </row>
    <row r="834">
      <c r="A834" s="11" t="inlineStr">
        <is>
          <t>Campus Guide / Guia do Campus</t>
        </is>
      </c>
      <c r="B834" s="11" t="inlineStr">
        <is>
          <t>Artifact Creature — Golem / Criatura Artefato — Golem</t>
        </is>
      </c>
      <c r="C834" s="11" t="inlineStr">
        <is>
          <t>Common / Comum</t>
        </is>
      </c>
      <c r="D834" s="11"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4" s="11" t="inlineStr">
        <is>
          <t>{2}</t>
        </is>
      </c>
      <c r="F834" s="11" t="inlineStr">
        <is>
          <t>Incolor</t>
        </is>
      </c>
      <c r="G834" s="8" t="n">
        <v>0.05</v>
      </c>
      <c r="H834" s="11" t="inlineStr">
        <is>
          <t>Foundation (FDN)</t>
        </is>
      </c>
      <c r="I834" s="11" t="inlineStr">
        <is>
          <t>No</t>
        </is>
      </c>
      <c r="J834" s="11" t="n">
        <v>2024</v>
      </c>
      <c r="K834" s="10" t="n">
        <v>46024</v>
      </c>
      <c r="L834" s="11" t="n">
        <v>1</v>
      </c>
      <c r="M834" s="8">
        <f>L834*G834</f>
        <v/>
      </c>
      <c r="P834" s="9" t="n"/>
    </row>
    <row r="835">
      <c r="A835" s="11" t="inlineStr">
        <is>
          <t>Campus Guide / Guia do Campus</t>
        </is>
      </c>
      <c r="B835" s="11" t="inlineStr">
        <is>
          <t>Artifact Creature — Golem / Criatura Artefato — Golem</t>
        </is>
      </c>
      <c r="C835" s="11" t="inlineStr">
        <is>
          <t>Common / Comum</t>
        </is>
      </c>
      <c r="D835" s="11"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5" s="11" t="inlineStr">
        <is>
          <t>{2}</t>
        </is>
      </c>
      <c r="F835" s="11" t="inlineStr">
        <is>
          <t>Incolor</t>
        </is>
      </c>
      <c r="G835" s="8" t="n">
        <v>0.25</v>
      </c>
      <c r="H835" s="11" t="inlineStr">
        <is>
          <t>Foundation (FDN)</t>
        </is>
      </c>
      <c r="I835" s="11" t="inlineStr">
        <is>
          <t>Sim</t>
        </is>
      </c>
      <c r="J835" s="11" t="n">
        <v>2024</v>
      </c>
      <c r="K835" s="10" t="n">
        <v>46024</v>
      </c>
      <c r="L835" s="11" t="n">
        <v>1</v>
      </c>
      <c r="M835" s="8">
        <f>L835*G835</f>
        <v/>
      </c>
      <c r="P835" s="9" t="n"/>
    </row>
    <row r="836">
      <c r="A836" s="11" t="inlineStr">
        <is>
          <t>Monoscele / Monoskelion</t>
        </is>
      </c>
      <c r="B836" s="11" t="inlineStr">
        <is>
          <t>Artifact Creature — Construct / Criatura Artefato — Constructo</t>
        </is>
      </c>
      <c r="C836" s="11" t="inlineStr">
        <is>
          <t>Uncommon / Incomum</t>
        </is>
      </c>
      <c r="D836" s="11"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6" s="11" t="inlineStr">
        <is>
          <t>{2}</t>
        </is>
      </c>
      <c r="F836" s="11" t="inlineStr">
        <is>
          <t>Incolor</t>
        </is>
      </c>
      <c r="G836" s="8" t="n">
        <v>0.04</v>
      </c>
      <c r="H836" s="11" t="inlineStr">
        <is>
          <t>Modern Horizons 2 (MH2)</t>
        </is>
      </c>
      <c r="I836" s="11" t="inlineStr">
        <is>
          <t>No</t>
        </is>
      </c>
      <c r="J836" s="11" t="n">
        <v>2021</v>
      </c>
      <c r="K836" s="10" t="n">
        <v>46023</v>
      </c>
      <c r="L836" s="11" t="n">
        <v>1</v>
      </c>
      <c r="M836" s="8">
        <f>L836*G836</f>
        <v/>
      </c>
      <c r="P836" s="9" t="n"/>
    </row>
    <row r="837">
      <c r="A837" s="11" t="inlineStr">
        <is>
          <t>Blinding Souleater / Devorador de Almas Cegante</t>
        </is>
      </c>
      <c r="B837" s="11" t="inlineStr">
        <is>
          <t>Artifact Creature — Cleric / Criatura Artefato — Clérigo</t>
        </is>
      </c>
      <c r="C837" s="11" t="inlineStr">
        <is>
          <t>Common / Comum</t>
        </is>
      </c>
      <c r="D837" s="11" t="inlineStr">
        <is>
          <t>{W/P}, {T}: Tap target creature. ({W/P} can be paid with either {W} or 2 life.) / {W/P}, {T}: Vire a criatura alvo. ({W/P} pode ser pago com {W} ou 2 pontos de vida.)</t>
        </is>
      </c>
      <c r="E837" s="11" t="inlineStr">
        <is>
          <t>{3}</t>
        </is>
      </c>
      <c r="F837" s="11" t="inlineStr">
        <is>
          <t>Incolor</t>
        </is>
      </c>
      <c r="G837" s="8" t="n">
        <v>0.03</v>
      </c>
      <c r="H837" s="11" t="inlineStr">
        <is>
          <t>Modern Masters 2015 Edition (MM2)</t>
        </is>
      </c>
      <c r="I837" s="11" t="inlineStr">
        <is>
          <t>No</t>
        </is>
      </c>
      <c r="J837" s="11" t="n">
        <v>2015</v>
      </c>
      <c r="K837" s="10" t="n">
        <v>46082</v>
      </c>
      <c r="L837" s="11" t="n">
        <v>1</v>
      </c>
      <c r="M837" s="8">
        <f>L837*G837</f>
        <v/>
      </c>
      <c r="P837" s="9" t="n"/>
    </row>
    <row r="838">
      <c r="A838" s="11" t="inlineStr">
        <is>
          <t>Automontante / Self-Assembler</t>
        </is>
      </c>
      <c r="B838" s="11" t="inlineStr">
        <is>
          <t>Artifact Creature — Assembly-Worker / Criatura Artefato — Operário de Linha de Montagem</t>
        </is>
      </c>
      <c r="C838" s="11" t="inlineStr">
        <is>
          <t>Common / Comum</t>
        </is>
      </c>
      <c r="D838" s="11"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8" s="11" t="inlineStr">
        <is>
          <t>{5}</t>
        </is>
      </c>
      <c r="F838" s="11" t="inlineStr">
        <is>
          <t>Incolor</t>
        </is>
      </c>
      <c r="G838" s="8" t="n">
        <v>0.03</v>
      </c>
      <c r="H838" s="11" t="inlineStr">
        <is>
          <t>Kaladesh (KLD)</t>
        </is>
      </c>
      <c r="I838" s="11" t="inlineStr">
        <is>
          <t>No</t>
        </is>
      </c>
      <c r="J838" s="11" t="n">
        <v>2016</v>
      </c>
      <c r="K838" s="10" t="n">
        <v>46116</v>
      </c>
      <c r="L838" s="11" t="n">
        <v>1</v>
      </c>
      <c r="M838" s="8">
        <f>L838*G838</f>
        <v/>
      </c>
      <c r="P838" s="9" t="n"/>
    </row>
    <row r="839">
      <c r="A839" s="11" t="inlineStr">
        <is>
          <t>Convite de Casamento / Wedding Invitation</t>
        </is>
      </c>
      <c r="B839" s="11" t="inlineStr">
        <is>
          <t>Artifact / Artefato</t>
        </is>
      </c>
      <c r="C839" s="11" t="inlineStr">
        <is>
          <t>Common / Comum</t>
        </is>
      </c>
      <c r="D839" s="11"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9" s="11" t="inlineStr">
        <is>
          <t>{2}</t>
        </is>
      </c>
      <c r="F839" s="11" t="inlineStr">
        <is>
          <t>Incolor</t>
        </is>
      </c>
      <c r="G839" s="8" t="n">
        <v>1</v>
      </c>
      <c r="H839" s="11" t="inlineStr">
        <is>
          <t>Innistrad: Crimson Vow (VOW)</t>
        </is>
      </c>
      <c r="I839" s="11" t="inlineStr">
        <is>
          <t>No</t>
        </is>
      </c>
      <c r="J839" s="11" t="n">
        <v>2021</v>
      </c>
      <c r="L839" s="11" t="n">
        <v>1</v>
      </c>
      <c r="M839" s="8">
        <f>L839*G839</f>
        <v/>
      </c>
      <c r="P839" s="9" t="n"/>
    </row>
    <row r="840">
      <c r="A840" s="11" t="inlineStr">
        <is>
          <t>Golgari Signet / Sinete Golgari</t>
        </is>
      </c>
      <c r="B840" s="11" t="inlineStr">
        <is>
          <t>Artifact / Artefato</t>
        </is>
      </c>
      <c r="C840" s="11" t="inlineStr">
        <is>
          <t>Common / Comum</t>
        </is>
      </c>
      <c r="D840" s="11" t="inlineStr">
        <is>
          <t>{1}, {T}: Add {B}{G}. / {1}, {T}: Adicione {B}{G}.</t>
        </is>
      </c>
      <c r="E840" s="11" t="inlineStr">
        <is>
          <t>{2}</t>
        </is>
      </c>
      <c r="F840" s="11" t="inlineStr">
        <is>
          <t>Incolor</t>
        </is>
      </c>
      <c r="G840" s="8" t="n">
        <v>2.64</v>
      </c>
      <c r="H840" s="11" t="inlineStr">
        <is>
          <t>Masters 25 (A25)</t>
        </is>
      </c>
      <c r="I840" s="11" t="inlineStr">
        <is>
          <t>No</t>
        </is>
      </c>
      <c r="J840" s="11" t="n">
        <v>2018</v>
      </c>
      <c r="L840" s="11" t="n">
        <v>1</v>
      </c>
      <c r="M840" s="8">
        <f>L840*G840</f>
        <v/>
      </c>
      <c r="P840" s="9" t="n"/>
    </row>
    <row r="841">
      <c r="A841" s="11" t="inlineStr">
        <is>
          <t>Ulamog's Crusher / Esmagador de Ulamog</t>
        </is>
      </c>
      <c r="B841" s="11" t="inlineStr">
        <is>
          <t>Creature — Eldrazi / Criatura — Eldrazi</t>
        </is>
      </c>
      <c r="C841" s="11" t="inlineStr">
        <is>
          <t>Common / Comum</t>
        </is>
      </c>
      <c r="D841" s="11" t="inlineStr">
        <is>
          <t>Annihilator 2. Ulamog's Crusher attacks each combat if able. / Aniquilador 2. Esmagador de Ulamog ataca a cada combate, se estiver apto.</t>
        </is>
      </c>
      <c r="E841" s="11" t="inlineStr">
        <is>
          <t>{8}</t>
        </is>
      </c>
      <c r="F841" s="11" t="inlineStr">
        <is>
          <t>Incolor</t>
        </is>
      </c>
      <c r="G841" s="8" t="n">
        <v>0.9</v>
      </c>
      <c r="H841" s="11" t="inlineStr">
        <is>
          <t>Ultimate Masters (UMA)</t>
        </is>
      </c>
      <c r="I841" s="11" t="inlineStr">
        <is>
          <t>No</t>
        </is>
      </c>
      <c r="J841" s="11" t="n">
        <v>2018</v>
      </c>
      <c r="K841" s="10" t="n">
        <v>46242</v>
      </c>
      <c r="L841" s="11" t="n">
        <v>1</v>
      </c>
      <c r="M841" s="8">
        <f>L841*G841</f>
        <v/>
      </c>
      <c r="P841" s="9" t="n"/>
    </row>
    <row r="842">
      <c r="A842" s="11" t="inlineStr">
        <is>
          <t>Assembly-Worker / Operário de Linha de Montagem</t>
        </is>
      </c>
      <c r="B842" s="11" t="inlineStr">
        <is>
          <t>Artifact Creature — Assembly-Worker / Criatura Artefato — Operário de Linha de Montagem</t>
        </is>
      </c>
      <c r="C842" s="11" t="inlineStr">
        <is>
          <t>Common / Comum</t>
        </is>
      </c>
      <c r="D842" s="11" t="inlineStr">
        <is>
          <t>{T}: Target Assembly-Worker creature gets +1/+1 until end of turn. / {T}: A criatura Operário de Linha de Montagem alvo recebe +1/+1 até o final do turno.</t>
        </is>
      </c>
      <c r="E842" s="11" t="inlineStr">
        <is>
          <t>{3}</t>
        </is>
      </c>
      <c r="F842" s="11" t="inlineStr">
        <is>
          <t>Incolor</t>
        </is>
      </c>
      <c r="G842" s="8" t="n">
        <v>0.17</v>
      </c>
      <c r="H842" s="11" t="inlineStr">
        <is>
          <t>Jumpstart 2022 (J22)</t>
        </is>
      </c>
      <c r="I842" s="11" t="inlineStr">
        <is>
          <t>No</t>
        </is>
      </c>
      <c r="J842" s="11" t="n">
        <v>2022</v>
      </c>
      <c r="K842" s="10" t="n">
        <v>46055</v>
      </c>
      <c r="L842" s="11" t="n">
        <v>1</v>
      </c>
      <c r="M842" s="8">
        <f>L842*G842</f>
        <v/>
      </c>
      <c r="P842" s="9" t="n"/>
    </row>
    <row r="843">
      <c r="A843" s="11" t="inlineStr">
        <is>
          <t>Estante Suspeita / Suspicious Bookcase</t>
        </is>
      </c>
      <c r="B843" s="11" t="inlineStr">
        <is>
          <t>Artifact Creature — Wall / Criatura Artefato — Barreira</t>
        </is>
      </c>
      <c r="C843" s="11" t="inlineStr">
        <is>
          <t>Uncommon / Incomum</t>
        </is>
      </c>
      <c r="D843" s="11" t="inlineStr">
        <is>
          <t>Defender. {3}, {T}: Target creature can't be blocked this turn. / Defensor. {3}, {T}: A criatura alvo não pode ser bloqueada neste turno.</t>
        </is>
      </c>
      <c r="E843" s="11" t="inlineStr">
        <is>
          <t>{2}</t>
        </is>
      </c>
      <c r="F843" s="11" t="inlineStr">
        <is>
          <t>Incolor</t>
        </is>
      </c>
      <c r="G843" s="8" t="n">
        <v>0.12</v>
      </c>
      <c r="H843" s="11" t="inlineStr">
        <is>
          <t>Streets of New Capenna (SNC)</t>
        </is>
      </c>
      <c r="I843" s="11" t="inlineStr">
        <is>
          <t>No</t>
        </is>
      </c>
      <c r="J843" s="11" t="n">
        <v>2022</v>
      </c>
      <c r="K843" s="11" t="inlineStr">
        <is>
          <t>0/4</t>
        </is>
      </c>
      <c r="L843" s="11" t="n">
        <v>1</v>
      </c>
      <c r="M843" s="8">
        <f>L843*G843</f>
        <v/>
      </c>
      <c r="P843" s="9" t="n"/>
    </row>
    <row r="844">
      <c r="A844" s="11" t="inlineStr">
        <is>
          <t>Demônio das Profundezas Ancião / Elder Deep-Fiend</t>
        </is>
      </c>
      <c r="B844" s="11" t="inlineStr">
        <is>
          <t>Creature — Eldrazi Octopus / Criatura — Eldrazi Polvo</t>
        </is>
      </c>
      <c r="C844" s="11" t="inlineStr">
        <is>
          <t>Rare / Rara</t>
        </is>
      </c>
      <c r="D844" s="11"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44" s="11" t="inlineStr">
        <is>
          <t>{8}</t>
        </is>
      </c>
      <c r="F844" s="11" t="inlineStr">
        <is>
          <t>Incolor</t>
        </is>
      </c>
      <c r="G844" s="8" t="n">
        <v>0.35</v>
      </c>
      <c r="H844" s="11" t="inlineStr">
        <is>
          <t>Eldritch Moon (EMN)</t>
        </is>
      </c>
      <c r="I844" s="11" t="inlineStr">
        <is>
          <t>No</t>
        </is>
      </c>
      <c r="J844" s="11" t="n">
        <v>2016</v>
      </c>
      <c r="K844" s="10" t="n">
        <v>46178</v>
      </c>
      <c r="L844" s="11" t="n">
        <v>1</v>
      </c>
      <c r="M844" s="8">
        <f>L844*G844</f>
        <v/>
      </c>
      <c r="P844" s="9" t="n"/>
    </row>
    <row r="845">
      <c r="A845" s="11" t="inlineStr">
        <is>
          <t>Massacre Horrendo / Gruesome Slaughter</t>
        </is>
      </c>
      <c r="B845" s="11" t="inlineStr">
        <is>
          <t>Sorcery / Feitiço</t>
        </is>
      </c>
      <c r="C845" s="11" t="inlineStr">
        <is>
          <t>Rare / Rara</t>
        </is>
      </c>
      <c r="D845" s="11"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5" s="11" t="inlineStr">
        <is>
          <t>{6}</t>
        </is>
      </c>
      <c r="F845" s="11" t="inlineStr">
        <is>
          <t>Incolor</t>
        </is>
      </c>
      <c r="G845" s="8" t="n">
        <v>0.14</v>
      </c>
      <c r="H845" s="11" t="inlineStr">
        <is>
          <t>Battle for Zendikar (BFZ)</t>
        </is>
      </c>
      <c r="I845" s="11" t="inlineStr">
        <is>
          <t>No</t>
        </is>
      </c>
      <c r="J845" s="11" t="n">
        <v>2015</v>
      </c>
      <c r="L845" s="11" t="n">
        <v>1</v>
      </c>
      <c r="M845" s="8">
        <f>L845*G845</f>
        <v/>
      </c>
      <c r="P845" s="9" t="n"/>
    </row>
    <row r="846">
      <c r="A846" s="11" t="inlineStr">
        <is>
          <t>Goblin Replica / Réplica de Goblin</t>
        </is>
      </c>
      <c r="B846" s="11" t="inlineStr">
        <is>
          <t>Artifact Creature — Goblin / Criatura Artefato — Goblin</t>
        </is>
      </c>
      <c r="C846" s="11" t="inlineStr">
        <is>
          <t>Common / Comum</t>
        </is>
      </c>
      <c r="D846" s="11" t="inlineStr">
        <is>
          <t>{3}{R}, Sacrifice Goblin Replica: Destroy target artifact. / {3}{R}, Sacrifique Réplica de Goblin: Destrua o artefato alvo.</t>
        </is>
      </c>
      <c r="E846" s="11" t="inlineStr">
        <is>
          <t>{3}</t>
        </is>
      </c>
      <c r="F846" s="11" t="inlineStr">
        <is>
          <t>Incolor</t>
        </is>
      </c>
      <c r="G846" s="8" t="n">
        <v>0.05</v>
      </c>
      <c r="H846" s="11" t="inlineStr">
        <is>
          <t>Mirrodin (MRD)</t>
        </is>
      </c>
      <c r="I846" s="11" t="inlineStr">
        <is>
          <t>No</t>
        </is>
      </c>
      <c r="J846" s="11" t="n">
        <v>2003</v>
      </c>
      <c r="K846" s="10" t="n">
        <v>46055</v>
      </c>
      <c r="L846" s="11" t="n">
        <v>1</v>
      </c>
      <c r="M846" s="8">
        <f>L846*G846</f>
        <v/>
      </c>
      <c r="P846" s="9" t="n"/>
    </row>
    <row r="847">
      <c r="A847" s="11" t="inlineStr">
        <is>
          <t>Golens de Garrafa / Bottle Gnomes</t>
        </is>
      </c>
      <c r="B847" s="11" t="inlineStr">
        <is>
          <t>Artifact Creature — Golem / Criatura Artefato — Golem</t>
        </is>
      </c>
      <c r="C847" s="11" t="inlineStr">
        <is>
          <t>Common / Comum</t>
        </is>
      </c>
      <c r="D847" s="11" t="inlineStr">
        <is>
          <t>Trample. When Bottle Gnomes dies, you gain life equal to its power. / Atropelar. Quando Golens de Garrafa morre, você ganha uma quantidade de pontos de vida igual a seu poder.</t>
        </is>
      </c>
      <c r="E847" s="11" t="inlineStr">
        <is>
          <t>{4}</t>
        </is>
      </c>
      <c r="F847" s="11" t="inlineStr">
        <is>
          <t>Incolor</t>
        </is>
      </c>
      <c r="G847" s="8" t="n">
        <v>0.04</v>
      </c>
      <c r="H847" s="11" t="inlineStr">
        <is>
          <t>Modern Horizons 2 (MH2)</t>
        </is>
      </c>
      <c r="I847" s="11" t="inlineStr">
        <is>
          <t>No</t>
        </is>
      </c>
      <c r="J847" s="11" t="n">
        <v>2021</v>
      </c>
      <c r="K847" s="10" t="n">
        <v>46084</v>
      </c>
      <c r="L847" s="11" t="n">
        <v>1</v>
      </c>
      <c r="M847" s="8">
        <f>L847*G847</f>
        <v/>
      </c>
      <c r="P847" s="9" t="n"/>
    </row>
    <row r="848">
      <c r="A848" s="11" t="inlineStr">
        <is>
          <t>Guardião do Tesouro / Treasure Keeper</t>
        </is>
      </c>
      <c r="B848" s="11" t="inlineStr">
        <is>
          <t>Artifact Creature — Construct / Criatura Artefato — Constructo</t>
        </is>
      </c>
      <c r="C848" s="11" t="inlineStr">
        <is>
          <t>Uncommon / Incomum</t>
        </is>
      </c>
      <c r="D848" s="11"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8" s="11" t="inlineStr">
        <is>
          <t>Incolor</t>
        </is>
      </c>
      <c r="G848" s="8" t="n">
        <v>0.06</v>
      </c>
      <c r="H848" s="11" t="inlineStr">
        <is>
          <t>Commander Legends: Battle for Baldur's Gate (CLB)</t>
        </is>
      </c>
      <c r="I848" s="11" t="inlineStr">
        <is>
          <t>No</t>
        </is>
      </c>
      <c r="J848" s="11" t="n">
        <v>2022</v>
      </c>
      <c r="K848" s="10" t="n">
        <v>46084</v>
      </c>
      <c r="L848" s="11" t="n">
        <v>1</v>
      </c>
      <c r="M848" s="8">
        <f>L848*G848</f>
        <v/>
      </c>
      <c r="P848" s="9" t="n"/>
    </row>
    <row r="849">
      <c r="A849" s="11" t="inlineStr">
        <is>
          <t>Estandarte Sultai / Sultai Banner</t>
        </is>
      </c>
      <c r="B849" s="11" t="inlineStr">
        <is>
          <t>Artifact / Artefato</t>
        </is>
      </c>
      <c r="C849" s="11" t="inlineStr">
        <is>
          <t>Common / Comum</t>
        </is>
      </c>
      <c r="D849" s="11" t="inlineStr">
        <is>
          <t>{T}: Add {B}, {G}, or {U}. {B}{G}{U}, {T}, Sacrifice Sultai Banner: Draw a card. / {T}: Adicione {B}, {G} ou {U} à sua reserva de mana. {B}{G}{U}, {T}, Sacrifique Estandarte Sultai: Compre um card.</t>
        </is>
      </c>
      <c r="E849" s="11" t="inlineStr">
        <is>
          <t>{3}</t>
        </is>
      </c>
      <c r="F849" s="11" t="inlineStr">
        <is>
          <t>Incolor</t>
        </is>
      </c>
      <c r="G849" s="8" t="n">
        <v>0.08</v>
      </c>
      <c r="H849" s="11" t="inlineStr">
        <is>
          <t>Khans of Tarkir (KTK)</t>
        </is>
      </c>
      <c r="I849" s="11" t="inlineStr">
        <is>
          <t>No</t>
        </is>
      </c>
      <c r="J849" s="11" t="n">
        <v>2014</v>
      </c>
      <c r="L849" s="11" t="n">
        <v>1</v>
      </c>
      <c r="M849" s="8">
        <f>L849*G849</f>
        <v/>
      </c>
      <c r="P849" s="9" t="n"/>
    </row>
    <row r="850">
      <c r="A850" s="11" t="inlineStr">
        <is>
          <t>Pedregulho Fugitivo / Runaway Boulder</t>
        </is>
      </c>
      <c r="B850" s="11" t="inlineStr">
        <is>
          <t>Artifact / Artefato</t>
        </is>
      </c>
      <c r="C850" s="11" t="inlineStr">
        <is>
          <t>Common / Comum</t>
        </is>
      </c>
      <c r="D850" s="11"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50" s="11" t="inlineStr">
        <is>
          <t>{6}</t>
        </is>
      </c>
      <c r="F850" s="11" t="inlineStr">
        <is>
          <t>Incolor</t>
        </is>
      </c>
      <c r="G850" s="8" t="n">
        <v>0.07000000000000001</v>
      </c>
      <c r="H850" s="11" t="inlineStr">
        <is>
          <t>The Lost Caverns of Ixalan (LCI)</t>
        </is>
      </c>
      <c r="I850" s="11" t="inlineStr">
        <is>
          <t>No</t>
        </is>
      </c>
      <c r="J850" s="11" t="n">
        <v>2023</v>
      </c>
      <c r="L850" s="11" t="n">
        <v>1</v>
      </c>
      <c r="M850" s="8">
        <f>L850*G850</f>
        <v/>
      </c>
      <c r="P850" s="9" t="n"/>
    </row>
    <row r="851">
      <c r="A851" s="11" t="inlineStr">
        <is>
          <t>Tumble Magnet / Ímã de Tumulto</t>
        </is>
      </c>
      <c r="B851" s="11" t="inlineStr">
        <is>
          <t>Artifact / Artefato</t>
        </is>
      </c>
      <c r="C851" s="11" t="inlineStr">
        <is>
          <t>Uncommon / Incomum</t>
        </is>
      </c>
      <c r="D851" s="11"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51" s="11" t="inlineStr">
        <is>
          <t>{3}</t>
        </is>
      </c>
      <c r="F851" s="11" t="inlineStr">
        <is>
          <t>Incolor</t>
        </is>
      </c>
      <c r="G851" s="8" t="n">
        <v>0.03</v>
      </c>
      <c r="H851" s="11" t="inlineStr">
        <is>
          <t>Modern Masters 2015 Edition (MM2)</t>
        </is>
      </c>
      <c r="I851" s="11" t="inlineStr">
        <is>
          <t>No</t>
        </is>
      </c>
      <c r="J851" s="11" t="n">
        <v>2015</v>
      </c>
      <c r="L851" s="11" t="n">
        <v>1</v>
      </c>
      <c r="M851" s="8">
        <f>L851*G851</f>
        <v/>
      </c>
      <c r="P851" s="9" t="n"/>
    </row>
    <row r="852">
      <c r="A852" s="11" t="inlineStr">
        <is>
          <t>Sickleslicer / Fatiador de Foices</t>
        </is>
      </c>
      <c r="B852" s="11" t="inlineStr">
        <is>
          <t>Artifact — Equipment / Artefato — Equipamento</t>
        </is>
      </c>
      <c r="C852" s="11" t="inlineStr">
        <is>
          <t>Common / Comum</t>
        </is>
      </c>
      <c r="D852" s="11"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52" s="11" t="inlineStr">
        <is>
          <t>{3}</t>
        </is>
      </c>
      <c r="F852" s="11" t="inlineStr">
        <is>
          <t>Incolor</t>
        </is>
      </c>
      <c r="G852" s="8" t="n">
        <v>0.03</v>
      </c>
      <c r="H852" s="11" t="inlineStr">
        <is>
          <t>Modern Masters 2015 Edition (MM2)</t>
        </is>
      </c>
      <c r="I852" s="11" t="inlineStr">
        <is>
          <t>No</t>
        </is>
      </c>
      <c r="J852" s="11" t="n">
        <v>2015</v>
      </c>
      <c r="L852" s="11" t="n">
        <v>2</v>
      </c>
      <c r="M852" s="8">
        <f>L852*G852</f>
        <v/>
      </c>
      <c r="P852" s="9" t="n"/>
    </row>
    <row r="853">
      <c r="A853" s="11" t="inlineStr">
        <is>
          <t>Prisma Profético / Prophetic Prism</t>
        </is>
      </c>
      <c r="B853" s="11" t="inlineStr">
        <is>
          <t>Artifact / Artefato</t>
        </is>
      </c>
      <c r="C853" s="11" t="inlineStr">
        <is>
          <t>Common / Comum</t>
        </is>
      </c>
      <c r="D853" s="11" t="inlineStr">
        <is>
          <t>When Prophetic Prism enters the battlefield, draw a card. {1}, {T}: Add one mana of any color. / Quando Prisma Profético entrar no campo de batalha, compre um card. {1}, {T}: Adicione um mana de qualquer cor.</t>
        </is>
      </c>
      <c r="E853" s="11" t="inlineStr">
        <is>
          <t>{2}</t>
        </is>
      </c>
      <c r="F853" s="11" t="inlineStr">
        <is>
          <t>Incolor</t>
        </is>
      </c>
      <c r="G853" s="8" t="n">
        <v>0.2</v>
      </c>
      <c r="H853" s="11" t="inlineStr">
        <is>
          <t>Commander Masters (CMM)</t>
        </is>
      </c>
      <c r="I853" s="11" t="inlineStr">
        <is>
          <t>No</t>
        </is>
      </c>
      <c r="J853" s="11" t="n">
        <v>2023</v>
      </c>
      <c r="L853" s="11" t="n">
        <v>1</v>
      </c>
      <c r="M853" s="8">
        <f>L853*G853</f>
        <v/>
      </c>
      <c r="P853" s="9" t="n"/>
    </row>
    <row r="854">
      <c r="A854" s="11" t="inlineStr">
        <is>
          <t>Ovo de Ouro / Golden Egg</t>
        </is>
      </c>
      <c r="B854" s="11" t="inlineStr">
        <is>
          <t>Artifact — Food / Artefato — Comida</t>
        </is>
      </c>
      <c r="C854" s="11" t="inlineStr">
        <is>
          <t>Common / Comum</t>
        </is>
      </c>
      <c r="D854" s="11"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54" s="11" t="inlineStr">
        <is>
          <t>{2}</t>
        </is>
      </c>
      <c r="F854" s="11" t="inlineStr">
        <is>
          <t>Incolor</t>
        </is>
      </c>
      <c r="G854" s="8" t="n">
        <v>0.06</v>
      </c>
      <c r="H854" s="11" t="inlineStr">
        <is>
          <t>Throne of Eldraine (ELD)</t>
        </is>
      </c>
      <c r="I854" s="11" t="inlineStr">
        <is>
          <t>No</t>
        </is>
      </c>
      <c r="J854" s="11" t="n">
        <v>2019</v>
      </c>
      <c r="L854" s="11" t="n">
        <v>1</v>
      </c>
      <c r="M854" s="8">
        <f>L854*G854</f>
        <v/>
      </c>
      <c r="P854" s="9" t="n"/>
    </row>
    <row r="855">
      <c r="A855" s="11" t="inlineStr">
        <is>
          <t>Friendly Teddy / Ursinho Amigável</t>
        </is>
      </c>
      <c r="B855" s="11" t="inlineStr">
        <is>
          <t>Artifact Creature — Bear Toy / Criatura Artefato — Brinquedo de Urso</t>
        </is>
      </c>
      <c r="C855" s="11" t="inlineStr">
        <is>
          <t>Common / Comum</t>
        </is>
      </c>
      <c r="D855" s="11" t="inlineStr">
        <is>
          <t>When Friendly Teddy dies, each player draws a card. / Quando Ursinho Amigável morre, cada jogador compra um card.</t>
        </is>
      </c>
      <c r="E855" s="11" t="inlineStr">
        <is>
          <t>{2}</t>
        </is>
      </c>
      <c r="F855" s="11" t="inlineStr">
        <is>
          <t>Incolor</t>
        </is>
      </c>
      <c r="G855" s="8" t="n">
        <v>0.05</v>
      </c>
      <c r="H855" s="11" t="inlineStr">
        <is>
          <t>Duskmourn: House of Horror (DSK)</t>
        </is>
      </c>
      <c r="I855" s="11" t="inlineStr">
        <is>
          <t>No</t>
        </is>
      </c>
      <c r="J855" s="11" t="n">
        <v>2024</v>
      </c>
      <c r="K855" s="10" t="n">
        <v>46055</v>
      </c>
      <c r="L855" s="11" t="n">
        <v>1</v>
      </c>
      <c r="M855" s="8">
        <f>L855*G855</f>
        <v/>
      </c>
      <c r="P855" s="9" t="n"/>
    </row>
    <row r="856">
      <c r="A856" s="11" t="inlineStr">
        <is>
          <t>Gleaming Barrier / Barreira Cintilante</t>
        </is>
      </c>
      <c r="B856" s="11" t="inlineStr">
        <is>
          <t>Artifact Creature — Wall / Criatura Artefato — Barreira</t>
        </is>
      </c>
      <c r="C856" s="11" t="inlineStr">
        <is>
          <t>Common / Comum</t>
        </is>
      </c>
      <c r="D856" s="11"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6" s="11" t="inlineStr">
        <is>
          <t>{2}</t>
        </is>
      </c>
      <c r="F856" s="11" t="inlineStr">
        <is>
          <t>Incolor</t>
        </is>
      </c>
      <c r="G856" s="8" t="n">
        <v>0.05</v>
      </c>
      <c r="H856" s="11" t="inlineStr">
        <is>
          <t>Foundations (FDN)</t>
        </is>
      </c>
      <c r="I856" s="11" t="inlineStr">
        <is>
          <t>No</t>
        </is>
      </c>
      <c r="J856" s="11" t="n">
        <v>2024</v>
      </c>
      <c r="K856" s="11" t="inlineStr">
        <is>
          <t>0/4</t>
        </is>
      </c>
      <c r="L856" s="11" t="n">
        <v>1</v>
      </c>
      <c r="M856" s="8">
        <f>L856*G856</f>
        <v/>
      </c>
      <c r="P856" s="9" t="n"/>
    </row>
    <row r="857">
      <c r="A857" s="11" t="inlineStr">
        <is>
          <t>Companheiro do Cartógrafo / Cartographer's Companion</t>
        </is>
      </c>
      <c r="B857" s="11" t="inlineStr">
        <is>
          <t>Artifact Creature — Gnome / Criatura Artefato — Gnomo</t>
        </is>
      </c>
      <c r="C857" s="11" t="inlineStr">
        <is>
          <t>Common / Comum</t>
        </is>
      </c>
      <c r="D857" s="11"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7" s="11" t="inlineStr">
        <is>
          <t>{3}</t>
        </is>
      </c>
      <c r="F857" s="11" t="inlineStr">
        <is>
          <t>Incolor</t>
        </is>
      </c>
      <c r="G857" s="8" t="n">
        <v>0.05</v>
      </c>
      <c r="H857" s="11" t="inlineStr">
        <is>
          <t>The Lost Caverns of Ixalan (LCI)</t>
        </is>
      </c>
      <c r="I857" s="11" t="inlineStr">
        <is>
          <t>No</t>
        </is>
      </c>
      <c r="J857" s="11" t="n">
        <v>2023</v>
      </c>
      <c r="K857" s="10" t="n">
        <v>46024</v>
      </c>
      <c r="L857" s="11" t="n">
        <v>1</v>
      </c>
      <c r="M857" s="8">
        <f>L857*G857</f>
        <v/>
      </c>
      <c r="P857" s="9" t="n"/>
    </row>
    <row r="858">
      <c r="A858" s="11" t="inlineStr">
        <is>
          <t>Zibelina de Bronze / Bronze Sable</t>
        </is>
      </c>
      <c r="B858" s="11" t="inlineStr">
        <is>
          <t>Artifact Creature — Sable / Criatura Artefato — Zibelina</t>
        </is>
      </c>
      <c r="C858" s="11" t="inlineStr">
        <is>
          <t>Common / Comum</t>
        </is>
      </c>
      <c r="D858" s="11" t="inlineStr">
        <is>
          <t>Not found / Não encontrada</t>
        </is>
      </c>
      <c r="E858" s="11" t="inlineStr">
        <is>
          <t>{2}</t>
        </is>
      </c>
      <c r="F858" s="11" t="inlineStr">
        <is>
          <t>Incolor</t>
        </is>
      </c>
      <c r="G858" s="8" t="n">
        <v>0.06</v>
      </c>
      <c r="H858" s="11" t="inlineStr">
        <is>
          <t>Magic 2015 (M15)</t>
        </is>
      </c>
      <c r="I858" s="11" t="inlineStr">
        <is>
          <t>No</t>
        </is>
      </c>
      <c r="J858" s="11" t="n">
        <v>2014</v>
      </c>
      <c r="K858" s="10" t="n">
        <v>46024</v>
      </c>
      <c r="L858" s="11" t="n">
        <v>1</v>
      </c>
      <c r="M858" s="8">
        <f>L858*G858</f>
        <v/>
      </c>
      <c r="P858" s="9" t="n"/>
    </row>
    <row r="859">
      <c r="A859" s="11" t="inlineStr">
        <is>
          <t>Gnomo-bússola / Compass Gnome</t>
        </is>
      </c>
      <c r="B859" s="11" t="inlineStr">
        <is>
          <t>Artifact Creature — Gnome / Criatura Artefato — Gnomo</t>
        </is>
      </c>
      <c r="C859" s="11" t="inlineStr">
        <is>
          <t>Common / Comum</t>
        </is>
      </c>
      <c r="D859" s="11"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9" s="11" t="inlineStr">
        <is>
          <t>{2}</t>
        </is>
      </c>
      <c r="F859" s="11" t="inlineStr">
        <is>
          <t>Incolor</t>
        </is>
      </c>
      <c r="G859" s="8" t="n">
        <v>0.05</v>
      </c>
      <c r="H859" s="11" t="inlineStr">
        <is>
          <t>The Lost Caverns of Ixalan (LCI)</t>
        </is>
      </c>
      <c r="I859" s="11" t="inlineStr">
        <is>
          <t>No</t>
        </is>
      </c>
      <c r="J859" s="11" t="n">
        <v>2023</v>
      </c>
      <c r="K859" s="10" t="n">
        <v>46024</v>
      </c>
      <c r="L859" s="11" t="n">
        <v>1</v>
      </c>
      <c r="M859" s="8">
        <f>L859*G859</f>
        <v/>
      </c>
      <c r="P859" s="9" t="n"/>
    </row>
    <row r="860">
      <c r="A860" s="11" t="inlineStr">
        <is>
          <t>Primal Clay / Argila Primal</t>
        </is>
      </c>
      <c r="B860" s="11" t="inlineStr">
        <is>
          <t>Artifact Creature — Shapeshifter / Criatura Artefato — Metamorfo</t>
        </is>
      </c>
      <c r="C860" s="11" t="inlineStr">
        <is>
          <t>Common / Comum</t>
        </is>
      </c>
      <c r="D860" s="11"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60" s="11" t="inlineStr">
        <is>
          <t>{4}</t>
        </is>
      </c>
      <c r="F860" s="11" t="inlineStr">
        <is>
          <t>Incolor</t>
        </is>
      </c>
      <c r="G860" s="8" t="n">
        <v>0.09</v>
      </c>
      <c r="H860" s="11" t="inlineStr">
        <is>
          <t>Masters 25 (A25)</t>
        </is>
      </c>
      <c r="I860" s="11" t="inlineStr">
        <is>
          <t>No</t>
        </is>
      </c>
      <c r="J860" s="11" t="n">
        <v>2018</v>
      </c>
      <c r="K860" s="11" t="inlineStr">
        <is>
          <t>*/*</t>
        </is>
      </c>
      <c r="L860" s="11" t="n">
        <v>1</v>
      </c>
      <c r="M860" s="8">
        <f>L860*G860</f>
        <v/>
      </c>
      <c r="P860" s="9" t="n"/>
    </row>
    <row r="861">
      <c r="A861" s="11" t="inlineStr">
        <is>
          <t>Colosso Trovão de Aço / Thundersteel Colossus</t>
        </is>
      </c>
      <c r="B861" s="11" t="inlineStr">
        <is>
          <t>Artifact — Vehicle / Artefato — Veículo</t>
        </is>
      </c>
      <c r="C861" s="11" t="inlineStr">
        <is>
          <t>Common / Comum</t>
        </is>
      </c>
      <c r="D861" s="11"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61" s="11" t="inlineStr">
        <is>
          <t>{7}</t>
        </is>
      </c>
      <c r="F861" s="11" t="inlineStr">
        <is>
          <t>Incolor</t>
        </is>
      </c>
      <c r="G861" s="8" t="n">
        <v>0.09</v>
      </c>
      <c r="H861" s="11" t="inlineStr">
        <is>
          <t>Kamigawa: Neon Dynasty (NEO)</t>
        </is>
      </c>
      <c r="I861" s="11" t="inlineStr">
        <is>
          <t>No</t>
        </is>
      </c>
      <c r="J861" s="11" t="n">
        <v>2022</v>
      </c>
      <c r="K861" s="10" t="n">
        <v>46210</v>
      </c>
      <c r="L861" s="11" t="n">
        <v>1</v>
      </c>
      <c r="M861" s="8">
        <f>L861*G861</f>
        <v/>
      </c>
      <c r="P861" s="9" t="n"/>
    </row>
    <row r="862">
      <c r="A862" s="11" t="inlineStr">
        <is>
          <t>Autorreplicante de Mishra / Mishra's Self-Replicator</t>
        </is>
      </c>
      <c r="B862" s="11" t="inlineStr">
        <is>
          <t>Artifact Creature — Assembly-Worker / Criatura Artefato — Operário de Linha de Montagem</t>
        </is>
      </c>
      <c r="C862" s="11" t="inlineStr">
        <is>
          <t>Rare / Rara</t>
        </is>
      </c>
      <c r="D862" s="11"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62" s="11" t="inlineStr">
        <is>
          <t>{5}</t>
        </is>
      </c>
      <c r="F862" s="11" t="inlineStr">
        <is>
          <t>Incolor</t>
        </is>
      </c>
      <c r="G862" s="8" t="n">
        <v>0.25</v>
      </c>
      <c r="H862" s="11" t="inlineStr">
        <is>
          <t>Dominaria (DOM)</t>
        </is>
      </c>
      <c r="I862" s="11" t="inlineStr">
        <is>
          <t>No</t>
        </is>
      </c>
      <c r="J862" s="11" t="n">
        <v>2018</v>
      </c>
      <c r="K862" s="10" t="n">
        <v>46055</v>
      </c>
      <c r="L862" s="11" t="n">
        <v>1</v>
      </c>
      <c r="M862" s="8">
        <f>L862*G862</f>
        <v/>
      </c>
      <c r="P862" s="9" t="n"/>
    </row>
    <row r="863">
      <c r="A863" s="11" t="inlineStr">
        <is>
          <t>Lente de Aumento / Magnifying Glass</t>
        </is>
      </c>
      <c r="B863" s="11" t="inlineStr">
        <is>
          <t>Artifact / Artefato</t>
        </is>
      </c>
      <c r="C863" s="11" t="inlineStr">
        <is>
          <t>Common / Comum</t>
        </is>
      </c>
      <c r="D863" s="11" t="inlineStr">
        <is>
          <t>{T}: Add {C}. {4}, {T}: Investigate. (Create a Clue token. It's an artifact with “{2}, Sacrifice this artifact: Draw a card.”) / {T}: Adicione {C}. {4}, {T}: Investigue. (Crie uma ficha de Pista. Ela é um artefato com “{2}, Sacrifique este artefato: Compre um card”.)</t>
        </is>
      </c>
      <c r="E863" s="11" t="inlineStr">
        <is>
          <t>{3}</t>
        </is>
      </c>
      <c r="F863" s="11" t="inlineStr">
        <is>
          <t>Incolor</t>
        </is>
      </c>
      <c r="G863" s="8" t="n">
        <v>0.09</v>
      </c>
      <c r="H863" s="11" t="inlineStr">
        <is>
          <t>Murders at Karlov Manor (MKM)</t>
        </is>
      </c>
      <c r="I863" s="11" t="inlineStr">
        <is>
          <t>No</t>
        </is>
      </c>
      <c r="J863" s="11" t="n">
        <v>2024</v>
      </c>
      <c r="L863" s="11" t="n">
        <v>1</v>
      </c>
      <c r="M863" s="8">
        <f>L863*G863</f>
        <v/>
      </c>
      <c r="P863" s="9" t="n"/>
    </row>
    <row r="864">
      <c r="A864" s="11" t="inlineStr">
        <is>
          <t>Pódio dos Heróis / Heroes' Podium</t>
        </is>
      </c>
      <c r="B864" s="11" t="inlineStr">
        <is>
          <t>Legendary Artifact / Artefato Lendário</t>
        </is>
      </c>
      <c r="C864" s="11" t="inlineStr">
        <is>
          <t>Rare / Rara</t>
        </is>
      </c>
      <c r="D864" s="11"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64" s="11" t="inlineStr">
        <is>
          <t>{5}</t>
        </is>
      </c>
      <c r="F864" s="11" t="inlineStr">
        <is>
          <t>Incolor</t>
        </is>
      </c>
      <c r="G864" s="8" t="n">
        <v>0.38</v>
      </c>
      <c r="H864" s="11" t="inlineStr">
        <is>
          <t>Born of the Gods (BNG)</t>
        </is>
      </c>
      <c r="I864" s="11" t="inlineStr">
        <is>
          <t>No</t>
        </is>
      </c>
      <c r="J864" s="11" t="n">
        <v>2014</v>
      </c>
      <c r="L864" s="11" t="n">
        <v>1</v>
      </c>
      <c r="M864" s="8">
        <f>L864*G864</f>
        <v/>
      </c>
      <c r="P864" s="9" t="n"/>
    </row>
    <row r="865">
      <c r="A865" s="11" t="inlineStr">
        <is>
          <t>Starforged Sword / Espada Forjada pelas Estrelas</t>
        </is>
      </c>
      <c r="B865" s="11" t="inlineStr">
        <is>
          <t>Artifact — Equipment / Artefato — Equipamento</t>
        </is>
      </c>
      <c r="C865" s="11" t="inlineStr">
        <is>
          <t>Uncommon / Incomum</t>
        </is>
      </c>
      <c r="D865" s="11"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5" s="11" t="inlineStr">
        <is>
          <t>{4}</t>
        </is>
      </c>
      <c r="F865" s="11" t="inlineStr">
        <is>
          <t>Incolor</t>
        </is>
      </c>
      <c r="G865" s="8" t="n">
        <v>0.1</v>
      </c>
      <c r="H865" s="11" t="inlineStr">
        <is>
          <t>Bloomburrow (BLB)</t>
        </is>
      </c>
      <c r="I865" s="11" t="inlineStr">
        <is>
          <t>No</t>
        </is>
      </c>
      <c r="J865" s="11" t="n">
        <v>2024</v>
      </c>
      <c r="L865" s="11" t="n">
        <v>1</v>
      </c>
      <c r="M865" s="8">
        <f>L865*G865</f>
        <v/>
      </c>
      <c r="P865" s="9" t="n"/>
    </row>
    <row r="866">
      <c r="A866" s="11" t="inlineStr">
        <is>
          <t>Guardian Idol / Ídolo Guardião</t>
        </is>
      </c>
      <c r="B866" s="11" t="inlineStr">
        <is>
          <t>Artifact / Artefato</t>
        </is>
      </c>
      <c r="C866" s="11" t="inlineStr">
        <is>
          <t>Common / Comum</t>
        </is>
      </c>
      <c r="D866" s="11"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6" s="11" t="inlineStr">
        <is>
          <t>{2}</t>
        </is>
      </c>
      <c r="F866" s="11" t="inlineStr">
        <is>
          <t>Incolor</t>
        </is>
      </c>
      <c r="G866" s="8" t="n">
        <v>0.49</v>
      </c>
      <c r="H866" s="11" t="inlineStr">
        <is>
          <t>Iconic Masters (IMA)</t>
        </is>
      </c>
      <c r="I866" s="11" t="inlineStr">
        <is>
          <t>No</t>
        </is>
      </c>
      <c r="J866" s="11" t="n">
        <v>2017</v>
      </c>
      <c r="L866" s="11" t="n">
        <v>1</v>
      </c>
      <c r="M866" s="8">
        <f>L866*G866</f>
        <v/>
      </c>
      <c r="P866" s="9" t="n"/>
    </row>
    <row r="867">
      <c r="A867" s="11" t="inlineStr">
        <is>
          <t>Dizimador das Províncias / Decimator of the Provinces</t>
        </is>
      </c>
      <c r="B867" s="11" t="inlineStr">
        <is>
          <t>Creature — Eldrazi Boar / Criatura — Eldrazi Javali</t>
        </is>
      </c>
      <c r="C867" s="11" t="inlineStr">
        <is>
          <t>Mythic / Mítica</t>
        </is>
      </c>
      <c r="D867" s="11"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7" s="11" t="inlineStr">
        <is>
          <t>{10}</t>
        </is>
      </c>
      <c r="F867" s="11" t="inlineStr">
        <is>
          <t>Incolor</t>
        </is>
      </c>
      <c r="G867" s="8" t="n">
        <v>0.89</v>
      </c>
      <c r="H867" s="11" t="inlineStr">
        <is>
          <t>Eldritch Moon (EMN)</t>
        </is>
      </c>
      <c r="I867" s="11" t="inlineStr">
        <is>
          <t>No</t>
        </is>
      </c>
      <c r="J867" s="11" t="n">
        <v>2016</v>
      </c>
      <c r="K867" s="10" t="n">
        <v>46210</v>
      </c>
      <c r="L867" s="11" t="n">
        <v>1</v>
      </c>
      <c r="M867" s="8">
        <f>L867*G867</f>
        <v/>
      </c>
      <c r="P867" s="9" t="n"/>
    </row>
    <row r="868">
      <c r="A868" s="11" t="inlineStr">
        <is>
          <t>Carrot Cake / Bolo de Cenoura</t>
        </is>
      </c>
      <c r="B868" s="11" t="inlineStr">
        <is>
          <t>Artifact — Food / Artefato — Comida</t>
        </is>
      </c>
      <c r="C868" s="11" t="inlineStr">
        <is>
          <t>Common / Comum</t>
        </is>
      </c>
      <c r="D868" s="11"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8" s="11" t="inlineStr">
        <is>
          <t>{1}{W}</t>
        </is>
      </c>
      <c r="F868" s="11" t="inlineStr">
        <is>
          <t>White / Branca</t>
        </is>
      </c>
      <c r="G868" s="8" t="n">
        <v>0.45</v>
      </c>
      <c r="H868" s="11" t="inlineStr">
        <is>
          <t>Bloomburrow (BLB)</t>
        </is>
      </c>
      <c r="I868" s="11" t="inlineStr">
        <is>
          <t>Sim</t>
        </is>
      </c>
      <c r="J868" s="11" t="n">
        <v>2024</v>
      </c>
      <c r="L868" s="11" t="n">
        <v>4</v>
      </c>
      <c r="M868" s="8">
        <f>L868*G868</f>
        <v/>
      </c>
      <c r="P868" s="9" t="n"/>
    </row>
    <row r="869">
      <c r="A869" s="11" t="inlineStr">
        <is>
          <t>Massacre Horrendo / Gruesome Slaughter</t>
        </is>
      </c>
      <c r="B869" s="11" t="inlineStr">
        <is>
          <t>Sorcery / Feitiço</t>
        </is>
      </c>
      <c r="C869" s="11" t="inlineStr">
        <is>
          <t>Rare / Rara</t>
        </is>
      </c>
      <c r="D869" s="11"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9" s="11" t="inlineStr">
        <is>
          <t>{6}</t>
        </is>
      </c>
      <c r="F869" s="11" t="inlineStr">
        <is>
          <t>Incolor</t>
        </is>
      </c>
      <c r="G869" s="8" t="n">
        <v>0.14</v>
      </c>
      <c r="H869" s="11" t="inlineStr">
        <is>
          <t>Battle for Zendikar (BFZ)</t>
        </is>
      </c>
      <c r="I869" s="11" t="inlineStr">
        <is>
          <t>No</t>
        </is>
      </c>
      <c r="J869" s="11" t="n">
        <v>2015</v>
      </c>
      <c r="L869" s="11" t="n">
        <v>1</v>
      </c>
      <c r="M869" s="8">
        <f>L869*G869</f>
        <v/>
      </c>
      <c r="P869" s="9" t="n"/>
    </row>
    <row r="870">
      <c r="A870" s="11" t="inlineStr">
        <is>
          <t>Kitesail / Velepipa</t>
        </is>
      </c>
      <c r="B870" s="11" t="inlineStr">
        <is>
          <t>Artifact — Equipment / Artefato — Equipamento</t>
        </is>
      </c>
      <c r="C870" s="11" t="inlineStr">
        <is>
          <t>Common / Comum</t>
        </is>
      </c>
      <c r="D870" s="11" t="inlineStr">
        <is>
          <t>Equipped creature gets +1/+0 and has flying. Equip {2} (2: Attach to target creature you control. Equip only as a sorcery.) / A criatura equipada recebe +1/+0 e tem voar. Equipar {2} (2: Anexe à criatura alvo que você controla. Equipe apenas como um feitiço.)</t>
        </is>
      </c>
      <c r="E870" s="11" t="inlineStr">
        <is>
          <t>{2}</t>
        </is>
      </c>
      <c r="F870" s="11" t="inlineStr">
        <is>
          <t>Incolor</t>
        </is>
      </c>
      <c r="G870" s="8" t="n">
        <v>0.03</v>
      </c>
      <c r="H870" s="11" t="inlineStr">
        <is>
          <t>Modern Masters 2015 (MM2)</t>
        </is>
      </c>
      <c r="I870" s="11" t="inlineStr">
        <is>
          <t>No</t>
        </is>
      </c>
      <c r="J870" s="11" t="n">
        <v>2015</v>
      </c>
      <c r="L870" s="11" t="n">
        <v>1</v>
      </c>
      <c r="M870" s="8">
        <f>L870*G870</f>
        <v/>
      </c>
      <c r="P870" s="9" t="n"/>
    </row>
    <row r="871">
      <c r="A871" s="11" t="inlineStr">
        <is>
          <t>Thaumaton Torpedo / Torpedo Taumaton</t>
        </is>
      </c>
      <c r="B871" s="11" t="inlineStr">
        <is>
          <t>Artifact / Artefato</t>
        </is>
      </c>
      <c r="C871" s="11" t="inlineStr">
        <is>
          <t>Common / Comum</t>
        </is>
      </c>
      <c r="D871" s="11"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71" s="11" t="inlineStr">
        <is>
          <t>{1}</t>
        </is>
      </c>
      <c r="F871" s="11" t="inlineStr">
        <is>
          <t>Incolor</t>
        </is>
      </c>
      <c r="G871" s="8" t="n">
        <v>0.06</v>
      </c>
      <c r="H871" s="11" t="inlineStr">
        <is>
          <t>Aether Drift (EOE)</t>
        </is>
      </c>
      <c r="I871" s="11" t="inlineStr">
        <is>
          <t>No</t>
        </is>
      </c>
      <c r="J871" s="11" t="n">
        <v>2025</v>
      </c>
      <c r="L871" s="11" t="n">
        <v>1</v>
      </c>
      <c r="M871" s="8">
        <f>L871*G871</f>
        <v/>
      </c>
      <c r="P871" s="9" t="n"/>
    </row>
    <row r="872">
      <c r="A872" s="11" t="inlineStr">
        <is>
          <t>Quick-Draw Katana / Katana de Saque Rápido</t>
        </is>
      </c>
      <c r="B872" s="11" t="inlineStr">
        <is>
          <t>Artifact — Equipment / Artefato — Equipamento</t>
        </is>
      </c>
      <c r="C872" s="11" t="inlineStr">
        <is>
          <t>Common / Comum</t>
        </is>
      </c>
      <c r="D872" s="11"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72" s="11" t="inlineStr">
        <is>
          <t>{2}</t>
        </is>
      </c>
      <c r="F872" s="11" t="inlineStr">
        <is>
          <t>Incolor</t>
        </is>
      </c>
      <c r="G872" s="8" t="n">
        <v>0.03</v>
      </c>
      <c r="H872" s="11" t="inlineStr">
        <is>
          <t>Foundations (FDN)</t>
        </is>
      </c>
      <c r="I872" s="11" t="inlineStr">
        <is>
          <t>No</t>
        </is>
      </c>
      <c r="J872" s="11" t="n">
        <v>2024</v>
      </c>
      <c r="L872" s="11" t="n">
        <v>1</v>
      </c>
      <c r="M872" s="8">
        <f>L872*G872</f>
        <v/>
      </c>
      <c r="P872" s="9" t="n"/>
    </row>
    <row r="873">
      <c r="A873" s="11" t="inlineStr">
        <is>
          <t>Suprimentos de Reserva / Spare Supplies</t>
        </is>
      </c>
      <c r="B873" s="11" t="inlineStr">
        <is>
          <t>Artifact / Artefato</t>
        </is>
      </c>
      <c r="C873" s="11" t="inlineStr">
        <is>
          <t>Common / Comum</t>
        </is>
      </c>
      <c r="D873" s="11"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73" s="11" t="inlineStr">
        <is>
          <t>{2}</t>
        </is>
      </c>
      <c r="F873" s="11" t="inlineStr">
        <is>
          <t>Incolor</t>
        </is>
      </c>
      <c r="G873" s="8" t="n">
        <v>0.09</v>
      </c>
      <c r="H873" s="11" t="inlineStr">
        <is>
          <t>Zendikar Rising (ZNR)</t>
        </is>
      </c>
      <c r="I873" s="11" t="inlineStr">
        <is>
          <t>No</t>
        </is>
      </c>
      <c r="J873" s="11" t="n">
        <v>2020</v>
      </c>
      <c r="L873" s="11" t="n">
        <v>1</v>
      </c>
      <c r="M873" s="8">
        <f>L873*G873</f>
        <v/>
      </c>
      <c r="P873" s="9" t="n"/>
    </row>
    <row r="874">
      <c r="A874" s="11" t="inlineStr">
        <is>
          <t>Máquina do Tirano / Tyrant's Machine</t>
        </is>
      </c>
      <c r="B874" s="11" t="inlineStr">
        <is>
          <t>Artifact / Artefato</t>
        </is>
      </c>
      <c r="C874" s="11" t="inlineStr">
        <is>
          <t>Common / Comum</t>
        </is>
      </c>
      <c r="D874" s="11" t="inlineStr">
        <is>
          <t>{4}, {T}: Tap target creature. / {4}, {T}: Vire a criatura alvo.</t>
        </is>
      </c>
      <c r="E874" s="11" t="inlineStr">
        <is>
          <t>{2}</t>
        </is>
      </c>
      <c r="F874" s="11" t="inlineStr">
        <is>
          <t>Incolor</t>
        </is>
      </c>
      <c r="G874" s="8" t="n">
        <v>0.06</v>
      </c>
      <c r="H874" s="11" t="inlineStr">
        <is>
          <t>Magic 2015 (M15)</t>
        </is>
      </c>
      <c r="I874" s="11" t="inlineStr">
        <is>
          <t>No</t>
        </is>
      </c>
      <c r="J874" s="11" t="n">
        <v>2014</v>
      </c>
      <c r="L874" s="11" t="n">
        <v>1</v>
      </c>
      <c r="M874" s="8">
        <f>L874*G874</f>
        <v/>
      </c>
      <c r="P874" s="9" t="n"/>
    </row>
    <row r="875">
      <c r="A875" s="11" t="inlineStr">
        <is>
          <t>Darksteel Pendant / Pingente de Aço Negro</t>
        </is>
      </c>
      <c r="B875" s="11" t="inlineStr">
        <is>
          <t>Artifact / Artefato</t>
        </is>
      </c>
      <c r="C875" s="11" t="inlineStr">
        <is>
          <t>Common / Comum</t>
        </is>
      </c>
      <c r="D875" s="11"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5" s="11" t="inlineStr">
        <is>
          <t>{2}</t>
        </is>
      </c>
      <c r="F875" s="11" t="inlineStr">
        <is>
          <t>Incolor</t>
        </is>
      </c>
      <c r="G875" s="8" t="n">
        <v>0.2</v>
      </c>
      <c r="H875" s="11" t="inlineStr">
        <is>
          <t>Darksteel</t>
        </is>
      </c>
      <c r="I875" s="11" t="inlineStr">
        <is>
          <t>No</t>
        </is>
      </c>
      <c r="J875" s="11" t="n">
        <v>2004</v>
      </c>
      <c r="L875" s="11" t="n">
        <v>1</v>
      </c>
      <c r="M875" s="8">
        <f>L875*G875</f>
        <v/>
      </c>
      <c r="P875" s="9" t="n"/>
    </row>
    <row r="876">
      <c r="A876" s="11" t="inlineStr">
        <is>
          <t>Osso-marreta / Bone-Scythe</t>
        </is>
      </c>
      <c r="B876" s="11" t="inlineStr">
        <is>
          <t>Artifact — Equipment / Artefato — Equipamento</t>
        </is>
      </c>
      <c r="C876" s="11" t="inlineStr">
        <is>
          <t>Uncommon / Incomum</t>
        </is>
      </c>
      <c r="D876" s="11"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6" s="11" t="inlineStr">
        <is>
          <t>{2}</t>
        </is>
      </c>
      <c r="F876" s="11" t="inlineStr">
        <is>
          <t>Incolor</t>
        </is>
      </c>
      <c r="G876" s="8" t="n">
        <v>0.09</v>
      </c>
      <c r="H876" s="11" t="inlineStr">
        <is>
          <t>Modern Horizons 2 (MH2)</t>
        </is>
      </c>
      <c r="I876" s="11" t="inlineStr">
        <is>
          <t>No</t>
        </is>
      </c>
      <c r="J876" s="11" t="n">
        <v>2021</v>
      </c>
      <c r="L876" s="11" t="n">
        <v>1</v>
      </c>
      <c r="M876" s="8">
        <f>L876*G876</f>
        <v/>
      </c>
      <c r="P876" s="9" t="n"/>
    </row>
    <row r="877">
      <c r="A877" s="11" t="inlineStr">
        <is>
          <t>Monoscele / Monoskelion</t>
        </is>
      </c>
      <c r="B877" s="11" t="inlineStr">
        <is>
          <t>Artifact Creature — Construct / Criatura Artefato — Constructo</t>
        </is>
      </c>
      <c r="C877" s="11" t="inlineStr">
        <is>
          <t>Uncommon / Incomum</t>
        </is>
      </c>
      <c r="D877" s="11"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7" s="11" t="inlineStr">
        <is>
          <t>{2}</t>
        </is>
      </c>
      <c r="F877" s="11" t="inlineStr">
        <is>
          <t>Incolor</t>
        </is>
      </c>
      <c r="G877" s="8" t="n">
        <v>0.04</v>
      </c>
      <c r="H877" s="11" t="inlineStr">
        <is>
          <t>Modern Horizons 2 (MH2)</t>
        </is>
      </c>
      <c r="I877" s="11" t="inlineStr">
        <is>
          <t>No</t>
        </is>
      </c>
      <c r="J877" s="11" t="n">
        <v>2021</v>
      </c>
      <c r="K877" s="10" t="n">
        <v>46023</v>
      </c>
      <c r="L877" s="11" t="n">
        <v>1</v>
      </c>
      <c r="M877" s="8">
        <f>L877*G877</f>
        <v/>
      </c>
      <c r="P877" s="9" t="n"/>
    </row>
    <row r="878">
      <c r="A878" s="11" t="inlineStr">
        <is>
          <t>Adventurous Eater / Devorador Aventureiro</t>
        </is>
      </c>
      <c r="B878" s="11" t="inlineStr">
        <is>
          <t>Creature — Human Warlock / Criatura — Humano Bruxo</t>
        </is>
      </c>
      <c r="C878" s="11" t="inlineStr">
        <is>
          <t>Common / Comum</t>
        </is>
      </c>
      <c r="D878" s="11" t="inlineStr">
        <is>
          <t>This creature enters prepared. (While it's prepared, you may cast a copy of its spell. Doing so unprepares it.) / Esta criatura entra preparada. (Enquanto ela estiver preparada, você pode conjurar uma cópia de sua mágica. Fazer isso a despara.)</t>
        </is>
      </c>
      <c r="E878" s="11" t="inlineStr">
        <is>
          <t>{2}{B}</t>
        </is>
      </c>
      <c r="F878" s="11" t="inlineStr">
        <is>
          <t>Preto</t>
        </is>
      </c>
      <c r="G878" s="8" t="n">
        <v>0.09</v>
      </c>
      <c r="H878" s="11" t="inlineStr">
        <is>
          <t>Shadows of Sothia (SOS)</t>
        </is>
      </c>
      <c r="I878" s="11" t="inlineStr">
        <is>
          <t>No</t>
        </is>
      </c>
      <c r="J878" s="11" t="n">
        <v>2026</v>
      </c>
      <c r="K878" s="10" t="n">
        <v>46056</v>
      </c>
      <c r="L878" s="11" t="n">
        <v>1</v>
      </c>
      <c r="M878" s="8">
        <f>L878*G878</f>
        <v/>
      </c>
      <c r="P878" s="9" t="n"/>
    </row>
    <row r="879">
      <c r="A879" s="11" t="inlineStr">
        <is>
          <t>Burrog Banemaker / Criador de Maldições Burrog</t>
        </is>
      </c>
      <c r="B879" s="11" t="inlineStr">
        <is>
          <t>Creature — Frog Warlock / Criatura — Sapo Bruxo</t>
        </is>
      </c>
      <c r="C879" s="11" t="inlineStr">
        <is>
          <t>Common / Comum</t>
        </is>
      </c>
      <c r="D879" s="11" t="inlineStr">
        <is>
          <t>Deathtouch. {1}{B}: This creature gets +1/+1 until end of turn. / Toque mortífero. {1}{B}: Esta criatura recebe +1/+1 até o final do turno.</t>
        </is>
      </c>
      <c r="E879" s="11" t="inlineStr">
        <is>
          <t>{B}</t>
        </is>
      </c>
      <c r="F879" s="11" t="inlineStr">
        <is>
          <t>Preto</t>
        </is>
      </c>
      <c r="G879" s="8" t="n">
        <v>0.08</v>
      </c>
      <c r="H879" s="11" t="inlineStr">
        <is>
          <t>Shadows of Sothia (SOS)</t>
        </is>
      </c>
      <c r="I879" s="11" t="inlineStr">
        <is>
          <t>No</t>
        </is>
      </c>
      <c r="J879" s="11" t="n">
        <v>2026</v>
      </c>
      <c r="K879" s="10" t="n">
        <v>46023</v>
      </c>
      <c r="L879" s="11" t="n">
        <v>3</v>
      </c>
      <c r="M879" s="8">
        <f>L879*G879</f>
        <v/>
      </c>
      <c r="P879" s="9" t="n"/>
    </row>
    <row r="880">
      <c r="A880" s="11" t="inlineStr">
        <is>
          <t>End of the Hunt / Fim da Caçada</t>
        </is>
      </c>
      <c r="B880" s="11" t="inlineStr">
        <is>
          <t>Sorcery / Feitiço</t>
        </is>
      </c>
      <c r="C880" s="11" t="inlineStr">
        <is>
          <t>Uncommon / Incomum</t>
        </is>
      </c>
      <c r="D880" s="11"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80" s="11" t="inlineStr">
        <is>
          <t>{1}{B}</t>
        </is>
      </c>
      <c r="F880" s="11" t="inlineStr">
        <is>
          <t>Preto</t>
        </is>
      </c>
      <c r="G880" s="8" t="n">
        <v>0.25</v>
      </c>
      <c r="H880" s="11" t="inlineStr">
        <is>
          <t>Shadows of Sothia (SOS)</t>
        </is>
      </c>
      <c r="I880" s="11" t="inlineStr">
        <is>
          <t>No</t>
        </is>
      </c>
      <c r="J880" s="11" t="n">
        <v>2026</v>
      </c>
      <c r="L880" s="11" t="n">
        <v>1</v>
      </c>
      <c r="M880" s="8">
        <f>L880*G880</f>
        <v/>
      </c>
      <c r="P880" s="9" t="n"/>
    </row>
    <row r="881">
      <c r="A881" s="11" t="inlineStr">
        <is>
          <t>Masterful Flourish / Floreio Magistral</t>
        </is>
      </c>
      <c r="B881" s="11" t="inlineStr">
        <is>
          <t>Instant / Instantânea</t>
        </is>
      </c>
      <c r="C881" s="11" t="inlineStr">
        <is>
          <t>Common / Comum</t>
        </is>
      </c>
      <c r="D881" s="11"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81" s="11" t="inlineStr">
        <is>
          <t>{B}</t>
        </is>
      </c>
      <c r="F881" s="11" t="inlineStr">
        <is>
          <t>Preto</t>
        </is>
      </c>
      <c r="G881" s="8" t="n">
        <v>0.09</v>
      </c>
      <c r="H881" s="11" t="inlineStr">
        <is>
          <t>Shadows of Sothia (SOS)</t>
        </is>
      </c>
      <c r="I881" s="11" t="inlineStr">
        <is>
          <t>No</t>
        </is>
      </c>
      <c r="J881" s="11" t="n">
        <v>2026</v>
      </c>
      <c r="L881" s="11" t="n">
        <v>1</v>
      </c>
      <c r="M881" s="8">
        <f>L881*G881</f>
        <v/>
      </c>
      <c r="P881" s="9" t="n"/>
    </row>
    <row r="882">
      <c r="A882" s="11" t="inlineStr">
        <is>
          <t>Sneering Shadewriter / Escritor de Sombras Zombeteiro</t>
        </is>
      </c>
      <c r="B882" s="11" t="inlineStr">
        <is>
          <t>Creature — Vampire Warlock / Criatura — Vampiro Bruxo</t>
        </is>
      </c>
      <c r="C882" s="11" t="inlineStr">
        <is>
          <t>Common / Comum</t>
        </is>
      </c>
      <c r="D882" s="11" t="inlineStr">
        <is>
          <t>Flying. When this creature enters, each opponent loses 2 life and you gain 2 life. / Voar. Quando esta criatura entra, cada oponente perde 2 pontos de vida e você ganha 2 pontos de vida.</t>
        </is>
      </c>
      <c r="E882" s="11" t="inlineStr">
        <is>
          <t>{4}{B}</t>
        </is>
      </c>
      <c r="F882" s="11" t="inlineStr">
        <is>
          <t>Preto</t>
        </is>
      </c>
      <c r="G882" s="8" t="n">
        <v>0.09</v>
      </c>
      <c r="H882" s="11" t="inlineStr">
        <is>
          <t>Shadows of Sothia (SOS)</t>
        </is>
      </c>
      <c r="I882" s="11" t="inlineStr">
        <is>
          <t>No</t>
        </is>
      </c>
      <c r="J882" s="11" t="n">
        <v>2026</v>
      </c>
      <c r="K882" s="10" t="n">
        <v>46084</v>
      </c>
      <c r="L882" s="11" t="n">
        <v>1</v>
      </c>
      <c r="M882" s="8">
        <f>L882*G882</f>
        <v/>
      </c>
      <c r="P882" s="9" t="n"/>
    </row>
    <row r="883">
      <c r="A883" s="11" t="inlineStr">
        <is>
          <t>Wander Off / Desviar-se</t>
        </is>
      </c>
      <c r="B883" s="11" t="inlineStr">
        <is>
          <t>Instant / Instantânea</t>
        </is>
      </c>
      <c r="C883" s="11" t="inlineStr">
        <is>
          <t>Common / Comum</t>
        </is>
      </c>
      <c r="D883" s="11" t="inlineStr">
        <is>
          <t>Exile target creature. / Exile a criatura alvo.</t>
        </is>
      </c>
      <c r="E883" s="11" t="inlineStr">
        <is>
          <t>{3}{B}</t>
        </is>
      </c>
      <c r="F883" s="11" t="inlineStr">
        <is>
          <t>Preto</t>
        </is>
      </c>
      <c r="G883" s="8" t="n">
        <v>0.09</v>
      </c>
      <c r="H883" s="11" t="inlineStr">
        <is>
          <t>Shadows of Sothia (SOS)</t>
        </is>
      </c>
      <c r="I883" s="11" t="inlineStr">
        <is>
          <t>No</t>
        </is>
      </c>
      <c r="J883" s="11" t="n">
        <v>2026</v>
      </c>
      <c r="L883" s="11" t="n">
        <v>2</v>
      </c>
      <c r="M883" s="8">
        <f>L883*G883</f>
        <v/>
      </c>
      <c r="P883" s="9" t="n"/>
    </row>
    <row r="884">
      <c r="A884" s="11" t="inlineStr">
        <is>
          <t>Additive Evolution / Evolução Aditiva</t>
        </is>
      </c>
      <c r="B884" s="11" t="inlineStr">
        <is>
          <t>Enchantment / Encantamento</t>
        </is>
      </c>
      <c r="C884" s="11" t="inlineStr">
        <is>
          <t>Uncommon / Incomum</t>
        </is>
      </c>
      <c r="D884" s="11"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84" s="11" t="inlineStr">
        <is>
          <t>{3}{G}{G}</t>
        </is>
      </c>
      <c r="F884" s="11" t="inlineStr">
        <is>
          <t>Green / Verde</t>
        </is>
      </c>
      <c r="G884" s="8" t="n">
        <v>0.19</v>
      </c>
      <c r="H884" s="11" t="inlineStr">
        <is>
          <t>Shadows of Sothia (SOS)</t>
        </is>
      </c>
      <c r="I884" s="11" t="inlineStr">
        <is>
          <t>No</t>
        </is>
      </c>
      <c r="J884" s="11" t="n">
        <v>2026</v>
      </c>
      <c r="L884" s="11" t="n">
        <v>1</v>
      </c>
      <c r="M884" s="8">
        <f>L884*G884</f>
        <v/>
      </c>
      <c r="P884" s="9" t="n"/>
    </row>
    <row r="885">
      <c r="A885" s="11" t="inlineStr">
        <is>
          <t>Efflorescence / Florescência</t>
        </is>
      </c>
      <c r="B885" s="11" t="inlineStr">
        <is>
          <t>Instant / Instantânea</t>
        </is>
      </c>
      <c r="C885" s="11" t="inlineStr">
        <is>
          <t>Common / Comum</t>
        </is>
      </c>
      <c r="D885" s="11"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5" s="11" t="inlineStr">
        <is>
          <t>{2}{G}</t>
        </is>
      </c>
      <c r="F885" s="11" t="inlineStr">
        <is>
          <t>Verde</t>
        </is>
      </c>
      <c r="G885" s="8" t="n">
        <v>0.09</v>
      </c>
      <c r="H885" s="11" t="inlineStr">
        <is>
          <t>Shadows of Sothia (SOS)</t>
        </is>
      </c>
      <c r="I885" s="11" t="inlineStr">
        <is>
          <t>No</t>
        </is>
      </c>
      <c r="J885" s="11" t="n">
        <v>2026</v>
      </c>
      <c r="L885" s="11" t="n">
        <v>1</v>
      </c>
      <c r="M885" s="8">
        <f>L885*G885</f>
        <v/>
      </c>
      <c r="P885" s="9" t="n"/>
    </row>
    <row r="886">
      <c r="A886" s="11" t="inlineStr">
        <is>
          <t>Pestbrood Sloth / Preguiça da Ninhada de Pragas</t>
        </is>
      </c>
      <c r="B886" s="11" t="inlineStr">
        <is>
          <t>Creature — Plant Sloth / Criatura — Planta Preguiça</t>
        </is>
      </c>
      <c r="C886" s="11" t="inlineStr">
        <is>
          <t>Uncommon / Incomum</t>
        </is>
      </c>
      <c r="D886" s="11"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6" s="11" t="inlineStr">
        <is>
          <t>{3}{G}</t>
        </is>
      </c>
      <c r="F886" s="11" t="inlineStr">
        <is>
          <t>Verde</t>
        </is>
      </c>
      <c r="G886" s="8" t="n">
        <v>0.4</v>
      </c>
      <c r="H886" s="11" t="inlineStr">
        <is>
          <t>Shadows of Sothia (SOS)</t>
        </is>
      </c>
      <c r="I886" s="11" t="inlineStr">
        <is>
          <t>Sim</t>
        </is>
      </c>
      <c r="J886" s="11" t="n">
        <v>2026</v>
      </c>
      <c r="K886" s="10" t="n">
        <v>46116</v>
      </c>
      <c r="L886" s="11" t="n">
        <v>1</v>
      </c>
      <c r="M886" s="8">
        <f>L886*G886</f>
        <v/>
      </c>
      <c r="P886" s="9" t="n"/>
    </row>
    <row r="887">
      <c r="A887" s="11" t="inlineStr">
        <is>
          <t>Topiary Lecturer / Conferencista de Topiaria</t>
        </is>
      </c>
      <c r="B887" s="11" t="inlineStr">
        <is>
          <t>Creature — Elf Druid / Criatura — Elfo Druida</t>
        </is>
      </c>
      <c r="C887" s="11" t="inlineStr">
        <is>
          <t>Uncommon / Incomum</t>
        </is>
      </c>
      <c r="D887" s="11"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7" s="11" t="inlineStr">
        <is>
          <t>{2}{G}</t>
        </is>
      </c>
      <c r="F887" s="11" t="inlineStr">
        <is>
          <t>Verde</t>
        </is>
      </c>
      <c r="G887" s="8" t="n">
        <v>0.3</v>
      </c>
      <c r="H887" s="11" t="inlineStr">
        <is>
          <t>Shadows of Sothia (SOS)</t>
        </is>
      </c>
      <c r="I887" s="11" t="inlineStr">
        <is>
          <t>No</t>
        </is>
      </c>
      <c r="J887" s="11" t="n">
        <v>2026</v>
      </c>
      <c r="K887" s="10" t="n">
        <v>46054</v>
      </c>
      <c r="L887" s="11" t="n">
        <v>2</v>
      </c>
      <c r="M887" s="8">
        <f>L887*G887</f>
        <v/>
      </c>
      <c r="P887" s="9" t="n"/>
    </row>
    <row r="888">
      <c r="A888" s="11" t="inlineStr">
        <is>
          <t>Wild Hypothesis / Hipótese Selvagem</t>
        </is>
      </c>
      <c r="B888" s="11" t="inlineStr">
        <is>
          <t>Sorcery / Feitiço</t>
        </is>
      </c>
      <c r="C888" s="11" t="inlineStr">
        <is>
          <t>Common / Comum</t>
        </is>
      </c>
      <c r="D888" s="11"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8" s="11" t="inlineStr">
        <is>
          <t>{X}{G}</t>
        </is>
      </c>
      <c r="F888" s="11" t="inlineStr">
        <is>
          <t>Verde</t>
        </is>
      </c>
      <c r="G888" s="8" t="n">
        <v>0.06</v>
      </c>
      <c r="H888" s="11" t="inlineStr">
        <is>
          <t>Shadows of Sothia (SOS)</t>
        </is>
      </c>
      <c r="I888" s="11" t="inlineStr">
        <is>
          <t>No</t>
        </is>
      </c>
      <c r="J888" s="11" t="n">
        <v>2026</v>
      </c>
      <c r="L888" s="11" t="n">
        <v>1</v>
      </c>
      <c r="M888" s="8">
        <f>L888*G888</f>
        <v/>
      </c>
      <c r="P888" s="9" t="n"/>
    </row>
    <row r="889">
      <c r="A889" s="11" t="inlineStr">
        <is>
          <t>Environmental Scientist / Cientista Ambiental</t>
        </is>
      </c>
      <c r="B889" s="11" t="inlineStr">
        <is>
          <t>Creature — Human Druid / Criatura — Humano Druida</t>
        </is>
      </c>
      <c r="C889" s="11" t="inlineStr">
        <is>
          <t>Uncommon / Incomum</t>
        </is>
      </c>
      <c r="D889" s="11"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9" s="11" t="inlineStr">
        <is>
          <t>{1}{G}</t>
        </is>
      </c>
      <c r="F889" s="11" t="inlineStr">
        <is>
          <t>Verde</t>
        </is>
      </c>
      <c r="G889" s="8" t="n">
        <v>0.17</v>
      </c>
      <c r="H889" s="11" t="inlineStr">
        <is>
          <t>Shadows of Sothia (SOS)</t>
        </is>
      </c>
      <c r="I889" s="11" t="inlineStr">
        <is>
          <t>No</t>
        </is>
      </c>
      <c r="J889" s="11" t="n">
        <v>2026</v>
      </c>
      <c r="K889" s="10" t="n">
        <v>46055</v>
      </c>
      <c r="L889" s="11" t="n">
        <v>1</v>
      </c>
      <c r="M889" s="8">
        <f>L889*G889</f>
        <v/>
      </c>
      <c r="P889" s="9" t="n"/>
    </row>
    <row r="890">
      <c r="A890" s="11" t="inlineStr">
        <is>
          <t>Hungry Graffalon / Graffalon Faminto</t>
        </is>
      </c>
      <c r="B890" s="11" t="inlineStr">
        <is>
          <t>Creature — Giraffe / Criatura — Girafa</t>
        </is>
      </c>
      <c r="C890" s="11" t="inlineStr">
        <is>
          <t>Common / Comum</t>
        </is>
      </c>
      <c r="D890" s="11"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90" s="11" t="inlineStr">
        <is>
          <t>{3}{G}</t>
        </is>
      </c>
      <c r="F890" s="11" t="inlineStr">
        <is>
          <t>Verde</t>
        </is>
      </c>
      <c r="G890" s="8" t="n">
        <v>0.06</v>
      </c>
      <c r="H890" s="11" t="inlineStr">
        <is>
          <t>Shadows of Sothia (SOS)</t>
        </is>
      </c>
      <c r="I890" s="11" t="inlineStr">
        <is>
          <t>No</t>
        </is>
      </c>
      <c r="J890" s="11" t="n">
        <v>2026</v>
      </c>
      <c r="K890" s="10" t="n">
        <v>46115</v>
      </c>
      <c r="L890" s="11" t="n">
        <v>2</v>
      </c>
      <c r="M890" s="8">
        <f>L890*G890</f>
        <v/>
      </c>
      <c r="P890" s="9" t="n"/>
    </row>
    <row r="891">
      <c r="A891" s="11" t="inlineStr">
        <is>
          <t>Noxious Newt / Tritão Nocivo</t>
        </is>
      </c>
      <c r="B891" s="11" t="inlineStr">
        <is>
          <t>Creature — Salamander / Criatura — Salamandra</t>
        </is>
      </c>
      <c r="C891" s="11" t="inlineStr">
        <is>
          <t>Common / Comum</t>
        </is>
      </c>
      <c r="D891" s="11" t="inlineStr">
        <is>
          <t>Deathtouch. {T}: Add {G}. / Toque mortífero. {T}: Adicione {G}.</t>
        </is>
      </c>
      <c r="E891" s="11" t="inlineStr">
        <is>
          <t>{1}{G}</t>
        </is>
      </c>
      <c r="F891" s="11" t="inlineStr">
        <is>
          <t>Verde</t>
        </is>
      </c>
      <c r="G891" s="8" t="n">
        <v>0.1</v>
      </c>
      <c r="H891" s="11" t="inlineStr">
        <is>
          <t>Shadows of Sothia (SOS)</t>
        </is>
      </c>
      <c r="I891" s="11" t="inlineStr">
        <is>
          <t>No</t>
        </is>
      </c>
      <c r="J891" s="11" t="n">
        <v>2026</v>
      </c>
      <c r="K891" s="10" t="n">
        <v>46054</v>
      </c>
      <c r="L891" s="11" t="n">
        <v>3</v>
      </c>
      <c r="M891" s="8">
        <f>L891*G891</f>
        <v/>
      </c>
      <c r="P891" s="9" t="n"/>
    </row>
    <row r="892">
      <c r="A892" s="11" t="inlineStr">
        <is>
          <t>Matterbending Mage / Mago da Modelagem da Matéria</t>
        </is>
      </c>
      <c r="B892" s="11" t="inlineStr">
        <is>
          <t>Creature — Human Wizard / Criatura — Humano Mago</t>
        </is>
      </c>
      <c r="C892" s="11" t="inlineStr">
        <is>
          <t>Uncommon / Incomum</t>
        </is>
      </c>
      <c r="D892" s="11"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92" s="11" t="inlineStr">
        <is>
          <t>{2}{U}</t>
        </is>
      </c>
      <c r="F892" s="11" t="inlineStr">
        <is>
          <t>Azul</t>
        </is>
      </c>
      <c r="G892" s="8" t="n">
        <v>0.21</v>
      </c>
      <c r="H892" s="11" t="inlineStr">
        <is>
          <t>Shadows of Sothia (SOS)</t>
        </is>
      </c>
      <c r="I892" s="11" t="inlineStr">
        <is>
          <t>No</t>
        </is>
      </c>
      <c r="J892" s="11" t="n">
        <v>2026</v>
      </c>
      <c r="K892" s="10" t="n">
        <v>46055</v>
      </c>
      <c r="L892" s="11" t="n">
        <v>1</v>
      </c>
      <c r="M892" s="8">
        <f>L892*G892</f>
        <v/>
      </c>
      <c r="P892" s="9" t="n"/>
    </row>
    <row r="893">
      <c r="A893" s="11" t="inlineStr">
        <is>
          <t>Muse's Encouragement / Incentivo da Musa</t>
        </is>
      </c>
      <c r="B893" s="11" t="inlineStr">
        <is>
          <t>Instant / Instantânea</t>
        </is>
      </c>
      <c r="C893" s="11" t="inlineStr">
        <is>
          <t>Common / Comum</t>
        </is>
      </c>
      <c r="D893" s="11"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93" s="11" t="inlineStr">
        <is>
          <t>{4}{U}</t>
        </is>
      </c>
      <c r="F893" s="11" t="inlineStr">
        <is>
          <t>Azul</t>
        </is>
      </c>
      <c r="G893" s="8" t="n">
        <v>0.06</v>
      </c>
      <c r="H893" s="11" t="inlineStr">
        <is>
          <t>Shadows of Sothia (SOS)</t>
        </is>
      </c>
      <c r="I893" s="11" t="inlineStr">
        <is>
          <t>No</t>
        </is>
      </c>
      <c r="J893" s="11" t="n">
        <v>2026</v>
      </c>
      <c r="L893" s="11" t="n">
        <v>2</v>
      </c>
      <c r="M893" s="8">
        <f>L893*G893</f>
        <v/>
      </c>
      <c r="P893" s="9" t="n"/>
    </row>
    <row r="894">
      <c r="A894" s="11" t="inlineStr">
        <is>
          <t>Quick Study / Estudo Rápido</t>
        </is>
      </c>
      <c r="B894" s="11" t="inlineStr">
        <is>
          <t>Instant / Instantânea</t>
        </is>
      </c>
      <c r="C894" s="11" t="inlineStr">
        <is>
          <t>Common / Comum</t>
        </is>
      </c>
      <c r="D894" s="11" t="inlineStr">
        <is>
          <t>Draw two cards. / Compre dois cards.</t>
        </is>
      </c>
      <c r="E894" s="11" t="inlineStr">
        <is>
          <t>{2}{U}</t>
        </is>
      </c>
      <c r="F894" s="11" t="inlineStr">
        <is>
          <t>Azul</t>
        </is>
      </c>
      <c r="G894" s="8" t="n">
        <v>0.06</v>
      </c>
      <c r="H894" s="11" t="inlineStr">
        <is>
          <t>Shadows of Sothia (SOS)</t>
        </is>
      </c>
      <c r="I894" s="11" t="inlineStr">
        <is>
          <t>No</t>
        </is>
      </c>
      <c r="J894" s="11" t="n">
        <v>2026</v>
      </c>
      <c r="L894" s="11" t="n">
        <v>1</v>
      </c>
      <c r="M894" s="8">
        <f>L894*G894</f>
        <v/>
      </c>
      <c r="P894" s="9" t="n"/>
    </row>
    <row r="895">
      <c r="A895" s="11" t="inlineStr">
        <is>
          <t>Run Behind / Correr Atrás</t>
        </is>
      </c>
      <c r="B895" s="11" t="inlineStr">
        <is>
          <t>Instant / Instantânea</t>
        </is>
      </c>
      <c r="C895" s="11" t="inlineStr">
        <is>
          <t>Common / Comum</t>
        </is>
      </c>
      <c r="D895" s="11"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5" s="11" t="inlineStr">
        <is>
          <t>{3}{U}</t>
        </is>
      </c>
      <c r="F895" s="11" t="inlineStr">
        <is>
          <t>Azul</t>
        </is>
      </c>
      <c r="G895" s="8" t="n">
        <v>0.04</v>
      </c>
      <c r="H895" s="11" t="inlineStr">
        <is>
          <t>Shadows of Sothia (SOS)</t>
        </is>
      </c>
      <c r="I895" s="11" t="inlineStr">
        <is>
          <t>No</t>
        </is>
      </c>
      <c r="J895" s="11" t="n">
        <v>2026</v>
      </c>
      <c r="L895" s="11" t="n">
        <v>2</v>
      </c>
      <c r="M895" s="8">
        <f>L895*G895</f>
        <v/>
      </c>
      <c r="P895" s="9" t="n"/>
    </row>
    <row r="896">
      <c r="A896" s="11" t="inlineStr">
        <is>
          <t>Run Behind / Correr Atrás</t>
        </is>
      </c>
      <c r="B896" s="11" t="inlineStr">
        <is>
          <t>Instant / Instantânea</t>
        </is>
      </c>
      <c r="C896" s="11" t="inlineStr">
        <is>
          <t>Common / Comum</t>
        </is>
      </c>
      <c r="D896" s="11"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6" s="11" t="inlineStr">
        <is>
          <t>{3}{U}</t>
        </is>
      </c>
      <c r="F896" s="11" t="inlineStr">
        <is>
          <t>Azul</t>
        </is>
      </c>
      <c r="G896" s="8" t="n">
        <v>0.2</v>
      </c>
      <c r="H896" s="11" t="inlineStr">
        <is>
          <t>Shadows of Sothia (SOS)</t>
        </is>
      </c>
      <c r="I896" s="11" t="inlineStr">
        <is>
          <t>Sim</t>
        </is>
      </c>
      <c r="J896" s="11" t="n">
        <v>2026</v>
      </c>
      <c r="L896" s="11" t="n">
        <v>1</v>
      </c>
      <c r="M896" s="8">
        <f>L896*G896</f>
        <v/>
      </c>
      <c r="P896" s="9" t="n"/>
    </row>
    <row r="897">
      <c r="A897" s="11" t="inlineStr">
        <is>
          <t>Spellbook Seeker / Buscador de Grimórios</t>
        </is>
      </c>
      <c r="B897" s="11" t="inlineStr">
        <is>
          <t>Creature — Bird Wizard / Criatura — Ave Mago</t>
        </is>
      </c>
      <c r="C897" s="11" t="inlineStr">
        <is>
          <t>Common / Comum</t>
        </is>
      </c>
      <c r="D897" s="11"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7" s="11" t="inlineStr">
        <is>
          <t>{3}{U}</t>
        </is>
      </c>
      <c r="F897" s="11" t="inlineStr">
        <is>
          <t>Azul</t>
        </is>
      </c>
      <c r="G897" s="8" t="n">
        <v>0.06</v>
      </c>
      <c r="H897" s="11" t="inlineStr">
        <is>
          <t>Shadows of Sothia (SOS)</t>
        </is>
      </c>
      <c r="I897" s="11" t="inlineStr">
        <is>
          <t>No</t>
        </is>
      </c>
      <c r="J897" s="11" t="n">
        <v>2026</v>
      </c>
      <c r="K897" s="10" t="n">
        <v>46084</v>
      </c>
      <c r="L897" s="11" t="n">
        <v>1</v>
      </c>
      <c r="M897" s="8">
        <f>L897*G897</f>
        <v/>
      </c>
      <c r="P897" s="9" t="n"/>
    </row>
    <row r="898">
      <c r="A898" s="11" t="inlineStr">
        <is>
          <t>Landscape Painter / Pintor de Paisagens</t>
        </is>
      </c>
      <c r="B898" s="11" t="inlineStr">
        <is>
          <t>Creature — Merfolk Wizard / Criatura — Tritão Mago</t>
        </is>
      </c>
      <c r="C898" s="11" t="inlineStr">
        <is>
          <t>Common / Comum</t>
        </is>
      </c>
      <c r="D898" s="11"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8" s="11" t="inlineStr">
        <is>
          <t>{1}{U}</t>
        </is>
      </c>
      <c r="F898" s="11" t="inlineStr">
        <is>
          <t>Azul</t>
        </is>
      </c>
      <c r="G898" s="8" t="n">
        <v>0.04</v>
      </c>
      <c r="H898" s="11" t="inlineStr">
        <is>
          <t>Shadows of Sothia (SOS)</t>
        </is>
      </c>
      <c r="I898" s="11" t="inlineStr">
        <is>
          <t>No</t>
        </is>
      </c>
      <c r="J898" s="11" t="n">
        <v>2026</v>
      </c>
      <c r="K898" s="10" t="n">
        <v>46024</v>
      </c>
      <c r="L898" s="11" t="n">
        <v>3</v>
      </c>
      <c r="M898" s="8">
        <f>L898*G898</f>
        <v/>
      </c>
      <c r="P898" s="9" t="n"/>
    </row>
    <row r="899">
      <c r="A899" s="11" t="inlineStr">
        <is>
          <t>Chase Inspiration / Perseguir a Inspiração</t>
        </is>
      </c>
      <c r="B899" s="11" t="inlineStr">
        <is>
          <t>Instant / Instantânea</t>
        </is>
      </c>
      <c r="C899" s="11" t="inlineStr">
        <is>
          <t>Common / Comum</t>
        </is>
      </c>
      <c r="D899"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9" s="11" t="inlineStr">
        <is>
          <t>{U}</t>
        </is>
      </c>
      <c r="F899" s="11" t="inlineStr">
        <is>
          <t>Azul</t>
        </is>
      </c>
      <c r="G899" s="8" t="n">
        <v>0.06</v>
      </c>
      <c r="H899" s="11" t="inlineStr">
        <is>
          <t>Shadows of Sothia (SOS)</t>
        </is>
      </c>
      <c r="I899" s="11" t="inlineStr">
        <is>
          <t>No</t>
        </is>
      </c>
      <c r="J899" s="11" t="n">
        <v>2026</v>
      </c>
      <c r="L899" s="11" t="n">
        <v>1</v>
      </c>
      <c r="M899" s="8">
        <f>L899*G899</f>
        <v/>
      </c>
      <c r="P899" s="9" t="n"/>
    </row>
    <row r="900">
      <c r="A900" s="11" t="inlineStr">
        <is>
          <t>Encouraging Aviator / Aviador Encorajador</t>
        </is>
      </c>
      <c r="B900" s="11" t="inlineStr">
        <is>
          <t>Creature — Bird Wizard / Criatura — Ave Mago</t>
        </is>
      </c>
      <c r="C900" s="11" t="inlineStr">
        <is>
          <t>Uncommon / Incomum</t>
        </is>
      </c>
      <c r="D900" s="11"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900" s="11" t="inlineStr">
        <is>
          <t>{2}{U}</t>
        </is>
      </c>
      <c r="F900" s="11" t="inlineStr">
        <is>
          <t>Azul</t>
        </is>
      </c>
      <c r="G900" s="8" t="n">
        <v>0.18</v>
      </c>
      <c r="H900" s="11" t="inlineStr">
        <is>
          <t>Shadows of Sothia (SOS)</t>
        </is>
      </c>
      <c r="I900" s="11" t="inlineStr">
        <is>
          <t>No</t>
        </is>
      </c>
      <c r="J900" s="11" t="n">
        <v>2026</v>
      </c>
      <c r="K900" s="10" t="n">
        <v>46083</v>
      </c>
      <c r="L900" s="11" t="n">
        <v>1</v>
      </c>
      <c r="M900" s="8">
        <f>L900*G900</f>
        <v/>
      </c>
      <c r="P900" s="9" t="n"/>
    </row>
    <row r="901">
      <c r="A901" s="11" t="inlineStr">
        <is>
          <t>Hydro-Channeler / Canalizador Hidráulico</t>
        </is>
      </c>
      <c r="B901" s="11" t="inlineStr">
        <is>
          <t>Creature — Merfolk Wizard / Criatura — Tritão Mago</t>
        </is>
      </c>
      <c r="C901" s="11" t="inlineStr">
        <is>
          <t>Common / Comum</t>
        </is>
      </c>
      <c r="D901" s="11"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1" s="11" t="inlineStr">
        <is>
          <t>{1}{U}</t>
        </is>
      </c>
      <c r="F901" s="11" t="inlineStr">
        <is>
          <t>Azul</t>
        </is>
      </c>
      <c r="G901" s="8" t="n">
        <v>0.04</v>
      </c>
      <c r="H901" s="11" t="inlineStr">
        <is>
          <t>Shadows of Sothia (SOS)</t>
        </is>
      </c>
      <c r="I901" s="11" t="inlineStr">
        <is>
          <t>No</t>
        </is>
      </c>
      <c r="J901" s="11" t="n">
        <v>2026</v>
      </c>
      <c r="K901" s="10" t="n">
        <v>46082</v>
      </c>
      <c r="L901" s="11" t="n">
        <v>4</v>
      </c>
      <c r="M901" s="8">
        <f>L901*G901</f>
        <v/>
      </c>
      <c r="P901" s="9" t="n"/>
    </row>
    <row r="902">
      <c r="A902" s="11" t="inlineStr">
        <is>
          <t>Hydro-Channeler / Canalizador Hidráulico</t>
        </is>
      </c>
      <c r="B902" s="11" t="inlineStr">
        <is>
          <t>Creature — Merfolk Wizard / Criatura — Tritão Mago</t>
        </is>
      </c>
      <c r="C902" s="11" t="inlineStr">
        <is>
          <t>Common / Comum</t>
        </is>
      </c>
      <c r="D902" s="11"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2" s="11" t="inlineStr">
        <is>
          <t>{1}{U}</t>
        </is>
      </c>
      <c r="F902" s="11" t="inlineStr">
        <is>
          <t>Azul</t>
        </is>
      </c>
      <c r="G902" s="8" t="n">
        <v>0.2</v>
      </c>
      <c r="H902" s="11" t="inlineStr">
        <is>
          <t>Shadows of Sothia (SOS)</t>
        </is>
      </c>
      <c r="I902" s="11" t="inlineStr">
        <is>
          <t>Sim</t>
        </is>
      </c>
      <c r="J902" s="11" t="n">
        <v>2026</v>
      </c>
      <c r="K902" s="10" t="n">
        <v>46082</v>
      </c>
      <c r="L902" s="11" t="n">
        <v>1</v>
      </c>
      <c r="M902" s="8">
        <f>L902*G902</f>
        <v/>
      </c>
      <c r="P902" s="9" t="n"/>
    </row>
    <row r="903">
      <c r="A903" s="11" t="inlineStr">
        <is>
          <t>Expressive Firedancer / Dançarino de Fogo Expressivo</t>
        </is>
      </c>
      <c r="B903" s="11" t="inlineStr">
        <is>
          <t>Creature — Human Sorcerer / Criatura — Humano Feiticeiro</t>
        </is>
      </c>
      <c r="C903" s="11" t="inlineStr">
        <is>
          <t>Common / Comum</t>
        </is>
      </c>
      <c r="D903" s="11"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903" s="11" t="inlineStr">
        <is>
          <t>{1}{R}</t>
        </is>
      </c>
      <c r="F903" s="11" t="inlineStr">
        <is>
          <t>Vermelho</t>
        </is>
      </c>
      <c r="G903" s="8" t="n">
        <v>0.06</v>
      </c>
      <c r="H903" s="11" t="inlineStr">
        <is>
          <t>Shadows of Sothia (SOS)</t>
        </is>
      </c>
      <c r="I903" s="11" t="inlineStr">
        <is>
          <t>No</t>
        </is>
      </c>
      <c r="J903" s="11" t="n">
        <v>2026</v>
      </c>
      <c r="K903" s="10" t="n">
        <v>46055</v>
      </c>
      <c r="L903" s="11" t="n">
        <v>3</v>
      </c>
      <c r="M903" s="8">
        <f>L903*G903</f>
        <v/>
      </c>
      <c r="P903" s="9" t="n"/>
    </row>
    <row r="904">
      <c r="A904" s="11" t="inlineStr">
        <is>
          <t>Ancestral Anger / Ira Ancestral</t>
        </is>
      </c>
      <c r="B904" s="11" t="inlineStr">
        <is>
          <t>Sorcery / Feitiço</t>
        </is>
      </c>
      <c r="C904" s="11" t="inlineStr">
        <is>
          <t>Common / Comum</t>
        </is>
      </c>
      <c r="D904" s="11"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904" s="11" t="inlineStr">
        <is>
          <t>{R}</t>
        </is>
      </c>
      <c r="F904" s="11" t="inlineStr">
        <is>
          <t>Vermelho</t>
        </is>
      </c>
      <c r="G904" s="8" t="n">
        <v>0.07000000000000001</v>
      </c>
      <c r="H904" s="11" t="inlineStr">
        <is>
          <t>Shadows of Sothia (SOS)</t>
        </is>
      </c>
      <c r="I904" s="11" t="inlineStr">
        <is>
          <t>No</t>
        </is>
      </c>
      <c r="J904" s="11" t="n">
        <v>2026</v>
      </c>
      <c r="L904" s="11" t="n">
        <v>1</v>
      </c>
      <c r="M904" s="8">
        <f>L904*G904</f>
        <v/>
      </c>
      <c r="P904" s="9" t="n"/>
    </row>
    <row r="905">
      <c r="A905" s="11" t="inlineStr">
        <is>
          <t>Duel Tactics / Táticas de Duelo</t>
        </is>
      </c>
      <c r="B905" s="11" t="inlineStr">
        <is>
          <t>Sorcery / Feitiço</t>
        </is>
      </c>
      <c r="C905" s="11" t="inlineStr">
        <is>
          <t>Uncommon / Incomum</t>
        </is>
      </c>
      <c r="D905" s="11"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905" s="11" t="inlineStr">
        <is>
          <t>{R}</t>
        </is>
      </c>
      <c r="F905" s="11" t="inlineStr">
        <is>
          <t>Vermelho</t>
        </is>
      </c>
      <c r="G905" s="8" t="n">
        <v>1.45</v>
      </c>
      <c r="H905" s="11" t="inlineStr">
        <is>
          <t>Shadows of Sothia (SOS)</t>
        </is>
      </c>
      <c r="I905" s="11" t="inlineStr">
        <is>
          <t>Sim</t>
        </is>
      </c>
      <c r="J905" s="11" t="n">
        <v>2026</v>
      </c>
      <c r="L905" s="11" t="n">
        <v>1</v>
      </c>
      <c r="M905" s="8">
        <f>L905*G905</f>
        <v/>
      </c>
      <c r="P905" s="9" t="n"/>
    </row>
    <row r="906">
      <c r="A906" s="11" t="inlineStr">
        <is>
          <t>Strife Scholar / Erudito do Conflito</t>
        </is>
      </c>
      <c r="B906" s="11" t="inlineStr">
        <is>
          <t>Creature — Orc Sorcerer / Criatura — Orc Feiticeiro</t>
        </is>
      </c>
      <c r="C906" s="11" t="inlineStr">
        <is>
          <t>Common / Comum</t>
        </is>
      </c>
      <c r="D906" s="11"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6" s="11" t="inlineStr">
        <is>
          <t>{2}{R}</t>
        </is>
      </c>
      <c r="F906" s="11" t="inlineStr">
        <is>
          <t>Vermelho</t>
        </is>
      </c>
      <c r="G906" s="8" t="n">
        <v>0.32</v>
      </c>
      <c r="H906" s="11" t="inlineStr">
        <is>
          <t>Shadows of Sothia (SOS)</t>
        </is>
      </c>
      <c r="I906" s="11" t="inlineStr">
        <is>
          <t>Sim</t>
        </is>
      </c>
      <c r="J906" s="11" t="n">
        <v>2026</v>
      </c>
      <c r="K906" s="10" t="n">
        <v>46056</v>
      </c>
      <c r="L906" s="11" t="n">
        <v>1</v>
      </c>
      <c r="M906" s="8">
        <f>L906*G906</f>
        <v/>
      </c>
      <c r="P906" s="9" t="n"/>
    </row>
    <row r="907">
      <c r="A907" s="11" t="inlineStr">
        <is>
          <t>Strife Scholar / Erudito do Conflito</t>
        </is>
      </c>
      <c r="B907" s="11" t="inlineStr">
        <is>
          <t>Creature — Orc Sorcerer / Criatura — Orc Feiticeiro</t>
        </is>
      </c>
      <c r="C907" s="11" t="inlineStr">
        <is>
          <t>Common / Comum</t>
        </is>
      </c>
      <c r="D907" s="11"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7" s="11" t="inlineStr">
        <is>
          <t>{2}{R}</t>
        </is>
      </c>
      <c r="F907" s="11" t="inlineStr">
        <is>
          <t>Vermelho</t>
        </is>
      </c>
      <c r="G907" s="8" t="n">
        <v>0.06</v>
      </c>
      <c r="H907" s="11" t="inlineStr">
        <is>
          <t>Shadows of Sothia (SOS)</t>
        </is>
      </c>
      <c r="I907" s="11" t="inlineStr">
        <is>
          <t>No</t>
        </is>
      </c>
      <c r="J907" s="11" t="n">
        <v>2026</v>
      </c>
      <c r="K907" s="10" t="n">
        <v>46056</v>
      </c>
      <c r="L907" s="11" t="n">
        <v>1</v>
      </c>
      <c r="M907" s="8">
        <f>L907*G907</f>
        <v/>
      </c>
      <c r="P907" s="9" t="n"/>
    </row>
    <row r="908">
      <c r="A908" s="11" t="inlineStr">
        <is>
          <t>Tome Blast / Explosão de Tomo</t>
        </is>
      </c>
      <c r="B908" s="11" t="inlineStr">
        <is>
          <t>Sorcery / Feitiço</t>
        </is>
      </c>
      <c r="C908" s="11" t="inlineStr">
        <is>
          <t>Common / Comum</t>
        </is>
      </c>
      <c r="D908" s="11"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8" s="11" t="inlineStr">
        <is>
          <t>{1}{R}</t>
        </is>
      </c>
      <c r="F908" s="11" t="inlineStr">
        <is>
          <t>Vermelho</t>
        </is>
      </c>
      <c r="G908" s="8" t="n">
        <v>0.31</v>
      </c>
      <c r="H908" s="11" t="inlineStr">
        <is>
          <t>Shadows of Sothia (SOS)</t>
        </is>
      </c>
      <c r="I908" s="11" t="inlineStr">
        <is>
          <t>Sim</t>
        </is>
      </c>
      <c r="J908" s="11" t="n">
        <v>2026</v>
      </c>
      <c r="L908" s="11" t="n">
        <v>1</v>
      </c>
      <c r="M908" s="8">
        <f>L908*G908</f>
        <v/>
      </c>
      <c r="P908" s="9" t="n"/>
    </row>
    <row r="909">
      <c r="A909" s="11" t="inlineStr">
        <is>
          <t>Unsubtle Mockery / Zombaria Pouco Sutil</t>
        </is>
      </c>
      <c r="B909" s="11" t="inlineStr">
        <is>
          <t>Instant / Instantânea</t>
        </is>
      </c>
      <c r="C909" s="11" t="inlineStr">
        <is>
          <t>Common / Comum</t>
        </is>
      </c>
      <c r="D909" s="11"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9" s="11" t="inlineStr">
        <is>
          <t>{2}{R}</t>
        </is>
      </c>
      <c r="F909" s="11" t="inlineStr">
        <is>
          <t>Vermelho</t>
        </is>
      </c>
      <c r="G909" s="8" t="n">
        <v>0.06</v>
      </c>
      <c r="H909" s="11" t="inlineStr">
        <is>
          <t>Shadows of Sothia (SOS)</t>
        </is>
      </c>
      <c r="I909" s="11" t="inlineStr">
        <is>
          <t>No</t>
        </is>
      </c>
      <c r="J909" s="11" t="n">
        <v>2026</v>
      </c>
      <c r="L909" s="11" t="n">
        <v>1</v>
      </c>
      <c r="M909" s="8">
        <f>L909*G909</f>
        <v/>
      </c>
      <c r="P909" s="9" t="n"/>
    </row>
    <row r="910">
      <c r="A910" s="11" t="inlineStr">
        <is>
          <t>Zealous Lorecaster / Transmissor de Conhecimento Zeloso</t>
        </is>
      </c>
      <c r="B910" s="11" t="inlineStr">
        <is>
          <t>Creature — Giant Sorcerer / Criatura — Gigante Feiticeiro</t>
        </is>
      </c>
      <c r="C910" s="11" t="inlineStr">
        <is>
          <t>Common / Comum</t>
        </is>
      </c>
      <c r="D910" s="11" t="inlineStr">
        <is>
          <t>When this creature enters, return target instant or sorcery card from your graveyard to your hand. / Quando esta criatura entra, devolva o card de mágica instantânea ou de feitiço alvo de seu cemitério para sua mão.</t>
        </is>
      </c>
      <c r="E910" s="11" t="inlineStr">
        <is>
          <t>{5}{R}</t>
        </is>
      </c>
      <c r="F910" s="11" t="inlineStr">
        <is>
          <t>Vermelho</t>
        </is>
      </c>
      <c r="G910" s="8" t="n">
        <v>0.06</v>
      </c>
      <c r="H910" s="11" t="inlineStr">
        <is>
          <t>Shadows of Sothia (SOS)</t>
        </is>
      </c>
      <c r="I910" s="11" t="inlineStr">
        <is>
          <t>No</t>
        </is>
      </c>
      <c r="J910" s="11" t="n">
        <v>2026</v>
      </c>
      <c r="K910" s="10" t="n">
        <v>46116</v>
      </c>
      <c r="L910" s="11" t="n">
        <v>2</v>
      </c>
      <c r="M910" s="8">
        <f>L910*G910</f>
        <v/>
      </c>
      <c r="P910" s="9" t="n"/>
    </row>
    <row r="911">
      <c r="A911" s="11" t="inlineStr">
        <is>
          <t>Living History / História Viva</t>
        </is>
      </c>
      <c r="B911" s="11" t="inlineStr">
        <is>
          <t>Enchantment / Encantamento</t>
        </is>
      </c>
      <c r="C911" s="11" t="inlineStr">
        <is>
          <t>Uncommon / Incomum</t>
        </is>
      </c>
      <c r="D911" s="11"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11" s="11" t="inlineStr">
        <is>
          <t>{1}{R}</t>
        </is>
      </c>
      <c r="F911" s="11" t="inlineStr">
        <is>
          <t>Vermelho</t>
        </is>
      </c>
      <c r="G911" s="8" t="n">
        <v>0.14</v>
      </c>
      <c r="H911" s="11" t="inlineStr">
        <is>
          <t>Shadows of Sothia (SOS)</t>
        </is>
      </c>
      <c r="I911" s="11" t="inlineStr">
        <is>
          <t>No</t>
        </is>
      </c>
      <c r="J911" s="11" t="n">
        <v>2026</v>
      </c>
      <c r="L911" s="11" t="n">
        <v>1</v>
      </c>
      <c r="M911" s="8">
        <f>L911*G911</f>
        <v/>
      </c>
      <c r="P911" s="9" t="n"/>
    </row>
    <row r="912">
      <c r="A912" s="11" t="inlineStr">
        <is>
          <t>Seize the Spoils / Aproveitar os Espólios</t>
        </is>
      </c>
      <c r="B912" s="11" t="inlineStr">
        <is>
          <t>Sorcery / Feitiço</t>
        </is>
      </c>
      <c r="C912" s="11" t="inlineStr">
        <is>
          <t>Common / Comum</t>
        </is>
      </c>
      <c r="D912" s="11"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12" s="11" t="inlineStr">
        <is>
          <t>{2}{R}</t>
        </is>
      </c>
      <c r="F912" s="11" t="inlineStr">
        <is>
          <t>Vermelho</t>
        </is>
      </c>
      <c r="G912" s="8" t="n">
        <v>0.06</v>
      </c>
      <c r="H912" s="11" t="inlineStr">
        <is>
          <t>Shadows of Sothia (SOS)</t>
        </is>
      </c>
      <c r="I912" s="11" t="inlineStr">
        <is>
          <t>No</t>
        </is>
      </c>
      <c r="J912" s="11" t="n">
        <v>2026</v>
      </c>
      <c r="L912" s="11" t="n">
        <v>1</v>
      </c>
      <c r="M912" s="8">
        <f>L912*G912</f>
        <v/>
      </c>
      <c r="P912" s="9" t="n"/>
    </row>
    <row r="913">
      <c r="A913" s="11" t="inlineStr">
        <is>
          <t>Garrison Excavator / Escavador da Guarnição</t>
        </is>
      </c>
      <c r="B913" s="11" t="inlineStr">
        <is>
          <t>Creature — Orc Sorcerer / Criatura — Orc Feiticeiro</t>
        </is>
      </c>
      <c r="C913" s="11" t="inlineStr">
        <is>
          <t>Uncommon / Incomum</t>
        </is>
      </c>
      <c r="D913" s="11"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13" s="11" t="inlineStr">
        <is>
          <t>{3}{R}</t>
        </is>
      </c>
      <c r="F913" s="11" t="inlineStr">
        <is>
          <t>Vermelho</t>
        </is>
      </c>
      <c r="G913" s="8" t="n">
        <v>0.18</v>
      </c>
      <c r="H913" s="11" t="inlineStr">
        <is>
          <t>Shadows of Sothia (SOS)</t>
        </is>
      </c>
      <c r="I913" s="11" t="inlineStr">
        <is>
          <t>No</t>
        </is>
      </c>
      <c r="J913" s="11" t="n">
        <v>2026</v>
      </c>
      <c r="K913" s="10" t="n">
        <v>46115</v>
      </c>
      <c r="L913" s="11" t="n">
        <v>1</v>
      </c>
      <c r="M913" s="8">
        <f>L913*G913</f>
        <v/>
      </c>
      <c r="P913" s="9" t="n"/>
    </row>
    <row r="914">
      <c r="A914" s="11" t="inlineStr">
        <is>
          <t>Goblin Glasswright / Vidreiro Goblin</t>
        </is>
      </c>
      <c r="B914" s="11" t="inlineStr">
        <is>
          <t>Creature — Goblin Sorcerer / Criatura — Goblin Feiticeiro</t>
        </is>
      </c>
      <c r="C914" s="11" t="inlineStr">
        <is>
          <t>Common / Comum</t>
        </is>
      </c>
      <c r="D914" s="11"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14" s="11" t="inlineStr">
        <is>
          <t>{1}{R}</t>
        </is>
      </c>
      <c r="F914" s="11" t="inlineStr">
        <is>
          <t>Vermelho</t>
        </is>
      </c>
      <c r="G914" s="8" t="n">
        <v>0.38</v>
      </c>
      <c r="H914" s="11" t="inlineStr">
        <is>
          <t>Shadows of Sothia (SOS)</t>
        </is>
      </c>
      <c r="I914" s="11" t="inlineStr">
        <is>
          <t>Sim</t>
        </is>
      </c>
      <c r="J914" s="11" t="n">
        <v>2026</v>
      </c>
      <c r="K914" s="10" t="n">
        <v>46055</v>
      </c>
      <c r="L914" s="11" t="n">
        <v>1</v>
      </c>
      <c r="M914" s="8">
        <f>L914*G914</f>
        <v/>
      </c>
      <c r="P914" s="9" t="n"/>
    </row>
    <row r="915">
      <c r="A915" s="11" t="inlineStr">
        <is>
          <t>Agadeem Occultist / Ocultista de Agadeem</t>
        </is>
      </c>
      <c r="B915" s="11" t="inlineStr">
        <is>
          <t>Creature — Human Shaman Ally / Criatura — Humano Xamã Aliado</t>
        </is>
      </c>
      <c r="C915" s="11" t="inlineStr">
        <is>
          <t>Rare / Rara</t>
        </is>
      </c>
      <c r="D915" s="11"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15" s="11" t="inlineStr">
        <is>
          <t>{2}{B}</t>
        </is>
      </c>
      <c r="F915" s="11" t="inlineStr">
        <is>
          <t>Preto</t>
        </is>
      </c>
      <c r="G915" s="8" t="n">
        <v>0.9399999999999999</v>
      </c>
      <c r="H915" s="11" t="inlineStr">
        <is>
          <t>Worldwake (WWK)</t>
        </is>
      </c>
      <c r="I915" s="11" t="inlineStr">
        <is>
          <t>Não</t>
        </is>
      </c>
      <c r="J915" s="11" t="n">
        <v>2010</v>
      </c>
      <c r="K915" s="11" t="inlineStr">
        <is>
          <t>0/2</t>
        </is>
      </c>
      <c r="L915" s="11" t="n">
        <v>2</v>
      </c>
      <c r="M915" s="8">
        <f>L915*G915</f>
        <v/>
      </c>
      <c r="P915" s="9" t="n"/>
    </row>
    <row r="916">
      <c r="A916" s="11" t="inlineStr">
        <is>
          <t>Feign Death / Simular Morte</t>
        </is>
      </c>
      <c r="B916" s="11" t="inlineStr">
        <is>
          <t>Instant / Mágica Instantânea</t>
        </is>
      </c>
      <c r="C916" s="11" t="inlineStr">
        <is>
          <t>Common / Comum</t>
        </is>
      </c>
      <c r="D916" s="11"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6" s="11" t="inlineStr">
        <is>
          <t>{B}</t>
        </is>
      </c>
      <c r="F916" s="11" t="inlineStr">
        <is>
          <t>Preto</t>
        </is>
      </c>
      <c r="G916" s="8" t="n">
        <v>2.49</v>
      </c>
      <c r="H916" s="11" t="inlineStr">
        <is>
          <t>Dungeons &amp; Dragons: Adventures in the Forgotten Realms (AFR)</t>
        </is>
      </c>
      <c r="I916" s="11" t="inlineStr">
        <is>
          <t>Não</t>
        </is>
      </c>
      <c r="J916" s="11" t="n">
        <v>2021</v>
      </c>
      <c r="L916" s="11" t="n">
        <v>2</v>
      </c>
      <c r="M916" s="8">
        <f>L916*G916</f>
        <v/>
      </c>
      <c r="P916" s="9" t="n"/>
    </row>
    <row r="917">
      <c r="A917" s="11" t="inlineStr">
        <is>
          <t>Bloodlord of Vaasgoth / Senhor Vampiro de Vaasgoth</t>
        </is>
      </c>
      <c r="B917" s="11" t="inlineStr">
        <is>
          <t>Creature — Vampire Warrior / Criatura — Vampiro Guerreiro</t>
        </is>
      </c>
      <c r="C917" s="11" t="inlineStr">
        <is>
          <t>Mythic Rare / Mítica Rara</t>
        </is>
      </c>
      <c r="D917" s="11"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7" s="11" t="inlineStr">
        <is>
          <t>{3}{B}{B}</t>
        </is>
      </c>
      <c r="F917" s="11" t="inlineStr">
        <is>
          <t>Preto</t>
        </is>
      </c>
      <c r="G917" s="8" t="n">
        <v>1.5</v>
      </c>
      <c r="H917" s="11" t="inlineStr">
        <is>
          <t>Magic 2012 (M12)</t>
        </is>
      </c>
      <c r="I917" s="11" t="inlineStr">
        <is>
          <t>Não</t>
        </is>
      </c>
      <c r="J917" s="11" t="n">
        <v>2011</v>
      </c>
      <c r="K917" s="10" t="n">
        <v>46084</v>
      </c>
      <c r="L917" s="11" t="n">
        <v>1</v>
      </c>
      <c r="M917" s="8">
        <f>L917*G917</f>
        <v/>
      </c>
      <c r="P917" s="9" t="n"/>
    </row>
    <row r="918">
      <c r="A918" s="11" t="inlineStr">
        <is>
          <t>Sling-Gang Lieutenant / Tenente da Gangue Atiradeira</t>
        </is>
      </c>
      <c r="B918" s="11" t="inlineStr">
        <is>
          <t>Creature — Goblin / Criatura — Goblin</t>
        </is>
      </c>
      <c r="C918" s="11" t="inlineStr">
        <is>
          <t>Uncommon / Incomum</t>
        </is>
      </c>
      <c r="D918" s="11"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8" s="11" t="inlineStr">
        <is>
          <t>{3}{B}</t>
        </is>
      </c>
      <c r="F918" s="11" t="inlineStr">
        <is>
          <t>Preto</t>
        </is>
      </c>
      <c r="G918" s="8" t="n">
        <v>0.39</v>
      </c>
      <c r="H918" s="11" t="inlineStr">
        <is>
          <t>Modern Horizons (MH1)</t>
        </is>
      </c>
      <c r="I918" s="11" t="inlineStr">
        <is>
          <t>Não</t>
        </is>
      </c>
      <c r="J918" s="11" t="n">
        <v>2019</v>
      </c>
      <c r="K918" s="10" t="n">
        <v>46023</v>
      </c>
      <c r="L918" s="11" t="n">
        <v>1</v>
      </c>
      <c r="M918" s="8">
        <f>L918*G918</f>
        <v/>
      </c>
      <c r="P918" s="9" t="n"/>
    </row>
    <row r="919">
      <c r="A919" s="11" t="inlineStr">
        <is>
          <t>Hostile Negotiations / Negociações Hostis</t>
        </is>
      </c>
      <c r="B919" s="11" t="inlineStr">
        <is>
          <t>Instant / Mágica Instantânea</t>
        </is>
      </c>
      <c r="C919" s="11" t="inlineStr">
        <is>
          <t>Rare / Rara</t>
        </is>
      </c>
      <c r="D919" s="11"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9" s="11" t="inlineStr">
        <is>
          <t>{3}{B}</t>
        </is>
      </c>
      <c r="F919" s="11" t="inlineStr">
        <is>
          <t>Preto</t>
        </is>
      </c>
      <c r="G919" s="8" t="n">
        <v>0.8</v>
      </c>
      <c r="H919" s="11" t="inlineStr">
        <is>
          <t>A Guerra dos Irmãos</t>
        </is>
      </c>
      <c r="I919" s="11" t="inlineStr">
        <is>
          <t>Não</t>
        </is>
      </c>
      <c r="J919" s="11" t="n">
        <v>2022</v>
      </c>
      <c r="L919" s="11" t="n">
        <v>1</v>
      </c>
      <c r="M919" s="8">
        <f>L919*G919</f>
        <v/>
      </c>
      <c r="P919" s="9" t="n"/>
    </row>
    <row r="920">
      <c r="A920" s="11" t="inlineStr">
        <is>
          <t>Great Hall of the Citadel / Grande Salão da Cidadela</t>
        </is>
      </c>
      <c r="B920" s="11" t="inlineStr">
        <is>
          <t>Land / Terreno</t>
        </is>
      </c>
      <c r="C920" s="11" t="inlineStr">
        <is>
          <t>Common / Comum</t>
        </is>
      </c>
      <c r="D920" s="11" t="inlineStr">
        <is>
          <t>{T}: Add {C}. {1}, {T}: Add two mana in any combination of colors. Spend this mana only to cast legendary spells. / {T}: Adicione {C}. {1}, {T}: Adicione dois manas em qualquer combinação de cores. Gaste este mana somente para conjurar mágicas lendárias.</t>
        </is>
      </c>
      <c r="F920" s="11" t="inlineStr">
        <is>
          <t>Incolor</t>
        </is>
      </c>
      <c r="G920" s="8" t="n">
        <v>0.25</v>
      </c>
      <c r="H920" s="11" t="inlineStr">
        <is>
          <t>The Lord of the Rings: Tales of Middle-earth (LTR)</t>
        </is>
      </c>
      <c r="I920" s="11" t="inlineStr">
        <is>
          <t>Não</t>
        </is>
      </c>
      <c r="J920" s="11" t="n">
        <v>2023</v>
      </c>
      <c r="L920" s="11" t="n">
        <v>1</v>
      </c>
      <c r="M920" s="8">
        <f>L920*G920</f>
        <v/>
      </c>
      <c r="P920" s="9" t="n"/>
    </row>
    <row r="921">
      <c r="A921" s="11" t="inlineStr">
        <is>
          <t>The Grey Havens / Os Portos Cinzentos</t>
        </is>
      </c>
      <c r="B921" s="11" t="inlineStr">
        <is>
          <t>Legendary Land / Terreno Lendário</t>
        </is>
      </c>
      <c r="C921" s="11" t="inlineStr">
        <is>
          <t>Uncommon / Incomum</t>
        </is>
      </c>
      <c r="D921" s="11"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21" s="11" t="inlineStr">
        <is>
          <t>Incolor</t>
        </is>
      </c>
      <c r="G921" s="8" t="n">
        <v>0.75</v>
      </c>
      <c r="H921" s="11" t="inlineStr">
        <is>
          <t>The Lord of the Rings: Tales of Middle-earth (LTR)</t>
        </is>
      </c>
      <c r="I921" s="11" t="inlineStr">
        <is>
          <t>Não</t>
        </is>
      </c>
      <c r="J921" s="11" t="n">
        <v>2023</v>
      </c>
      <c r="L921" s="11" t="n">
        <v>2</v>
      </c>
      <c r="M921" s="8">
        <f>L921*G921</f>
        <v/>
      </c>
      <c r="P921" s="9" t="n"/>
    </row>
    <row r="922">
      <c r="A922" s="11" t="inlineStr">
        <is>
          <t>Bilbo, Retired Burglar / Bilbo, Ladrão Aposentado</t>
        </is>
      </c>
      <c r="B922" s="11" t="inlineStr">
        <is>
          <t>Legendary Creature — Halfling Rogue / Criatura Lendária — Pequenino Ladino</t>
        </is>
      </c>
      <c r="C922" s="11" t="inlineStr">
        <is>
          <t>Uncommon / Incomum</t>
        </is>
      </c>
      <c r="D922" s="11"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22" s="11" t="inlineStr">
        <is>
          <t>{1}{U}{R}</t>
        </is>
      </c>
      <c r="F922" s="11" t="inlineStr">
        <is>
          <t>Azul e Vermelho</t>
        </is>
      </c>
      <c r="G922" s="8" t="n">
        <v>0.2</v>
      </c>
      <c r="H922" s="11" t="inlineStr">
        <is>
          <t>The Lord of the Rings: Tales of Middle-earth (LTR)</t>
        </is>
      </c>
      <c r="I922" s="11" t="inlineStr">
        <is>
          <t>Não</t>
        </is>
      </c>
      <c r="J922" s="11" t="n">
        <v>2023</v>
      </c>
      <c r="K922" s="10" t="n">
        <v>46082</v>
      </c>
      <c r="L922" s="11" t="n">
        <v>1</v>
      </c>
      <c r="M922" s="8">
        <f>L922*G922</f>
        <v/>
      </c>
      <c r="P922" s="9" t="n"/>
    </row>
    <row r="923">
      <c r="A923" s="11" t="inlineStr">
        <is>
          <t>Mirror of Galadriel / Espelho de Galadriel</t>
        </is>
      </c>
      <c r="B923" s="11" t="inlineStr">
        <is>
          <t>Legendary Artifact / Artefato Lendário</t>
        </is>
      </c>
      <c r="C923" s="11" t="inlineStr">
        <is>
          <t>Uncommon / Incomum</t>
        </is>
      </c>
      <c r="D923" s="11" t="inlineStr">
        <is>
          <t>{5}, {T}: Scry 1, then draw a card. This ability costs {1} less to activate for each legendary creature you control. / {5}, {T}: Use vidência 1, depois compre um card. Esta habilidade custa {1} a menos para ser ativada para cada criatura lendária que você controla.</t>
        </is>
      </c>
      <c r="E923" s="11" t="inlineStr">
        <is>
          <t>{2}</t>
        </is>
      </c>
      <c r="F923" s="11" t="inlineStr">
        <is>
          <t>Incolor</t>
        </is>
      </c>
      <c r="G923" s="8" t="n">
        <v>0.15</v>
      </c>
      <c r="H923" s="11" t="inlineStr">
        <is>
          <t>The Lord of the Rings: Tales of Middle-earth (LTR)</t>
        </is>
      </c>
      <c r="I923" s="11" t="inlineStr">
        <is>
          <t>Não</t>
        </is>
      </c>
      <c r="J923" s="11" t="n">
        <v>2023</v>
      </c>
      <c r="L923" s="11" t="n">
        <v>2</v>
      </c>
      <c r="M923" s="8">
        <f>L923*G923</f>
        <v/>
      </c>
      <c r="P923" s="9" t="n"/>
    </row>
    <row r="924">
      <c r="A924" s="11" t="inlineStr">
        <is>
          <t>Friendly Rivalry / Rivalidade Amigável</t>
        </is>
      </c>
      <c r="B924" s="11" t="inlineStr">
        <is>
          <t>Instant / Mágica Instantânea</t>
        </is>
      </c>
      <c r="C924" s="11" t="inlineStr">
        <is>
          <t>Uncommon / Incomum</t>
        </is>
      </c>
      <c r="D924" s="11"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24" s="11" t="inlineStr">
        <is>
          <t>{R}{G}</t>
        </is>
      </c>
      <c r="F924" s="11" t="inlineStr">
        <is>
          <t>Vermelho e Verde</t>
        </is>
      </c>
      <c r="G924" s="8" t="n">
        <v>0.18</v>
      </c>
      <c r="H924" s="11" t="inlineStr">
        <is>
          <t>The Lord of the Rings: Tales of Middle-earth (LTR)</t>
        </is>
      </c>
      <c r="I924" s="11" t="inlineStr">
        <is>
          <t>Não</t>
        </is>
      </c>
      <c r="J924" s="11" t="n">
        <v>2023</v>
      </c>
      <c r="L924" s="11" t="n">
        <v>1</v>
      </c>
      <c r="M924" s="8">
        <f>L924*G924</f>
        <v/>
      </c>
      <c r="P924" s="9" t="n"/>
    </row>
    <row r="925">
      <c r="A925" s="11" t="inlineStr">
        <is>
          <t>Shadowfax, Lord of Horses / Scadufax, Senhor dos Cavalos</t>
        </is>
      </c>
      <c r="B925" s="11" t="inlineStr">
        <is>
          <t>Legendary Creature — Horse / Criatura Lendária — Cavalo</t>
        </is>
      </c>
      <c r="C925" s="11" t="inlineStr">
        <is>
          <t>Uncommon / Incomum</t>
        </is>
      </c>
      <c r="D925" s="11"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25" s="11" t="inlineStr">
        <is>
          <t>{3}{R}{W}</t>
        </is>
      </c>
      <c r="F925" s="11" t="inlineStr">
        <is>
          <t>Vermelho e Branco</t>
        </is>
      </c>
      <c r="G925" s="8" t="n">
        <v>0.25</v>
      </c>
      <c r="H925" s="11" t="inlineStr">
        <is>
          <t>The Lord of the Rings: Tales of Middle-earth (LTR)</t>
        </is>
      </c>
      <c r="I925" s="11" t="inlineStr">
        <is>
          <t>Não</t>
        </is>
      </c>
      <c r="J925" s="11" t="n">
        <v>2023</v>
      </c>
      <c r="K925" s="10" t="n">
        <v>46116</v>
      </c>
      <c r="L925" s="11" t="n">
        <v>1</v>
      </c>
      <c r="M925" s="8">
        <f>L925*G925</f>
        <v/>
      </c>
      <c r="P925" s="9" t="n"/>
    </row>
    <row r="926">
      <c r="A926" s="11" t="inlineStr">
        <is>
          <t>Prince Imrahil the Fair / Príncipe Imrahil, o Belo</t>
        </is>
      </c>
      <c r="B926" s="11" t="inlineStr">
        <is>
          <t>Legendary Creature — Human Noble / Criatura Lendária — Humano Nobre</t>
        </is>
      </c>
      <c r="C926" s="11" t="inlineStr">
        <is>
          <t>Uncommon / Incomum</t>
        </is>
      </c>
      <c r="D926" s="11" t="inlineStr">
        <is>
          <t>Whenever you draw your second card each turn, create a 1/1 white Human Soldier creature token. / Toda vez que você comprar seu segundo card a cada turno, crie uma ficha de criatura Humano Soldado branca 1/1.</t>
        </is>
      </c>
      <c r="E926" s="11" t="inlineStr">
        <is>
          <t>{W}{U}</t>
        </is>
      </c>
      <c r="F926" s="11" t="inlineStr">
        <is>
          <t>Branco e Azul</t>
        </is>
      </c>
      <c r="G926" s="8" t="n">
        <v>0.18</v>
      </c>
      <c r="H926" s="11" t="inlineStr">
        <is>
          <t>The Lord of the Rings: Tales of Middle-earth (LTR)</t>
        </is>
      </c>
      <c r="I926" s="11" t="inlineStr">
        <is>
          <t>Não</t>
        </is>
      </c>
      <c r="J926" s="11" t="n">
        <v>2023</v>
      </c>
      <c r="K926" s="10" t="n">
        <v>46055</v>
      </c>
      <c r="L926" s="11" t="n">
        <v>1</v>
      </c>
      <c r="M926" s="8">
        <f>L926*G926</f>
        <v/>
      </c>
      <c r="P926" s="9" t="n"/>
    </row>
    <row r="927">
      <c r="A927" s="11" t="inlineStr">
        <is>
          <t>Stalwarts of Osgiliath / Destemidos de Osgiliath</t>
        </is>
      </c>
      <c r="B927" s="11" t="inlineStr">
        <is>
          <t>Creature — Human Soldier / Criatura — Humano Soldado</t>
        </is>
      </c>
      <c r="C927" s="11" t="inlineStr">
        <is>
          <t>Common / Comum</t>
        </is>
      </c>
      <c r="D927" s="11"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7" s="11" t="inlineStr">
        <is>
          <t>{4}{W}</t>
        </is>
      </c>
      <c r="F927" s="11" t="inlineStr">
        <is>
          <t>Branco</t>
        </is>
      </c>
      <c r="G927" s="8" t="n">
        <v>0.08</v>
      </c>
      <c r="H927" s="11" t="inlineStr">
        <is>
          <t>The Lord of the Rings: Tales of Middle-earth (LTR)</t>
        </is>
      </c>
      <c r="I927" s="11" t="inlineStr">
        <is>
          <t>Não</t>
        </is>
      </c>
      <c r="J927" s="11" t="n">
        <v>2023</v>
      </c>
      <c r="K927" s="10" t="n">
        <v>46085</v>
      </c>
      <c r="L927" s="11" t="n">
        <v>1</v>
      </c>
      <c r="M927" s="8">
        <f>L927*G927</f>
        <v/>
      </c>
      <c r="P927" s="9" t="n"/>
    </row>
    <row r="928">
      <c r="A928" s="11" t="inlineStr">
        <is>
          <t>Squire of the King / Escudeiro do Rei</t>
        </is>
      </c>
      <c r="B928" s="11" t="inlineStr">
        <is>
          <t>Creature — Human Soldier / Criatura — Humano Soldado</t>
        </is>
      </c>
      <c r="C928" s="11" t="inlineStr">
        <is>
          <t>Common / Comum</t>
        </is>
      </c>
      <c r="D928" s="11"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8" s="11" t="inlineStr">
        <is>
          <t>{W}</t>
        </is>
      </c>
      <c r="F928" s="11" t="inlineStr">
        <is>
          <t>Branco</t>
        </is>
      </c>
      <c r="G928" s="8" t="n">
        <v>0.08</v>
      </c>
      <c r="H928" s="11" t="inlineStr">
        <is>
          <t>The Lord of the Rings: Tales of Middle-earth (LTR)</t>
        </is>
      </c>
      <c r="I928" s="11" t="inlineStr">
        <is>
          <t>Não</t>
        </is>
      </c>
      <c r="J928" s="11" t="n">
        <v>2023</v>
      </c>
      <c r="K928" s="10" t="n">
        <v>46023</v>
      </c>
      <c r="L928" s="11" t="n">
        <v>1</v>
      </c>
      <c r="M928" s="8">
        <f>L928*G928</f>
        <v/>
      </c>
      <c r="P928" s="9" t="n"/>
    </row>
    <row r="929">
      <c r="A929" s="11" t="inlineStr">
        <is>
          <t>Nimble Hobbit / Hobbit Ágil</t>
        </is>
      </c>
      <c r="B929" s="11" t="inlineStr">
        <is>
          <t>Creature — Halfling Peasant / Criatura — Pequenino Plebeu</t>
        </is>
      </c>
      <c r="C929" s="11" t="inlineStr">
        <is>
          <t>Common / Comum</t>
        </is>
      </c>
      <c r="D929" s="11"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9" s="11" t="inlineStr">
        <is>
          <t>{1}{W}</t>
        </is>
      </c>
      <c r="F929" s="11" t="inlineStr">
        <is>
          <t>Branco</t>
        </is>
      </c>
      <c r="G929" s="8" t="n">
        <v>0.08</v>
      </c>
      <c r="H929" s="11" t="inlineStr">
        <is>
          <t>The Lord of the Rings: Tales of Middle-earth (LTR)</t>
        </is>
      </c>
      <c r="I929" s="11" t="inlineStr">
        <is>
          <t>Não</t>
        </is>
      </c>
      <c r="J929" s="11" t="n">
        <v>2023</v>
      </c>
      <c r="K929" s="10" t="n">
        <v>46082</v>
      </c>
      <c r="L929" s="11" t="n">
        <v>1</v>
      </c>
      <c r="M929" s="8">
        <f>L929*G929</f>
        <v/>
      </c>
      <c r="P929" s="9" t="n"/>
    </row>
    <row r="930">
      <c r="A930" s="11" t="inlineStr">
        <is>
          <t>Protector of Gondor / Protetor de Gondor</t>
        </is>
      </c>
      <c r="B930" s="11" t="inlineStr">
        <is>
          <t>Creature — Human Soldier / Criatura — Humano Soldado</t>
        </is>
      </c>
      <c r="C930" s="11" t="inlineStr">
        <is>
          <t>Common / Comum</t>
        </is>
      </c>
      <c r="D930" s="11" t="inlineStr">
        <is>
          <t>When Protector of Gondor enters the battlefield, create a 1/1 white Human Soldier creature token. / Quando Protetor de Gondor entrar no campo de batalha, crie uma ficha de criatura Humano Soldado branca 1/1.</t>
        </is>
      </c>
      <c r="E930" s="11" t="inlineStr">
        <is>
          <t>{3}{W}</t>
        </is>
      </c>
      <c r="F930" s="11" t="inlineStr">
        <is>
          <t>Branco</t>
        </is>
      </c>
      <c r="G930" s="8" t="n">
        <v>0.08</v>
      </c>
      <c r="H930" s="11" t="inlineStr">
        <is>
          <t>The Lord of the Rings: Tales of Middle-earth (LTR)</t>
        </is>
      </c>
      <c r="I930" s="11" t="inlineStr">
        <is>
          <t>Não</t>
        </is>
      </c>
      <c r="J930" s="11" t="n">
        <v>2023</v>
      </c>
      <c r="K930" s="10" t="n">
        <v>46084</v>
      </c>
      <c r="L930" s="11" t="n">
        <v>1</v>
      </c>
      <c r="M930" s="8">
        <f>L930*G930</f>
        <v/>
      </c>
      <c r="P930" s="9" t="n"/>
    </row>
    <row r="931">
      <c r="A931" s="11" t="inlineStr">
        <is>
          <t>Soldier of the Grey Host / Soldado da Hoste Cinzenta</t>
        </is>
      </c>
      <c r="B931" s="11" t="inlineStr">
        <is>
          <t>Creature — Spirit Soldier / Criatura — Espírito Soldado</t>
        </is>
      </c>
      <c r="C931" s="11" t="inlineStr">
        <is>
          <t>Common / Comum</t>
        </is>
      </c>
      <c r="D931" s="11" t="inlineStr">
        <is>
          <t>Flash. Flying. When Soldier of the Grey Host enters the battlefield, target creature gets +2/+0 until end of turn. / Lampejo. Voar. Quando Soldado da Hoste Cinzenta entra no campo de batalha, a criatura alvo recebe +2/+0 até o final do turno.</t>
        </is>
      </c>
      <c r="E931" s="11" t="inlineStr">
        <is>
          <t>{3}{W}</t>
        </is>
      </c>
      <c r="F931" s="11" t="inlineStr">
        <is>
          <t>Branco</t>
        </is>
      </c>
      <c r="G931" s="8" t="n">
        <v>0.08</v>
      </c>
      <c r="H931" s="11" t="inlineStr">
        <is>
          <t>The Lord of the Rings: Tales of Middle-earth (LTR)</t>
        </is>
      </c>
      <c r="I931" s="11" t="inlineStr">
        <is>
          <t>Não</t>
        </is>
      </c>
      <c r="J931" s="11" t="n">
        <v>2023</v>
      </c>
      <c r="K931" s="10" t="n">
        <v>46055</v>
      </c>
      <c r="L931" s="11" t="n">
        <v>1</v>
      </c>
      <c r="M931" s="8">
        <f>L931*G931</f>
        <v/>
      </c>
      <c r="P931" s="9" t="n"/>
    </row>
    <row r="932">
      <c r="A932" s="11" t="inlineStr">
        <is>
          <t>Tale of Tinúviel / História de Tinúviel</t>
        </is>
      </c>
      <c r="B932" s="11" t="inlineStr">
        <is>
          <t>Enchantment — Saga / Encantamento — Saga</t>
        </is>
      </c>
      <c r="C932" s="11" t="inlineStr">
        <is>
          <t>Uncommon / Incomum</t>
        </is>
      </c>
      <c r="D932" s="11"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32" s="11" t="inlineStr">
        <is>
          <t>{3}{W}{W}</t>
        </is>
      </c>
      <c r="F932" s="11" t="inlineStr">
        <is>
          <t>Branco</t>
        </is>
      </c>
      <c r="G932" s="8" t="n">
        <v>0.22</v>
      </c>
      <c r="H932" s="11" t="inlineStr">
        <is>
          <t>The Lord of the Rings: Tales of Middle-earth (LTR)</t>
        </is>
      </c>
      <c r="I932" s="11" t="inlineStr">
        <is>
          <t>Não</t>
        </is>
      </c>
      <c r="J932" s="11" t="n">
        <v>2023</v>
      </c>
      <c r="L932" s="11" t="n">
        <v>1</v>
      </c>
      <c r="M932" s="8">
        <f>L932*G932</f>
        <v/>
      </c>
      <c r="P932" s="9" t="n"/>
    </row>
    <row r="933">
      <c r="A933" s="11" t="inlineStr">
        <is>
          <t>Faramir, Field Commander / Faramir, Comandante de Campo</t>
        </is>
      </c>
      <c r="B933" s="11" t="inlineStr">
        <is>
          <t>Legendary Creature — Human Soldier / Criatura Lendária — Humano Soldado</t>
        </is>
      </c>
      <c r="C933" s="11" t="inlineStr">
        <is>
          <t>Uncommon / Incomum</t>
        </is>
      </c>
      <c r="D933" s="11"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33" s="11" t="inlineStr">
        <is>
          <t>{3}{W}</t>
        </is>
      </c>
      <c r="F933" s="11" t="inlineStr">
        <is>
          <t>Branco</t>
        </is>
      </c>
      <c r="G933" s="8" t="n">
        <v>0.2</v>
      </c>
      <c r="H933" s="11" t="inlineStr">
        <is>
          <t>The Lord of the Rings: Tales of Middle-earth (LTR)</t>
        </is>
      </c>
      <c r="I933" s="11" t="inlineStr">
        <is>
          <t>Não</t>
        </is>
      </c>
      <c r="J933" s="11" t="n">
        <v>2023</v>
      </c>
      <c r="K933" s="10" t="n">
        <v>46084</v>
      </c>
      <c r="L933" s="11" t="n">
        <v>1</v>
      </c>
      <c r="M933" s="8">
        <f>L933*G933</f>
        <v/>
      </c>
      <c r="P933" s="9" t="n"/>
    </row>
    <row r="934">
      <c r="A934" s="11" t="inlineStr">
        <is>
          <t>Errand-Rider of Gondor / Estafeta de Gondor</t>
        </is>
      </c>
      <c r="B934" s="11" t="inlineStr">
        <is>
          <t>Creature — Human Soldier / Criatura — Humano Soldado</t>
        </is>
      </c>
      <c r="C934" s="11" t="inlineStr">
        <is>
          <t>Common / Comum</t>
        </is>
      </c>
      <c r="D934" s="11"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34" s="11" t="inlineStr">
        <is>
          <t>{2}{W}</t>
        </is>
      </c>
      <c r="F934" s="11" t="inlineStr">
        <is>
          <t>Branco</t>
        </is>
      </c>
      <c r="G934" s="8" t="n">
        <v>0.08</v>
      </c>
      <c r="H934" s="11" t="inlineStr">
        <is>
          <t>The Lord of the Rings: Tales of Middle-earth (LTR)</t>
        </is>
      </c>
      <c r="I934" s="11" t="inlineStr">
        <is>
          <t>Não</t>
        </is>
      </c>
      <c r="J934" s="11" t="n">
        <v>2023</v>
      </c>
      <c r="K934" s="10" t="n">
        <v>46056</v>
      </c>
      <c r="L934" s="11" t="n">
        <v>1</v>
      </c>
      <c r="M934" s="8">
        <f>L934*G934</f>
        <v/>
      </c>
      <c r="P934" s="9" t="n"/>
    </row>
    <row r="935">
      <c r="A935" s="11" t="inlineStr">
        <is>
          <t>Éowyn, Lady of Rohan / Éowyn, Senhora de Rohan</t>
        </is>
      </c>
      <c r="B935" s="11" t="inlineStr">
        <is>
          <t>Legendary Creature — Human Noble / Criatura Lendária — Humano Nobre</t>
        </is>
      </c>
      <c r="C935" s="11" t="inlineStr">
        <is>
          <t>Uncommon / Incomum</t>
        </is>
      </c>
      <c r="D935" s="11"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35" s="11" t="inlineStr">
        <is>
          <t>{2}{W}</t>
        </is>
      </c>
      <c r="F935" s="11" t="inlineStr">
        <is>
          <t>Branco</t>
        </is>
      </c>
      <c r="G935" s="8" t="n">
        <v>0.25</v>
      </c>
      <c r="H935" s="11" t="inlineStr">
        <is>
          <t>The Lord of the Rings: Tales of Middle-earth (LTR)</t>
        </is>
      </c>
      <c r="I935" s="11" t="inlineStr">
        <is>
          <t>Não</t>
        </is>
      </c>
      <c r="J935" s="11" t="n">
        <v>2023</v>
      </c>
      <c r="K935" s="10" t="n">
        <v>46114</v>
      </c>
      <c r="L935" s="11" t="n">
        <v>1</v>
      </c>
      <c r="M935" s="8">
        <f>L935*G935</f>
        <v/>
      </c>
      <c r="P935" s="9" t="n"/>
    </row>
    <row r="936">
      <c r="A936" s="11" t="inlineStr">
        <is>
          <t>Bill the Pony / Bill, o Pônei</t>
        </is>
      </c>
      <c r="B936" s="11" t="inlineStr">
        <is>
          <t>Legendary Creature — Horse / Criatura Lendária — Cavalo</t>
        </is>
      </c>
      <c r="C936" s="11" t="inlineStr">
        <is>
          <t>Uncommon / Incomum</t>
        </is>
      </c>
      <c r="D936" s="11"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6" s="11" t="inlineStr">
        <is>
          <t>{3}{W}</t>
        </is>
      </c>
      <c r="F936" s="11" t="inlineStr">
        <is>
          <t>Branco</t>
        </is>
      </c>
      <c r="G936" s="8" t="n">
        <v>0.18</v>
      </c>
      <c r="H936" s="11" t="inlineStr">
        <is>
          <t>The Lord of the Rings: Tales of Middle-earth (LTR)</t>
        </is>
      </c>
      <c r="I936" s="11" t="inlineStr">
        <is>
          <t>Não</t>
        </is>
      </c>
      <c r="J936" s="11" t="n">
        <v>2023</v>
      </c>
      <c r="K936" s="10" t="n">
        <v>46113</v>
      </c>
      <c r="L936" s="11" t="n">
        <v>2</v>
      </c>
      <c r="M936" s="8">
        <f>L936*G936</f>
        <v/>
      </c>
      <c r="P936" s="9" t="n"/>
    </row>
    <row r="937">
      <c r="A937" s="11" t="inlineStr">
        <is>
          <t>Rosie Cotton of South Lane / Rosa Villa da Alameda Sul</t>
        </is>
      </c>
      <c r="B937" s="11" t="inlineStr">
        <is>
          <t>Legendary Creature — Halfling Peasant / Criatura Lendária — Pequenino Plebeu</t>
        </is>
      </c>
      <c r="C937" s="11" t="inlineStr">
        <is>
          <t>Uncommon / Incomum</t>
        </is>
      </c>
      <c r="D937" s="11"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7" s="11" t="inlineStr">
        <is>
          <t>{2}{W}</t>
        </is>
      </c>
      <c r="F937" s="11" t="inlineStr">
        <is>
          <t>Branco</t>
        </is>
      </c>
      <c r="G937" s="8" t="n">
        <v>0.5</v>
      </c>
      <c r="H937" s="11" t="inlineStr">
        <is>
          <t>The Lord of the Rings: Tales of Middle-earth (LTR)</t>
        </is>
      </c>
      <c r="I937" s="11" t="inlineStr">
        <is>
          <t>Não</t>
        </is>
      </c>
      <c r="J937" s="11" t="n">
        <v>2023</v>
      </c>
      <c r="K937" s="10" t="n">
        <v>46023</v>
      </c>
      <c r="L937" s="11" t="n">
        <v>2</v>
      </c>
      <c r="M937" s="8">
        <f>L937*G937</f>
        <v/>
      </c>
      <c r="P937" s="9" t="n"/>
    </row>
    <row r="938">
      <c r="A938" s="11" t="inlineStr">
        <is>
          <t>Samwise the Stouthearted / Samwise, o Destemido</t>
        </is>
      </c>
      <c r="B938" s="11" t="inlineStr">
        <is>
          <t>Legendary Creature — Halfling Peasant / Criatura Lendária — Pequenino Plebeu</t>
        </is>
      </c>
      <c r="C938" s="11" t="inlineStr">
        <is>
          <t>Uncommon / Incomum</t>
        </is>
      </c>
      <c r="D938" s="11"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8" s="11" t="inlineStr">
        <is>
          <t>{1}{W}</t>
        </is>
      </c>
      <c r="F938" s="11" t="inlineStr">
        <is>
          <t>Branco</t>
        </is>
      </c>
      <c r="G938" s="8" t="n">
        <v>0.25</v>
      </c>
      <c r="H938" s="11" t="inlineStr">
        <is>
          <t>The Lord of the Rings: Tales of Middle-earth (LTR)</t>
        </is>
      </c>
      <c r="I938" s="11" t="inlineStr">
        <is>
          <t>Não</t>
        </is>
      </c>
      <c r="J938" s="11" t="n">
        <v>2023</v>
      </c>
      <c r="K938" s="10" t="n">
        <v>46024</v>
      </c>
      <c r="L938" s="11" t="n">
        <v>2</v>
      </c>
      <c r="M938" s="8">
        <f>L938*G938</f>
        <v/>
      </c>
      <c r="P938" s="9" t="n"/>
    </row>
    <row r="939">
      <c r="A939" s="11" t="inlineStr">
        <is>
          <t>Eagles of the North / Águias do Norte</t>
        </is>
      </c>
      <c r="B939" s="11" t="inlineStr">
        <is>
          <t>Creature — Bird Soldier / Criatura — Ave Soldado</t>
        </is>
      </c>
      <c r="C939" s="11" t="inlineStr">
        <is>
          <t>Common / Comum</t>
        </is>
      </c>
      <c r="D939" s="11"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9" s="11" t="inlineStr">
        <is>
          <t>{5}{W}</t>
        </is>
      </c>
      <c r="F939" s="11" t="inlineStr">
        <is>
          <t>Branco</t>
        </is>
      </c>
      <c r="G939" s="8" t="n">
        <v>0.61</v>
      </c>
      <c r="H939" s="11" t="inlineStr">
        <is>
          <t>The Lord of the Rings: Tales of Middle-earth (LTR)</t>
        </is>
      </c>
      <c r="I939" s="11" t="inlineStr">
        <is>
          <t>Não</t>
        </is>
      </c>
      <c r="J939" s="11" t="n">
        <v>2023</v>
      </c>
      <c r="K939" s="10" t="n">
        <v>46084</v>
      </c>
      <c r="L939" s="11" t="n">
        <v>2</v>
      </c>
      <c r="M939" s="8">
        <f>L939*G939</f>
        <v/>
      </c>
      <c r="P939" s="9" t="n"/>
    </row>
    <row r="940">
      <c r="A940" s="11" t="inlineStr">
        <is>
          <t>Escape from Orthanc / Fuga de Orthanc</t>
        </is>
      </c>
      <c r="B940" s="11" t="inlineStr">
        <is>
          <t>Instant / Mágica Instantânea</t>
        </is>
      </c>
      <c r="C940" s="11" t="inlineStr">
        <is>
          <t>Common / Comum</t>
        </is>
      </c>
      <c r="D940" s="11" t="inlineStr">
        <is>
          <t>Target creature gets +1/+3 and gains flying until end of turn. Untap it. / A criatura alvo recebe +1/+3 e ganha voar até o final do turno. Desvire-a.</t>
        </is>
      </c>
      <c r="E940" s="11" t="inlineStr">
        <is>
          <t>{W}</t>
        </is>
      </c>
      <c r="F940" s="11" t="inlineStr">
        <is>
          <t>Branco</t>
        </is>
      </c>
      <c r="G940" s="8" t="n">
        <v>0.09</v>
      </c>
      <c r="H940" s="11" t="inlineStr">
        <is>
          <t>The Lord of the Rings: Tales of Middle-earth (LTR)</t>
        </is>
      </c>
      <c r="I940" s="11" t="inlineStr">
        <is>
          <t>Não</t>
        </is>
      </c>
      <c r="J940" s="11" t="n">
        <v>2023</v>
      </c>
      <c r="L940" s="11" t="n">
        <v>1</v>
      </c>
      <c r="M940" s="8">
        <f>L940*G940</f>
        <v/>
      </c>
      <c r="P940" s="9" t="n"/>
    </row>
    <row r="941">
      <c r="A941" s="11" t="inlineStr">
        <is>
          <t>Landroval, Horizon Witness / Landroval, Testemunha do Horizonte</t>
        </is>
      </c>
      <c r="B941" s="11" t="inlineStr">
        <is>
          <t>Legendary Creature — Bird Noble / Criatura Lendária — Ave Nobre</t>
        </is>
      </c>
      <c r="C941" s="11" t="inlineStr">
        <is>
          <t>Uncommon / Incomum</t>
        </is>
      </c>
      <c r="D941" s="11"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41" s="11" t="inlineStr">
        <is>
          <t>{4}{W}</t>
        </is>
      </c>
      <c r="F941" s="11" t="inlineStr">
        <is>
          <t>Branco</t>
        </is>
      </c>
      <c r="G941" s="8" t="n">
        <v>0.14</v>
      </c>
      <c r="H941" s="11" t="inlineStr">
        <is>
          <t>The Lord of the Rings: Tales of Middle-earth (LTR)</t>
        </is>
      </c>
      <c r="I941" s="11" t="inlineStr">
        <is>
          <t>Não</t>
        </is>
      </c>
      <c r="J941" s="11" t="n">
        <v>2023</v>
      </c>
      <c r="K941" s="10" t="n">
        <v>46115</v>
      </c>
      <c r="L941" s="11" t="n">
        <v>1</v>
      </c>
      <c r="M941" s="8">
        <f>L941*G941</f>
        <v/>
      </c>
      <c r="P941" s="9" t="n"/>
    </row>
    <row r="942">
      <c r="A942" s="11" t="inlineStr">
        <is>
          <t>Shire Shirriff / Condestável do Condado</t>
        </is>
      </c>
      <c r="B942" s="11" t="inlineStr">
        <is>
          <t>Creature — Halfling Soldier / Criatura — Pequenino Soldado</t>
        </is>
      </c>
      <c r="C942" s="11" t="inlineStr">
        <is>
          <t>Uncommon / Incomum</t>
        </is>
      </c>
      <c r="D942" s="11"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42" s="11" t="inlineStr">
        <is>
          <t>{1}{W}</t>
        </is>
      </c>
      <c r="F942" s="11" t="inlineStr">
        <is>
          <t>Branco</t>
        </is>
      </c>
      <c r="G942" s="8" t="n">
        <v>0.09</v>
      </c>
      <c r="H942" s="11" t="inlineStr">
        <is>
          <t>The Lord of the Rings: Tales of Middle-earth (LTR)</t>
        </is>
      </c>
      <c r="I942" s="11" t="inlineStr">
        <is>
          <t>Não</t>
        </is>
      </c>
      <c r="J942" s="11" t="n">
        <v>2023</v>
      </c>
      <c r="K942" s="10" t="n">
        <v>46055</v>
      </c>
      <c r="L942" s="11" t="n">
        <v>2</v>
      </c>
      <c r="M942" s="8">
        <f>L942*G942</f>
        <v/>
      </c>
      <c r="P942" s="9" t="n"/>
    </row>
    <row r="943">
      <c r="A943" s="11" t="inlineStr">
        <is>
          <t>Nyxborn Hydra / Hidra Nyxnata</t>
        </is>
      </c>
      <c r="B943" s="11" t="inlineStr">
        <is>
          <t>Enchantment Creature — Hydra / Criatura Encantamento — Hidra</t>
        </is>
      </c>
      <c r="C943" s="11" t="inlineStr">
        <is>
          <t>Common / Comum</t>
        </is>
      </c>
      <c r="D943" s="11"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43" s="11" t="inlineStr">
        <is>
          <t>{X}{G}</t>
        </is>
      </c>
      <c r="F943" s="11" t="inlineStr">
        <is>
          <t>Verde</t>
        </is>
      </c>
      <c r="G943" s="8" t="n">
        <v>1.68</v>
      </c>
      <c r="H943" s="11" t="inlineStr">
        <is>
          <t>Modern Horizons 3 (MH3)</t>
        </is>
      </c>
      <c r="I943" s="11" t="inlineStr">
        <is>
          <t>Não</t>
        </is>
      </c>
      <c r="J943" s="11" t="n">
        <v>2024</v>
      </c>
      <c r="K943" s="11" t="inlineStr">
        <is>
          <t>0/1</t>
        </is>
      </c>
      <c r="L943" s="11" t="n">
        <v>2</v>
      </c>
      <c r="M943" s="8">
        <f>L943*G943</f>
        <v/>
      </c>
      <c r="P943" s="9" t="n"/>
    </row>
    <row r="944">
      <c r="A944" s="11" t="inlineStr">
        <is>
          <t>Silvanus's Invoker / Invocador de Silvanus</t>
        </is>
      </c>
      <c r="B944" s="11" t="inlineStr">
        <is>
          <t>Creature — Dragon Druid / Criatura — Dragão Druida</t>
        </is>
      </c>
      <c r="C944" s="11" t="inlineStr">
        <is>
          <t>Common / Comum</t>
        </is>
      </c>
      <c r="D944" s="11"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44" s="11" t="inlineStr">
        <is>
          <t>{2}{G}</t>
        </is>
      </c>
      <c r="F944" s="11" t="inlineStr">
        <is>
          <t>Verde</t>
        </is>
      </c>
      <c r="G944" s="8" t="n">
        <v>0.09</v>
      </c>
      <c r="H944" s="11" t="inlineStr">
        <is>
          <t>Commander Legends: Battle for Baldur's Gate (CLB)</t>
        </is>
      </c>
      <c r="I944" s="11" t="inlineStr">
        <is>
          <t>Não</t>
        </is>
      </c>
      <c r="J944" s="11" t="n">
        <v>2022</v>
      </c>
      <c r="K944" s="10" t="n">
        <v>46056</v>
      </c>
      <c r="L944" s="11" t="n">
        <v>3</v>
      </c>
      <c r="M944" s="8">
        <f>L944*G944</f>
        <v/>
      </c>
      <c r="P944" s="9" t="n"/>
    </row>
    <row r="945">
      <c r="A945" s="11" t="inlineStr">
        <is>
          <t>Tilling Treefolk / Ent Lavrador</t>
        </is>
      </c>
      <c r="B945" s="11" t="inlineStr">
        <is>
          <t>Creature — Treefolk Druid / Criatura — Ent Druida</t>
        </is>
      </c>
      <c r="C945" s="11" t="inlineStr">
        <is>
          <t>Common / Comum</t>
        </is>
      </c>
      <c r="D945" s="11" t="inlineStr">
        <is>
          <t>When Tilling Treefolk enters the battlefield, you may return up to two target land cards from your graveyard to your hand. / Quando Ent Lavrador entra em jogo, você pode devolver para a sua mão até dois cards de terreno alvo de seu cemitério.</t>
        </is>
      </c>
      <c r="E945" s="11" t="inlineStr">
        <is>
          <t>{2}{G}</t>
        </is>
      </c>
      <c r="F945" s="11" t="inlineStr">
        <is>
          <t>Verde</t>
        </is>
      </c>
      <c r="G945" s="8" t="n">
        <v>0.85</v>
      </c>
      <c r="H945" s="11" t="inlineStr">
        <is>
          <t>Eventide (EVE)</t>
        </is>
      </c>
      <c r="I945" s="11" t="inlineStr">
        <is>
          <t>Não</t>
        </is>
      </c>
      <c r="J945" s="11" t="n">
        <v>2008</v>
      </c>
      <c r="K945" s="10" t="n">
        <v>46082</v>
      </c>
      <c r="L945" s="11" t="n">
        <v>2</v>
      </c>
      <c r="M945" s="8">
        <f>L945*G945</f>
        <v/>
      </c>
      <c r="P945" s="9" t="n"/>
    </row>
    <row r="946">
      <c r="A946" s="11" t="inlineStr">
        <is>
          <t>Sidewinder Naga / Naga Cascavélico</t>
        </is>
      </c>
      <c r="B946" s="11" t="inlineStr">
        <is>
          <t>Creature — Naga Warrior / Criatura — Naga Guerreiro</t>
        </is>
      </c>
      <c r="C946" s="11" t="inlineStr">
        <is>
          <t>Common / Comum</t>
        </is>
      </c>
      <c r="D946" s="11" t="inlineStr">
        <is>
          <t>As long as you control a Desert or there is a Desert card in your graveyard, Sidewinder Naga gets +1/+0 and has trample. / Enquanto você controla um Deserto ou há um card de Deserto em seu cemitério, Naga Cascavélico recebe +1/+0 e tem atropelar.</t>
        </is>
      </c>
      <c r="E946" s="11" t="inlineStr">
        <is>
          <t>{2}{G}</t>
        </is>
      </c>
      <c r="F946" s="11" t="inlineStr">
        <is>
          <t>Verde</t>
        </is>
      </c>
      <c r="G946" s="8" t="n">
        <v>0.03</v>
      </c>
      <c r="H946" s="11" t="inlineStr">
        <is>
          <t>Hour of Devastation (HOU)</t>
        </is>
      </c>
      <c r="I946" s="11" t="inlineStr">
        <is>
          <t>Não</t>
        </is>
      </c>
      <c r="J946" s="11" t="n">
        <v>2017</v>
      </c>
      <c r="K946" s="10" t="n">
        <v>46056</v>
      </c>
      <c r="L946" s="11" t="n">
        <v>4</v>
      </c>
      <c r="M946" s="8">
        <f>L946*G946</f>
        <v/>
      </c>
      <c r="P946" s="9" t="n"/>
    </row>
    <row r="947">
      <c r="A947" s="11" t="inlineStr">
        <is>
          <t>Wolfbitten Captive / Prisioneiro Mordido</t>
        </is>
      </c>
      <c r="B947" s="11" t="inlineStr">
        <is>
          <t>Creature — Human Werewolf / Criatura — Humano Lobisomem</t>
        </is>
      </c>
      <c r="C947" s="11" t="inlineStr">
        <is>
          <t>Rare / Rara</t>
        </is>
      </c>
      <c r="D947" s="11"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7" s="11" t="inlineStr">
        <is>
          <t>{G}</t>
        </is>
      </c>
      <c r="F947" s="11" t="inlineStr">
        <is>
          <t>Verde</t>
        </is>
      </c>
      <c r="G947" s="8" t="n">
        <v>0.65</v>
      </c>
      <c r="H947" s="11" t="inlineStr">
        <is>
          <t>Dark Ascension (DKA)</t>
        </is>
      </c>
      <c r="I947" s="11" t="inlineStr">
        <is>
          <t>Não</t>
        </is>
      </c>
      <c r="J947" s="11" t="n">
        <v>2012</v>
      </c>
      <c r="K947" s="10" t="n">
        <v>46023</v>
      </c>
      <c r="L947" s="11" t="n">
        <v>1</v>
      </c>
      <c r="M947" s="8">
        <f>L947*G947</f>
        <v/>
      </c>
      <c r="P947" s="9" t="n"/>
    </row>
    <row r="948">
      <c r="A948" s="11" t="inlineStr">
        <is>
          <t>Oashra Cultivator / Cultivadora de Oashra</t>
        </is>
      </c>
      <c r="B948" s="11" t="inlineStr">
        <is>
          <t>Creature — Human Druid / Criatura — Humano Druida</t>
        </is>
      </c>
      <c r="C948" s="11" t="inlineStr">
        <is>
          <t>Common / Comum</t>
        </is>
      </c>
      <c r="D948" s="11"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8" s="11" t="inlineStr">
        <is>
          <t>{G}</t>
        </is>
      </c>
      <c r="F948" s="11" t="inlineStr">
        <is>
          <t>Verde</t>
        </is>
      </c>
      <c r="G948" s="8" t="n">
        <v>0.03</v>
      </c>
      <c r="H948" s="11" t="inlineStr">
        <is>
          <t>Amonkhet (AKH)</t>
        </is>
      </c>
      <c r="I948" s="11" t="inlineStr">
        <is>
          <t>Não</t>
        </is>
      </c>
      <c r="J948" s="11" t="n">
        <v>2017</v>
      </c>
      <c r="K948" s="11" t="inlineStr">
        <is>
          <t>0/3</t>
        </is>
      </c>
      <c r="L948" s="11" t="n">
        <v>1</v>
      </c>
      <c r="M948" s="8">
        <f>L948*G948</f>
        <v/>
      </c>
      <c r="P948" s="9" t="n"/>
    </row>
    <row r="949">
      <c r="A949" s="11" t="inlineStr">
        <is>
          <t>Skarrgan Pit-Skulk / Esguio do Fosso Skarrgan</t>
        </is>
      </c>
      <c r="B949" s="11" t="inlineStr">
        <is>
          <t>Creature — Human Warrior / Criatura — Humano Guerreiro</t>
        </is>
      </c>
      <c r="C949" s="11" t="inlineStr">
        <is>
          <t>Common / Comum</t>
        </is>
      </c>
      <c r="D949" s="11"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9" s="11" t="inlineStr">
        <is>
          <t>{G}</t>
        </is>
      </c>
      <c r="F949" s="11" t="inlineStr">
        <is>
          <t>Verde</t>
        </is>
      </c>
      <c r="G949" s="8" t="n">
        <v>0.23</v>
      </c>
      <c r="H949" s="11" t="inlineStr">
        <is>
          <t>Guildpact (GPT)</t>
        </is>
      </c>
      <c r="I949" s="11" t="inlineStr">
        <is>
          <t>Não</t>
        </is>
      </c>
      <c r="J949" s="11" t="n">
        <v>2006</v>
      </c>
      <c r="K949" s="10" t="n">
        <v>46023</v>
      </c>
      <c r="L949" s="11" t="n">
        <v>4</v>
      </c>
      <c r="M949" s="8">
        <f>L949*G949</f>
        <v/>
      </c>
      <c r="P949" s="9" t="n"/>
    </row>
    <row r="950">
      <c r="A950" s="11" t="inlineStr">
        <is>
          <t>Timberland Guide / Guia das Matas</t>
        </is>
      </c>
      <c r="B950" s="11" t="inlineStr">
        <is>
          <t>Creature — Human Scout / Criatura — Humano Batedor</t>
        </is>
      </c>
      <c r="C950" s="11" t="inlineStr">
        <is>
          <t>Common / Comum</t>
        </is>
      </c>
      <c r="D950" s="11" t="inlineStr">
        <is>
          <t>When Timberland Guide enters the battlefield, put a +1/+1 counter on target creature. / Quando Guia das Matas entrar no campo de batalha, coloque um marcador +1/+1 na criatura alvo.</t>
        </is>
      </c>
      <c r="E950" s="11" t="inlineStr">
        <is>
          <t>{1}{G}</t>
        </is>
      </c>
      <c r="F950" s="11" t="inlineStr">
        <is>
          <t>Verde</t>
        </is>
      </c>
      <c r="G950" s="8" t="n">
        <v>0.05</v>
      </c>
      <c r="H950" s="11" t="inlineStr">
        <is>
          <t>Innistrad: Midnight Hunt (MID)</t>
        </is>
      </c>
      <c r="I950" s="11" t="inlineStr">
        <is>
          <t>Não</t>
        </is>
      </c>
      <c r="J950" s="11" t="n">
        <v>2021</v>
      </c>
      <c r="K950" s="10" t="n">
        <v>46023</v>
      </c>
      <c r="L950" s="11" t="n">
        <v>5</v>
      </c>
      <c r="M950" s="8">
        <f>L950*G950</f>
        <v/>
      </c>
      <c r="P950" s="9" t="n"/>
    </row>
    <row r="951">
      <c r="A951" s="11" t="inlineStr">
        <is>
          <t>Graypelt Hunter / Caçador de Pele-Cinza</t>
        </is>
      </c>
      <c r="B951" s="11" t="inlineStr">
        <is>
          <t>Creature — Human Warrior Ally / Criatura — Humano Guerreiro Aliado</t>
        </is>
      </c>
      <c r="C951" s="11" t="inlineStr">
        <is>
          <t>Common / Comum</t>
        </is>
      </c>
      <c r="D951" s="11"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51" s="11" t="inlineStr">
        <is>
          <t>{3}{G}</t>
        </is>
      </c>
      <c r="F951" s="11" t="inlineStr">
        <is>
          <t>Verde</t>
        </is>
      </c>
      <c r="G951" s="8" t="n">
        <v>0.06</v>
      </c>
      <c r="H951" s="11" t="inlineStr">
        <is>
          <t>Worldwake (WWK)</t>
        </is>
      </c>
      <c r="I951" s="11" t="inlineStr">
        <is>
          <t>Não</t>
        </is>
      </c>
      <c r="J951" s="11" t="n">
        <v>2010</v>
      </c>
      <c r="K951" s="10" t="n">
        <v>46055</v>
      </c>
      <c r="L951" s="11" t="n">
        <v>1</v>
      </c>
      <c r="M951" s="8">
        <f>L951*G951</f>
        <v/>
      </c>
      <c r="P951" s="9" t="n"/>
    </row>
    <row r="952">
      <c r="A952" s="11" t="inlineStr">
        <is>
          <t>Eternal Witness / Testemunha Eterna</t>
        </is>
      </c>
      <c r="B952" s="11" t="inlineStr">
        <is>
          <t>Creature — Human Shaman / Criatura — Humano Xamã</t>
        </is>
      </c>
      <c r="C952" s="11" t="inlineStr">
        <is>
          <t>Uncommon / Incomum</t>
        </is>
      </c>
      <c r="D952" s="11" t="inlineStr">
        <is>
          <t>When Eternal Witness enters the battlefield, you may return target card from your graveyard to your hand. / Quando Testemunha Eterna entrar no campo de batalha, você pode devolver o card alvo de seu cemitério para a sua mão.</t>
        </is>
      </c>
      <c r="E952" s="11" t="inlineStr">
        <is>
          <t>{1}{G}{G}</t>
        </is>
      </c>
      <c r="F952" s="11" t="inlineStr">
        <is>
          <t>Verde</t>
        </is>
      </c>
      <c r="G952" s="8" t="n">
        <v>4.95</v>
      </c>
      <c r="H952" s="11" t="inlineStr">
        <is>
          <t>30th Anniversary Promos (PRM)</t>
        </is>
      </c>
      <c r="I952" s="11" t="inlineStr">
        <is>
          <t>Sim</t>
        </is>
      </c>
      <c r="J952" s="11" t="n">
        <v>2023</v>
      </c>
      <c r="K952" s="10" t="n">
        <v>46024</v>
      </c>
      <c r="L952" s="11" t="n">
        <v>1</v>
      </c>
      <c r="M952" s="8">
        <f>L952*G952</f>
        <v/>
      </c>
      <c r="P952" s="9" t="n"/>
    </row>
    <row r="953">
      <c r="A953" s="11" t="inlineStr">
        <is>
          <t>Arborback Stomper / Pisoteador Dorsoverde</t>
        </is>
      </c>
      <c r="B953" s="11" t="inlineStr">
        <is>
          <t>Creature — Beast / Criatura — Besta</t>
        </is>
      </c>
      <c r="C953" s="11" t="inlineStr">
        <is>
          <t>Uncommon / Incomum</t>
        </is>
      </c>
      <c r="D953" s="11" t="inlineStr">
        <is>
          <t>Trample. When Arborback Stomper enters the battlefield, you gain 5 life. / Atropelar. Quando Pisoteador Dorsoverde entra no campo de batalha, você ganha 5 pontos de vida.</t>
        </is>
      </c>
      <c r="E953" s="11" t="inlineStr">
        <is>
          <t>{3}{G}{G}</t>
        </is>
      </c>
      <c r="F953" s="11" t="inlineStr">
        <is>
          <t>Verde</t>
        </is>
      </c>
      <c r="G953" s="8" t="n">
        <v>0.06</v>
      </c>
      <c r="H953" s="11" t="inlineStr">
        <is>
          <t>Kaladesh (KLD)</t>
        </is>
      </c>
      <c r="I953" s="11" t="inlineStr">
        <is>
          <t>Não</t>
        </is>
      </c>
      <c r="J953" s="11" t="n">
        <v>2016</v>
      </c>
      <c r="K953" s="10" t="n">
        <v>46117</v>
      </c>
      <c r="L953" s="11" t="n">
        <v>4</v>
      </c>
      <c r="M953" s="8">
        <f>L953*G953</f>
        <v/>
      </c>
      <c r="P953" s="9" t="n"/>
    </row>
    <row r="954">
      <c r="A954" s="11" t="inlineStr">
        <is>
          <t>Nest Invader / Invasor do Ninho</t>
        </is>
      </c>
      <c r="B954" s="11" t="inlineStr">
        <is>
          <t>Creature — Eldrazi Drone / Criatura — Zangão Eldrazi</t>
        </is>
      </c>
      <c r="C954" s="11" t="inlineStr">
        <is>
          <t>Common / Comum</t>
        </is>
      </c>
      <c r="D954" s="11"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54" s="11" t="inlineStr">
        <is>
          <t>{1}{G}</t>
        </is>
      </c>
      <c r="F954" s="11" t="inlineStr">
        <is>
          <t>Verde</t>
        </is>
      </c>
      <c r="G954" s="8" t="n">
        <v>0.75</v>
      </c>
      <c r="H954" s="11" t="inlineStr">
        <is>
          <t>Modern Masters 2015 (MM2)</t>
        </is>
      </c>
      <c r="I954" s="11" t="inlineStr">
        <is>
          <t>Não</t>
        </is>
      </c>
      <c r="J954" s="11" t="n">
        <v>2015</v>
      </c>
      <c r="K954" s="10" t="n">
        <v>46055</v>
      </c>
      <c r="L954" s="11" t="n">
        <v>2</v>
      </c>
      <c r="M954" s="8">
        <f>L954*G954</f>
        <v/>
      </c>
      <c r="P954" s="9" t="n"/>
    </row>
    <row r="955">
      <c r="A955" s="11" t="inlineStr">
        <is>
          <t>Nest Invader / Invasor do Ninho</t>
        </is>
      </c>
      <c r="B955" s="11" t="inlineStr">
        <is>
          <t>Creature — Eldrazi Drone / Criatura — Zangão Eldrazi</t>
        </is>
      </c>
      <c r="C955" s="11" t="inlineStr">
        <is>
          <t>Common / Comum</t>
        </is>
      </c>
      <c r="D955" s="11"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55" s="11" t="inlineStr">
        <is>
          <t>{1}{G}</t>
        </is>
      </c>
      <c r="F955" s="11" t="inlineStr">
        <is>
          <t>Verde</t>
        </is>
      </c>
      <c r="G955" s="8" t="n">
        <v>1.95</v>
      </c>
      <c r="H955" s="11" t="inlineStr">
        <is>
          <t>Planechase Anthology (PCA)</t>
        </is>
      </c>
      <c r="I955" s="11" t="inlineStr">
        <is>
          <t>Não</t>
        </is>
      </c>
      <c r="J955" s="11" t="n">
        <v>2016</v>
      </c>
      <c r="K955" s="10" t="n">
        <v>46055</v>
      </c>
      <c r="L955" s="11" t="n">
        <v>1</v>
      </c>
      <c r="M955" s="8">
        <f>L955*G955</f>
        <v/>
      </c>
      <c r="P955" s="9" t="n"/>
    </row>
    <row r="956">
      <c r="A956" s="11" t="inlineStr">
        <is>
          <t>Servant of the Scale / Servo da Escama</t>
        </is>
      </c>
      <c r="B956" s="11" t="inlineStr">
        <is>
          <t>Creature — Human Soldier / Criatura — Humano Soldado</t>
        </is>
      </c>
      <c r="C956" s="11" t="inlineStr">
        <is>
          <t>Common / Comum</t>
        </is>
      </c>
      <c r="D956" s="11"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6" s="11" t="inlineStr">
        <is>
          <t>{G}</t>
        </is>
      </c>
      <c r="F956" s="11" t="inlineStr">
        <is>
          <t>Verde</t>
        </is>
      </c>
      <c r="G956" s="8" t="n">
        <v>0.09</v>
      </c>
      <c r="H956" s="11" t="inlineStr">
        <is>
          <t>Dragons of Tarkir (DTK)</t>
        </is>
      </c>
      <c r="I956" s="11" t="inlineStr">
        <is>
          <t>Não</t>
        </is>
      </c>
      <c r="J956" s="11" t="n">
        <v>2015</v>
      </c>
      <c r="K956" s="11" t="inlineStr">
        <is>
          <t>0/0</t>
        </is>
      </c>
      <c r="L956" s="11" t="n">
        <v>4</v>
      </c>
      <c r="M956" s="8">
        <f>L956*G956</f>
        <v/>
      </c>
      <c r="P956" s="9" t="n"/>
    </row>
    <row r="957">
      <c r="A957" s="11" t="inlineStr">
        <is>
          <t>Colossapede / Colossópode</t>
        </is>
      </c>
      <c r="B957" s="11" t="inlineStr">
        <is>
          <t>Creature — Insect / Criatura — Inseto</t>
        </is>
      </c>
      <c r="C957" s="11" t="inlineStr">
        <is>
          <t>Common / Comum</t>
        </is>
      </c>
      <c r="E957" s="11" t="inlineStr">
        <is>
          <t>{4}{G}</t>
        </is>
      </c>
      <c r="F957" s="11" t="inlineStr">
        <is>
          <t>Verde</t>
        </is>
      </c>
      <c r="G957" s="8" t="n">
        <v>0.03</v>
      </c>
      <c r="H957" s="11" t="inlineStr">
        <is>
          <t>Amonkhet (AKH)</t>
        </is>
      </c>
      <c r="I957" s="11" t="inlineStr">
        <is>
          <t>Não</t>
        </is>
      </c>
      <c r="J957" s="11" t="n">
        <v>2017</v>
      </c>
      <c r="K957" s="10" t="n">
        <v>46147</v>
      </c>
      <c r="L957" s="11" t="n">
        <v>3</v>
      </c>
      <c r="M957" s="8">
        <f>L957*G957</f>
        <v/>
      </c>
      <c r="P957" s="9" t="n"/>
    </row>
    <row r="958">
      <c r="A958" s="11" t="inlineStr">
        <is>
          <t>Gatebreaker Ram / Carneiro Quebra-portões</t>
        </is>
      </c>
      <c r="B958" s="11" t="inlineStr">
        <is>
          <t>Creature — Sheep / Criatura — Ovelha</t>
        </is>
      </c>
      <c r="C958" s="11" t="inlineStr">
        <is>
          <t>Uncommon / Incomum</t>
        </is>
      </c>
      <c r="D958" s="11"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8" s="11" t="inlineStr">
        <is>
          <t>{2}{G}</t>
        </is>
      </c>
      <c r="F958" s="11" t="inlineStr">
        <is>
          <t>Verde</t>
        </is>
      </c>
      <c r="G958" s="8" t="n">
        <v>0.13</v>
      </c>
      <c r="H958" s="11" t="inlineStr">
        <is>
          <t>Ravnica Allegiance (RNA)</t>
        </is>
      </c>
      <c r="I958" s="11" t="inlineStr">
        <is>
          <t>Não</t>
        </is>
      </c>
      <c r="J958" s="11" t="n">
        <v>2019</v>
      </c>
      <c r="K958" s="10" t="n">
        <v>46055</v>
      </c>
      <c r="L958" s="11" t="n">
        <v>3</v>
      </c>
      <c r="M958" s="8">
        <f>L958*G958</f>
        <v/>
      </c>
      <c r="P958" s="9" t="n"/>
    </row>
    <row r="959">
      <c r="A959" s="11" t="inlineStr">
        <is>
          <t>Colossal Dreadmaw / Bocarra Sinistra Colossal</t>
        </is>
      </c>
      <c r="B959" s="11" t="inlineStr">
        <is>
          <t>Creature — Dinosaur / Criatura — Dinossauro</t>
        </is>
      </c>
      <c r="C959" s="11" t="inlineStr">
        <is>
          <t>Common / Comum</t>
        </is>
      </c>
      <c r="D959" s="11" t="inlineStr">
        <is>
          <t>Trample. / Atropelar.</t>
        </is>
      </c>
      <c r="E959" s="11" t="inlineStr">
        <is>
          <t>{4}{G}{G}</t>
        </is>
      </c>
      <c r="F959" s="11" t="inlineStr">
        <is>
          <t>Verde</t>
        </is>
      </c>
      <c r="G959" s="8" t="n">
        <v>0.05</v>
      </c>
      <c r="H959" s="11" t="inlineStr">
        <is>
          <t>Rivals of Ixalan (RIX)</t>
        </is>
      </c>
      <c r="I959" s="11" t="inlineStr">
        <is>
          <t>Não</t>
        </is>
      </c>
      <c r="J959" s="11" t="n">
        <v>2018</v>
      </c>
      <c r="K959" s="10" t="n">
        <v>46179</v>
      </c>
      <c r="L959" s="11" t="n">
        <v>4</v>
      </c>
      <c r="M959" s="8">
        <f>L959*G959</f>
        <v/>
      </c>
      <c r="P959" s="9" t="n"/>
    </row>
    <row r="960">
      <c r="A960" s="11" t="inlineStr">
        <is>
          <t>Promised Kannushi / Kannushi Prometido</t>
        </is>
      </c>
      <c r="B960" s="11" t="inlineStr">
        <is>
          <t>Creature — Human Druid / Criatura — Humano Druida</t>
        </is>
      </c>
      <c r="C960" s="11" t="inlineStr">
        <is>
          <t>Common / Comum</t>
        </is>
      </c>
      <c r="D960" s="11"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60" s="11" t="inlineStr">
        <is>
          <t>{G}</t>
        </is>
      </c>
      <c r="F960" s="11" t="inlineStr">
        <is>
          <t>Verde</t>
        </is>
      </c>
      <c r="G960" s="8" t="n">
        <v>0.09</v>
      </c>
      <c r="H960" s="11" t="inlineStr">
        <is>
          <t>Betrayers of Kamigawa (BOK)</t>
        </is>
      </c>
      <c r="I960" s="11" t="inlineStr">
        <is>
          <t>Não</t>
        </is>
      </c>
      <c r="J960" s="11" t="n">
        <v>2005</v>
      </c>
      <c r="K960" s="10" t="n">
        <v>46023</v>
      </c>
      <c r="L960" s="11" t="n">
        <v>1</v>
      </c>
      <c r="M960" s="8">
        <f>L960*G960</f>
        <v/>
      </c>
      <c r="P960" s="9" t="n"/>
    </row>
    <row r="961">
      <c r="A961" s="11" t="inlineStr">
        <is>
          <t>Elturgard Ranger / Guardiã de Elturgard</t>
        </is>
      </c>
      <c r="B961" s="11" t="inlineStr">
        <is>
          <t>Creature — Human Elf Ranger / Criatura — Humano Elfo Guardião</t>
        </is>
      </c>
      <c r="C961" s="11" t="inlineStr">
        <is>
          <t>Common / Comum</t>
        </is>
      </c>
      <c r="D961" s="11" t="inlineStr">
        <is>
          <t>Reach. When Elturgard Ranger enters the battlefield, create a 2/2 green Wolf creature token. / Alcance. Quando Guardiã de Elturgard entrar no campo de batalha, crie uma ficha de criatura Lobo verde 2/2.</t>
        </is>
      </c>
      <c r="E961" s="11" t="inlineStr">
        <is>
          <t>{4}{G}</t>
        </is>
      </c>
      <c r="F961" s="11" t="inlineStr">
        <is>
          <t>Verde</t>
        </is>
      </c>
      <c r="G961" s="8" t="n">
        <v>0.05</v>
      </c>
      <c r="H961" s="11" t="inlineStr">
        <is>
          <t>Adventures in the Forgotten Realms (AFR)</t>
        </is>
      </c>
      <c r="I961" s="11" t="inlineStr">
        <is>
          <t>Não</t>
        </is>
      </c>
      <c r="J961" s="11" t="n">
        <v>2021</v>
      </c>
      <c r="K961" s="10" t="n">
        <v>46026</v>
      </c>
      <c r="L961" s="11" t="n">
        <v>1</v>
      </c>
      <c r="M961" s="8">
        <f>L961*G961</f>
        <v/>
      </c>
      <c r="P961" s="9" t="n"/>
    </row>
    <row r="962">
      <c r="A962" s="11" t="inlineStr">
        <is>
          <t>Jukai Preserver / Preservadora Jukai</t>
        </is>
      </c>
      <c r="B962" s="11" t="inlineStr">
        <is>
          <t>Enchantment Creature — Human Druid / Criatura Encantamento — Humano Druida</t>
        </is>
      </c>
      <c r="C962" s="11" t="inlineStr">
        <is>
          <t>Common / Comum</t>
        </is>
      </c>
      <c r="D962" s="11"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62" s="11" t="inlineStr">
        <is>
          <t>{3}{G}</t>
        </is>
      </c>
      <c r="F962" s="11" t="inlineStr">
        <is>
          <t>Verde</t>
        </is>
      </c>
      <c r="G962" s="8" t="n">
        <v>0.06</v>
      </c>
      <c r="H962" s="11" t="inlineStr">
        <is>
          <t>Kamigawa: Neon Dynasty (NEO)</t>
        </is>
      </c>
      <c r="I962" s="11" t="inlineStr">
        <is>
          <t>Não</t>
        </is>
      </c>
      <c r="J962" s="11" t="n">
        <v>2022</v>
      </c>
      <c r="K962" s="10" t="n">
        <v>46084</v>
      </c>
      <c r="L962" s="11" t="n">
        <v>1</v>
      </c>
      <c r="M962" s="8">
        <f>L962*G962</f>
        <v/>
      </c>
      <c r="P962" s="9" t="n"/>
    </row>
    <row r="963">
      <c r="A963" s="11" t="inlineStr">
        <is>
          <t>Smoke Teller / Vidente da Fumaça</t>
        </is>
      </c>
      <c r="B963" s="11" t="inlineStr">
        <is>
          <t>Creature — Human Shaman / Criatura — Humano Xamã</t>
        </is>
      </c>
      <c r="C963" s="11" t="inlineStr">
        <is>
          <t>Common / Comum</t>
        </is>
      </c>
      <c r="D963" s="11" t="inlineStr">
        <is>
          <t>{1}{U}: Look at target face-down creature. / {1}{U}: Olhe a criatura alvo voltada para baixo.</t>
        </is>
      </c>
      <c r="E963" s="11" t="inlineStr">
        <is>
          <t>{1}{G}</t>
        </is>
      </c>
      <c r="F963" s="11" t="inlineStr">
        <is>
          <t>Verde</t>
        </is>
      </c>
      <c r="G963" s="8" t="n">
        <v>0.05</v>
      </c>
      <c r="H963" s="11" t="inlineStr">
        <is>
          <t>Khans of Tarkir (KTK)</t>
        </is>
      </c>
      <c r="I963" s="11" t="inlineStr">
        <is>
          <t>Não</t>
        </is>
      </c>
      <c r="J963" s="11" t="n">
        <v>2014</v>
      </c>
      <c r="K963" s="10" t="n">
        <v>46055</v>
      </c>
      <c r="L963" s="11" t="n">
        <v>1</v>
      </c>
      <c r="M963" s="8">
        <f>L963*G963</f>
        <v/>
      </c>
      <c r="P963" s="9" t="n"/>
    </row>
    <row r="964">
      <c r="A964" s="11" t="inlineStr">
        <is>
          <t>Shigeki's Gambit / Presa de Shigeki</t>
        </is>
      </c>
      <c r="B964" s="11" t="inlineStr">
        <is>
          <t>Enchantment Creature — Snake Ninja / Criatura Encantamento — Cobra Ninja</t>
        </is>
      </c>
      <c r="C964" s="11" t="inlineStr">
        <is>
          <t>Common / Comum</t>
        </is>
      </c>
      <c r="D964" s="11" t="inlineStr">
        <is>
          <t>Deathtouch / Toque mortífero</t>
        </is>
      </c>
      <c r="E964" s="11" t="inlineStr">
        <is>
          <t>{G}</t>
        </is>
      </c>
      <c r="F964" s="11" t="inlineStr">
        <is>
          <t>Verde</t>
        </is>
      </c>
      <c r="G964" s="8" t="n">
        <v>0.17</v>
      </c>
      <c r="H964" s="11" t="inlineStr">
        <is>
          <t>Kamigawa: Neon Dynasty (NEO)</t>
        </is>
      </c>
      <c r="I964" s="11" t="inlineStr">
        <is>
          <t>Não</t>
        </is>
      </c>
      <c r="J964" s="11" t="n">
        <v>2022</v>
      </c>
      <c r="K964" s="10" t="n">
        <v>46023</v>
      </c>
      <c r="L964" s="11" t="n">
        <v>1</v>
      </c>
      <c r="M964" s="8">
        <f>L964*G964</f>
        <v/>
      </c>
      <c r="P964" s="9" t="n"/>
    </row>
    <row r="965">
      <c r="A965" s="11" t="inlineStr">
        <is>
          <t>Spore Crawler / Rastejante dos Esporos</t>
        </is>
      </c>
      <c r="B965" s="11" t="inlineStr">
        <is>
          <t>Creature — Fungus / Criatura — Fungo</t>
        </is>
      </c>
      <c r="C965" s="11" t="inlineStr">
        <is>
          <t>Common / Comum</t>
        </is>
      </c>
      <c r="D965" s="11" t="inlineStr">
        <is>
          <t>When Spore Crawler dies, draw a card. / Quando Rastejante dos Esporos morrer, compre um card.</t>
        </is>
      </c>
      <c r="E965" s="11" t="inlineStr">
        <is>
          <t>{2}{G}</t>
        </is>
      </c>
      <c r="F965" s="11" t="inlineStr">
        <is>
          <t>Verde</t>
        </is>
      </c>
      <c r="G965" s="8" t="n">
        <v>0.04</v>
      </c>
      <c r="H965" s="11" t="inlineStr">
        <is>
          <t>Innistrad: Crimson Vow (VOW)</t>
        </is>
      </c>
      <c r="I965" s="11" t="inlineStr">
        <is>
          <t>Não</t>
        </is>
      </c>
      <c r="J965" s="11" t="n">
        <v>2021</v>
      </c>
      <c r="K965" s="10" t="n">
        <v>46056</v>
      </c>
      <c r="L965" s="11" t="n">
        <v>3</v>
      </c>
      <c r="M965" s="8">
        <f>L965*G965</f>
        <v/>
      </c>
      <c r="P965" s="9" t="n"/>
    </row>
    <row r="966">
      <c r="A966" s="11" t="inlineStr">
        <is>
          <t>Dawnhart Rejuvenator / Rejuvenescedora Cervo da Aurora</t>
        </is>
      </c>
      <c r="B966" s="11" t="inlineStr">
        <is>
          <t>Creature — Human Warlock / Criatura — Humano Bruxo</t>
        </is>
      </c>
      <c r="C966" s="11" t="inlineStr">
        <is>
          <t>Common / Comum</t>
        </is>
      </c>
      <c r="D966" s="11" t="inlineStr">
        <is>
          <t>When Dawnhart Rejuvenator enters the battlefield, you gain 3 life. {T}: Add one mana of any color. / Quando Rejuvenescedora Cervo da Aurora entrar no campo de batalha, você ganha 3 pontos de vida. {T}: Adicione um mana de qualquer cor.</t>
        </is>
      </c>
      <c r="E966" s="11" t="inlineStr">
        <is>
          <t>{3}{G}</t>
        </is>
      </c>
      <c r="F966" s="11" t="inlineStr">
        <is>
          <t>Verde</t>
        </is>
      </c>
      <c r="G966" s="8" t="n">
        <v>0.08</v>
      </c>
      <c r="H966" s="11" t="inlineStr">
        <is>
          <t>Innistrad: Midnight Hunt (MID)</t>
        </is>
      </c>
      <c r="I966" s="11" t="inlineStr">
        <is>
          <t>Não</t>
        </is>
      </c>
      <c r="J966" s="11" t="n">
        <v>2021</v>
      </c>
      <c r="K966" s="10" t="n">
        <v>46114</v>
      </c>
      <c r="L966" s="11" t="n">
        <v>1</v>
      </c>
      <c r="M966" s="8">
        <f>L966*G966</f>
        <v/>
      </c>
      <c r="P966" s="9" t="n"/>
    </row>
    <row r="967">
      <c r="A967" s="11" t="inlineStr">
        <is>
          <t>Vorstclaw / Garra Voraz</t>
        </is>
      </c>
      <c r="B967" s="11" t="inlineStr">
        <is>
          <t>Creature — Elemental Horror / Criatura — Elemental Horror</t>
        </is>
      </c>
      <c r="C967" s="11" t="inlineStr">
        <is>
          <t>Common / Comum</t>
        </is>
      </c>
      <c r="E967" s="11" t="inlineStr">
        <is>
          <t>{4}{G}{G}</t>
        </is>
      </c>
      <c r="F967" s="11" t="inlineStr">
        <is>
          <t>Verde</t>
        </is>
      </c>
      <c r="G967" s="8" t="n">
        <v>0.03</v>
      </c>
      <c r="H967" s="11" t="inlineStr">
        <is>
          <t>Core Set 2020 (M20)</t>
        </is>
      </c>
      <c r="I967" s="11" t="inlineStr">
        <is>
          <t>Não</t>
        </is>
      </c>
      <c r="J967" s="11" t="n">
        <v>2019</v>
      </c>
      <c r="K967" s="10" t="n">
        <v>46210</v>
      </c>
      <c r="L967" s="11" t="n">
        <v>4</v>
      </c>
      <c r="M967" s="8">
        <f>L967*G967</f>
        <v/>
      </c>
      <c r="P967" s="9" t="n"/>
    </row>
    <row r="968">
      <c r="A968" s="11" t="inlineStr">
        <is>
          <t>Sylvan Ranger / Guardiã das Matas</t>
        </is>
      </c>
      <c r="B968" s="11" t="inlineStr">
        <is>
          <t>Creature — Elf Scout / Criatura — Elfo Batedor</t>
        </is>
      </c>
      <c r="C968" s="11" t="inlineStr">
        <is>
          <t>Common / Comum</t>
        </is>
      </c>
      <c r="D968" s="11"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8" s="11" t="inlineStr">
        <is>
          <t>{1}{G}</t>
        </is>
      </c>
      <c r="F968" s="11" t="inlineStr">
        <is>
          <t>Verde</t>
        </is>
      </c>
      <c r="G968" s="8" t="n">
        <v>0.06</v>
      </c>
      <c r="H968" s="11" t="inlineStr">
        <is>
          <t>Magic 2011 (M11)</t>
        </is>
      </c>
      <c r="I968" s="11" t="inlineStr">
        <is>
          <t>Não</t>
        </is>
      </c>
      <c r="J968" s="11" t="n">
        <v>2010</v>
      </c>
      <c r="K968" s="10" t="n">
        <v>46023</v>
      </c>
      <c r="L968" s="11" t="n">
        <v>4</v>
      </c>
      <c r="M968" s="8">
        <f>L968*G968</f>
        <v/>
      </c>
      <c r="P968" s="9" t="n"/>
    </row>
    <row r="969">
      <c r="A969" s="11" t="inlineStr">
        <is>
          <t>Rampant Growth / Crescimento Desenfreado</t>
        </is>
      </c>
      <c r="B969" s="11" t="inlineStr">
        <is>
          <t>Sorcery / Feitiço</t>
        </is>
      </c>
      <c r="C969" s="11" t="inlineStr">
        <is>
          <t>Common / Comum</t>
        </is>
      </c>
      <c r="D969" s="11" t="inlineStr">
        <is>
          <t>Search your library for a basic land card, put it onto the battlefield tapped, then shuffle. / Procure um card de terreno básico em seu grimório, coloque-o no campo de batalha virado e depois embaralhe.</t>
        </is>
      </c>
      <c r="E969" s="11" t="inlineStr">
        <is>
          <t>{1}{G}</t>
        </is>
      </c>
      <c r="F969" s="11" t="inlineStr">
        <is>
          <t>Verde</t>
        </is>
      </c>
      <c r="G969" s="8" t="n">
        <v>0.03</v>
      </c>
      <c r="H969" s="11" t="inlineStr">
        <is>
          <t>Magic 2011 (M11)</t>
        </is>
      </c>
      <c r="I969" s="11" t="inlineStr">
        <is>
          <t>Não</t>
        </is>
      </c>
      <c r="J969" s="11" t="n">
        <v>2010</v>
      </c>
      <c r="K969" s="11" t="inlineStr">
        <is>
          <t>-</t>
        </is>
      </c>
      <c r="L969" s="11" t="n">
        <v>8</v>
      </c>
      <c r="M969" s="8">
        <f>L969*G969</f>
        <v/>
      </c>
      <c r="P969" s="9" t="n"/>
    </row>
    <row r="970">
      <c r="A970" s="11" t="inlineStr">
        <is>
          <t>Nature's Claim / Reivindicação de Natureza</t>
        </is>
      </c>
      <c r="B970" s="11" t="inlineStr">
        <is>
          <t>Instant / Mágica Instantânea</t>
        </is>
      </c>
      <c r="C970" s="11" t="inlineStr">
        <is>
          <t>Common / Comum</t>
        </is>
      </c>
      <c r="D970" s="11" t="inlineStr">
        <is>
          <t>Destroy target artifact or enchantment. Its controller gains 4 life. / Destrua o artefato ou encantamento alvo. O controlador dele ganha 4 pontos de vida.</t>
        </is>
      </c>
      <c r="E970" s="11" t="inlineStr">
        <is>
          <t>{G}</t>
        </is>
      </c>
      <c r="F970" s="11" t="inlineStr">
        <is>
          <t>Verde</t>
        </is>
      </c>
      <c r="G970" s="8" t="n">
        <v>0.04</v>
      </c>
      <c r="H970" s="11" t="inlineStr">
        <is>
          <t>Modern Masters 2017 (MM3)</t>
        </is>
      </c>
      <c r="I970" s="11" t="inlineStr">
        <is>
          <t>Não</t>
        </is>
      </c>
      <c r="J970" s="11" t="n">
        <v>2017</v>
      </c>
      <c r="K970" s="11" t="inlineStr">
        <is>
          <t>-</t>
        </is>
      </c>
      <c r="L970" s="11" t="n">
        <v>2</v>
      </c>
      <c r="M970" s="8">
        <f>L970*G970</f>
        <v/>
      </c>
      <c r="P970" s="9" t="n"/>
    </row>
    <row r="971">
      <c r="A971" s="11" t="inlineStr">
        <is>
          <t>Sylvan Safekeeper / Guardião da Floresta</t>
        </is>
      </c>
      <c r="B971" s="11" t="inlineStr">
        <is>
          <t>Creature — Human Wizard / Criatura — Humano Mago</t>
        </is>
      </c>
      <c r="C971" s="11" t="inlineStr">
        <is>
          <t>Rare / Rara</t>
        </is>
      </c>
      <c r="D971" s="11" t="inlineStr">
        <is>
          <t>{0}, Sacrifice a land: Target creature you control gains shroud until end of turn. / {0}, Sacrifique um terreno: A criatura alvo que você controla ganha manto até o final do turno.</t>
        </is>
      </c>
      <c r="E971" s="11" t="inlineStr">
        <is>
          <t>{G}</t>
        </is>
      </c>
      <c r="F971" s="11" t="inlineStr">
        <is>
          <t>Verde</t>
        </is>
      </c>
      <c r="G971" s="8" t="n">
        <v>0.06</v>
      </c>
      <c r="H971" s="11" t="inlineStr">
        <is>
          <t>Magic 2011 (M11)</t>
        </is>
      </c>
      <c r="I971" s="11" t="inlineStr">
        <is>
          <t>Não</t>
        </is>
      </c>
      <c r="J971" s="11" t="n">
        <v>2002</v>
      </c>
      <c r="K971" s="10" t="n">
        <v>46023</v>
      </c>
      <c r="L971" s="11" t="n">
        <v>1</v>
      </c>
      <c r="M971" s="8">
        <f>L971*G971</f>
        <v/>
      </c>
      <c r="P971" s="9" t="n"/>
    </row>
    <row r="972">
      <c r="A972" s="11" t="inlineStr">
        <is>
          <t>Centaur Battlemaster / Centauro Mestre da Espada</t>
        </is>
      </c>
      <c r="B972" s="11" t="inlineStr">
        <is>
          <t>Creature — Centaur Warrior / Criatura — Centauro Guerreiro</t>
        </is>
      </c>
      <c r="C972" s="11" t="inlineStr">
        <is>
          <t>Common / Comum</t>
        </is>
      </c>
      <c r="E972" s="11" t="inlineStr">
        <is>
          <t>{G}{G}</t>
        </is>
      </c>
      <c r="F972" s="11" t="inlineStr">
        <is>
          <t>Verde</t>
        </is>
      </c>
      <c r="G972" s="8" t="n">
        <v>0.03</v>
      </c>
      <c r="H972" s="11" t="inlineStr">
        <is>
          <t>Journey into Nyx (JOU)</t>
        </is>
      </c>
      <c r="I972" s="11" t="inlineStr">
        <is>
          <t>Não</t>
        </is>
      </c>
      <c r="J972" s="11" t="n">
        <v>2014</v>
      </c>
      <c r="K972" s="10" t="n">
        <v>46056</v>
      </c>
      <c r="L972" s="11" t="n">
        <v>1</v>
      </c>
      <c r="M972" s="8">
        <f>L972*G972</f>
        <v/>
      </c>
      <c r="P972" s="9" t="n"/>
    </row>
    <row r="973">
      <c r="A973" s="11" t="inlineStr">
        <is>
          <t>Almighty Brushwagg / Tojo Todo-poderoso</t>
        </is>
      </c>
      <c r="B973" s="11" t="inlineStr">
        <is>
          <t>Creature — Brushwagg / Criatura — Tojo</t>
        </is>
      </c>
      <c r="C973" s="11" t="inlineStr">
        <is>
          <t>Common / Comum</t>
        </is>
      </c>
      <c r="D973" s="11" t="inlineStr">
        <is>
          <t>Trample. {3}{G}: Almighty Brushwagg gets +3/+3 until end of turn. / Atropelar. {3}{G}: Tojo Todo-poderoso recebe +3/+3 até o final do turno.</t>
        </is>
      </c>
      <c r="E973" s="11" t="inlineStr">
        <is>
          <t>{G}</t>
        </is>
      </c>
      <c r="F973" s="11" t="inlineStr">
        <is>
          <t>Verde</t>
        </is>
      </c>
      <c r="G973" s="8" t="n">
        <v>0.04</v>
      </c>
      <c r="H973" s="11" t="inlineStr">
        <is>
          <t>Ikoria: Lair of Behemoths (IKO)</t>
        </is>
      </c>
      <c r="I973" s="11" t="inlineStr">
        <is>
          <t>Não</t>
        </is>
      </c>
      <c r="J973" s="11" t="n">
        <v>2020</v>
      </c>
      <c r="K973" s="10" t="n">
        <v>46023</v>
      </c>
      <c r="L973" s="11" t="n">
        <v>1</v>
      </c>
      <c r="M973" s="8">
        <f>L973*G973</f>
        <v/>
      </c>
      <c r="P973" s="9" t="n"/>
    </row>
    <row r="974">
      <c r="A974" s="11" t="inlineStr">
        <is>
          <t>Centaur Courser / Centaura-caçadora</t>
        </is>
      </c>
      <c r="B974" s="11" t="inlineStr">
        <is>
          <t>Creature — Centaur Warrior / Criatura — Centauro Guerreiro</t>
        </is>
      </c>
      <c r="C974" s="11" t="inlineStr">
        <is>
          <t>Common / Comum</t>
        </is>
      </c>
      <c r="E974" s="11" t="inlineStr">
        <is>
          <t>{2}{G}</t>
        </is>
      </c>
      <c r="F974" s="11" t="inlineStr">
        <is>
          <t>Verde</t>
        </is>
      </c>
      <c r="G974" s="8" t="n">
        <v>0.03</v>
      </c>
      <c r="H974" s="11" t="inlineStr">
        <is>
          <t>Core Set 2019 (M19)</t>
        </is>
      </c>
      <c r="I974" s="11" t="inlineStr">
        <is>
          <t>Não</t>
        </is>
      </c>
      <c r="J974" s="11" t="n">
        <v>2018</v>
      </c>
      <c r="K974" s="10" t="n">
        <v>46084</v>
      </c>
      <c r="L974" s="11" t="n">
        <v>3</v>
      </c>
      <c r="M974" s="8">
        <f>L974*G974</f>
        <v/>
      </c>
      <c r="P974" s="9" t="n"/>
    </row>
    <row r="975">
      <c r="A975" s="11" t="inlineStr">
        <is>
          <t>Centaur Courser / Centaura-caçadora</t>
        </is>
      </c>
      <c r="B975" s="11" t="inlineStr">
        <is>
          <t>Creature — Centaur Warrior / Criatura — Centauro Guerreiro</t>
        </is>
      </c>
      <c r="C975" s="11" t="inlineStr">
        <is>
          <t>Common / Comum</t>
        </is>
      </c>
      <c r="E975" s="11" t="inlineStr">
        <is>
          <t>{2}{G}</t>
        </is>
      </c>
      <c r="F975" s="11" t="inlineStr">
        <is>
          <t>Verde</t>
        </is>
      </c>
      <c r="G975" s="8" t="n">
        <v>0.03</v>
      </c>
      <c r="H975" s="11" t="inlineStr">
        <is>
          <t>Core Set 2020 (M20)</t>
        </is>
      </c>
      <c r="I975" s="11" t="inlineStr">
        <is>
          <t>Não</t>
        </is>
      </c>
      <c r="J975" s="11" t="n">
        <v>2019</v>
      </c>
      <c r="K975" s="10" t="n">
        <v>46084</v>
      </c>
      <c r="L975" s="11" t="n">
        <v>1</v>
      </c>
      <c r="M975" s="8">
        <f>L975*G975</f>
        <v/>
      </c>
      <c r="P975" s="9" t="n"/>
    </row>
    <row r="976">
      <c r="A976" s="11" t="inlineStr">
        <is>
          <t>Awakened Amalgam / Despertadora das Forças Selvagens</t>
        </is>
      </c>
      <c r="B976" s="11" t="inlineStr">
        <is>
          <t>Creature — Merfolk Shaman / Criatura — Tritão Xamã</t>
        </is>
      </c>
      <c r="C976" s="11" t="inlineStr">
        <is>
          <t>Rare / Rara</t>
        </is>
      </c>
      <c r="D976" s="11"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6" s="11" t="inlineStr">
        <is>
          <t>{2}{G}{G}</t>
        </is>
      </c>
      <c r="F976" s="11" t="inlineStr">
        <is>
          <t>Verde</t>
        </is>
      </c>
      <c r="G976" s="8" t="n">
        <v>0.17</v>
      </c>
      <c r="H976" s="11" t="inlineStr">
        <is>
          <t>Ixalan (XLN)</t>
        </is>
      </c>
      <c r="I976" s="11" t="inlineStr">
        <is>
          <t>Não</t>
        </is>
      </c>
      <c r="J976" s="11" t="n">
        <v>2017</v>
      </c>
      <c r="K976" s="10" t="n">
        <v>46084</v>
      </c>
      <c r="L976" s="11" t="n">
        <v>1</v>
      </c>
      <c r="M976" s="8">
        <f>L976*G976</f>
        <v/>
      </c>
      <c r="P976" s="9" t="n"/>
    </row>
    <row r="977">
      <c r="A977" s="11" t="inlineStr">
        <is>
          <t>District Guide / Guia do Distrito</t>
        </is>
      </c>
      <c r="B977" s="11" t="inlineStr">
        <is>
          <t>Creature — Elf Scout / Criatura — Elfo Batedor</t>
        </is>
      </c>
      <c r="C977" s="11" t="inlineStr">
        <is>
          <t>Uncommon / Incomum</t>
        </is>
      </c>
      <c r="D977" s="11"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7" s="11" t="inlineStr">
        <is>
          <t>{2}{G}</t>
        </is>
      </c>
      <c r="F977" s="11" t="inlineStr">
        <is>
          <t>Verde</t>
        </is>
      </c>
      <c r="G977" s="8" t="n">
        <v>0.08</v>
      </c>
      <c r="H977" s="11" t="inlineStr">
        <is>
          <t>Guilds of Ravnica (GRN)</t>
        </is>
      </c>
      <c r="I977" s="11" t="inlineStr">
        <is>
          <t>Não</t>
        </is>
      </c>
      <c r="J977" s="11" t="n">
        <v>2018</v>
      </c>
      <c r="K977" s="10" t="n">
        <v>46055</v>
      </c>
      <c r="L977" s="11" t="n">
        <v>1</v>
      </c>
      <c r="M977" s="8">
        <f>L977*G977</f>
        <v/>
      </c>
      <c r="P977" s="9" t="n"/>
    </row>
    <row r="978">
      <c r="A978" s="11" t="inlineStr">
        <is>
          <t>Llanowar Ranger / Guarda-florestal de Llanowar</t>
        </is>
      </c>
      <c r="B978" s="11" t="inlineStr">
        <is>
          <t>Creature — Elf Scout / Criatura — Elfo Batedor</t>
        </is>
      </c>
      <c r="C978" s="11" t="inlineStr">
        <is>
          <t>Common / Comum</t>
        </is>
      </c>
      <c r="D978" s="11" t="inlineStr">
        <is>
          <t>{1}{G}, {T}: Search your library for a basic land card, put it onto the battlefield tapped, then shuffle. / {1}{G}, {T}: Procure um card de terreno básico em seu grimório, coloque-o no campo de batalha virado e depois embaralhe seu grimório.</t>
        </is>
      </c>
      <c r="E978" s="11" t="inlineStr">
        <is>
          <t>{2}{G}</t>
        </is>
      </c>
      <c r="F978" s="11" t="inlineStr">
        <is>
          <t>Verde</t>
        </is>
      </c>
      <c r="G978" s="8" t="n">
        <v>0.04</v>
      </c>
      <c r="H978" s="11" t="inlineStr">
        <is>
          <t>Invasion (INV)</t>
        </is>
      </c>
      <c r="I978" s="11" t="inlineStr">
        <is>
          <t>Não</t>
        </is>
      </c>
      <c r="J978" s="11" t="n">
        <v>2000</v>
      </c>
      <c r="K978" s="10" t="n">
        <v>46055</v>
      </c>
      <c r="L978" s="11" t="n">
        <v>1</v>
      </c>
      <c r="M978" s="8">
        <f>L978*G978</f>
        <v/>
      </c>
      <c r="P978" s="9" t="n"/>
    </row>
    <row r="979">
      <c r="A979" s="11" t="inlineStr">
        <is>
          <t>Inspiring Bard / Bardo Inspirador</t>
        </is>
      </c>
      <c r="B979" s="11" t="inlineStr">
        <is>
          <t>Creature — Elf Bard / Criatura — Elfo Bardo</t>
        </is>
      </c>
      <c r="C979" s="11" t="inlineStr">
        <is>
          <t>Common / Comum</t>
        </is>
      </c>
      <c r="D979" s="11"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9" s="11" t="inlineStr">
        <is>
          <t>{3}{G}</t>
        </is>
      </c>
      <c r="F979" s="11" t="inlineStr">
        <is>
          <t>Verde</t>
        </is>
      </c>
      <c r="G979" s="8" t="n">
        <v>0.05</v>
      </c>
      <c r="H979" s="11" t="inlineStr">
        <is>
          <t>Adventures in the Forgotten Realms (AFR)</t>
        </is>
      </c>
      <c r="I979" s="11" t="inlineStr">
        <is>
          <t>Não</t>
        </is>
      </c>
      <c r="J979" s="11" t="n">
        <v>2021</v>
      </c>
      <c r="K979" s="10" t="n">
        <v>46084</v>
      </c>
      <c r="L979" s="11" t="n">
        <v>1</v>
      </c>
      <c r="M979" s="8">
        <f>L979*G979</f>
        <v/>
      </c>
      <c r="P979" s="9" t="n"/>
    </row>
    <row r="980">
      <c r="A980" s="11" t="inlineStr">
        <is>
          <t>Briarpack Alpha / Alfa da Alcateia dos Espinhos</t>
        </is>
      </c>
      <c r="B980" s="11" t="inlineStr">
        <is>
          <t>Creature — Wolf / Criatura — Lobo</t>
        </is>
      </c>
      <c r="C980" s="11" t="inlineStr">
        <is>
          <t>Uncommon / Incomum</t>
        </is>
      </c>
      <c r="D980" s="11" t="inlineStr">
        <is>
          <t>Flash. When Briarpack Alpha enters the battlefield, target creature gets +2/+2 until end of turn. / Lampejo. Quando Alfa da Alcateia dos Espinhos entra no campo de batalha, a criatura alvo recebe +2/+2 até o final do turno.</t>
        </is>
      </c>
      <c r="E980" s="11" t="inlineStr">
        <is>
          <t>{3}{G}</t>
        </is>
      </c>
      <c r="F980" s="11" t="inlineStr">
        <is>
          <t>Verde</t>
        </is>
      </c>
      <c r="G980" s="8" t="n">
        <v>0.06</v>
      </c>
      <c r="H980" s="11" t="inlineStr">
        <is>
          <t>Avacyn Restored (AVR)</t>
        </is>
      </c>
      <c r="I980" s="11" t="inlineStr">
        <is>
          <t>Não</t>
        </is>
      </c>
      <c r="J980" s="11" t="n">
        <v>2012</v>
      </c>
      <c r="K980" s="10" t="n">
        <v>46084</v>
      </c>
      <c r="L980" s="11" t="n">
        <v>1</v>
      </c>
      <c r="M980" s="8">
        <f>L980*G980</f>
        <v/>
      </c>
      <c r="P980" s="9" t="n"/>
    </row>
    <row r="981">
      <c r="A981" s="11" t="inlineStr">
        <is>
          <t>Reckless Amplimancer / Amplimante Temerário</t>
        </is>
      </c>
      <c r="B981" s="11" t="inlineStr">
        <is>
          <t>Creature — Elf Druid / Criatura — Elfo Druida</t>
        </is>
      </c>
      <c r="C981" s="11" t="inlineStr">
        <is>
          <t>Common / Comum</t>
        </is>
      </c>
      <c r="D981" s="11" t="inlineStr">
        <is>
          <t>{4}{G}: Double the power and toughness of Reckless Amplimancer until end of turn. / {4}{G}: Dobre o poder e a resistência de Amplimante Temerário até o final do turno.</t>
        </is>
      </c>
      <c r="E981" s="11" t="inlineStr">
        <is>
          <t>{1}{G}</t>
        </is>
      </c>
      <c r="F981" s="11" t="inlineStr">
        <is>
          <t>Verde</t>
        </is>
      </c>
      <c r="G981" s="8" t="n">
        <v>0.06</v>
      </c>
      <c r="H981" s="11" t="inlineStr">
        <is>
          <t>Strixhaven: School of Mages (STX)</t>
        </is>
      </c>
      <c r="I981" s="11" t="inlineStr">
        <is>
          <t>Não</t>
        </is>
      </c>
      <c r="J981" s="11" t="n">
        <v>2021</v>
      </c>
      <c r="K981" s="10" t="n">
        <v>46055</v>
      </c>
      <c r="L981" s="11" t="n">
        <v>4</v>
      </c>
      <c r="M981" s="8">
        <f>L981*G981</f>
        <v/>
      </c>
      <c r="P981" s="9" t="n"/>
    </row>
    <row r="982">
      <c r="A982" s="11" t="inlineStr">
        <is>
          <t>Orochi Sustainer / Orochi Chama-Folhas</t>
        </is>
      </c>
      <c r="B982" s="11" t="inlineStr">
        <is>
          <t>Creature — Snake Shaman</t>
        </is>
      </c>
      <c r="C982" s="11" t="inlineStr">
        <is>
          <t>Common</t>
        </is>
      </c>
      <c r="D982" s="11" t="inlineStr">
        <is>
          <t>{T}: Add {G} to your mana pool.</t>
        </is>
      </c>
      <c r="E982" s="11" t="inlineStr">
        <is>
          <t>{1}{G}</t>
        </is>
      </c>
      <c r="F982" s="11" t="inlineStr">
        <is>
          <t>Verde</t>
        </is>
      </c>
      <c r="G982" s="8" t="n">
        <v>0.09</v>
      </c>
      <c r="H982" s="11" t="inlineStr">
        <is>
          <t>Champions of Kamigawa (CHK)</t>
        </is>
      </c>
      <c r="I982" s="11" t="inlineStr">
        <is>
          <t>Não</t>
        </is>
      </c>
      <c r="J982" s="11" t="n">
        <v>2004</v>
      </c>
      <c r="K982" s="10" t="n">
        <v>46054</v>
      </c>
      <c r="L982" s="11" t="n">
        <v>2</v>
      </c>
      <c r="M982" s="8">
        <f>L982*G982</f>
        <v/>
      </c>
      <c r="P982" s="9" t="n"/>
    </row>
    <row r="983">
      <c r="A983" s="11" t="inlineStr">
        <is>
          <t>Track Down / Atiradora do Céu Aberto</t>
        </is>
      </c>
      <c r="B983" s="11" t="inlineStr">
        <is>
          <t>Creature — Elf Archer / Criatura — Elfo Arqueiro</t>
        </is>
      </c>
      <c r="C983" s="11" t="inlineStr">
        <is>
          <t>Uncommon / Incomum</t>
        </is>
      </c>
      <c r="D983" s="11" t="inlineStr">
        <is>
          <t>Reach. {2}{G}: Atiradora do Céu Aberto deals 1 damage to target creature with flying. / Alcance. {2}{G}: Atiradora do Céu Aberto causa 1 ponto de dano à criatura alvo com voar.</t>
        </is>
      </c>
      <c r="E983" s="11" t="inlineStr">
        <is>
          <t>{G}</t>
        </is>
      </c>
      <c r="F983" s="11" t="inlineStr">
        <is>
          <t>Verde</t>
        </is>
      </c>
      <c r="G983" s="8" t="n">
        <v>0.05</v>
      </c>
      <c r="H983" s="11" t="inlineStr">
        <is>
          <t>Core Set 2021 (M21)</t>
        </is>
      </c>
      <c r="I983" s="11" t="inlineStr">
        <is>
          <t>Não</t>
        </is>
      </c>
      <c r="J983" s="11" t="n">
        <v>2020</v>
      </c>
      <c r="K983" s="10" t="n">
        <v>46054</v>
      </c>
      <c r="L983" s="11" t="n">
        <v>4</v>
      </c>
      <c r="M983" s="8">
        <f>L983*G983</f>
        <v/>
      </c>
      <c r="P983" s="9" t="n"/>
    </row>
    <row r="984">
      <c r="A984" s="11" t="inlineStr">
        <is>
          <t>Hungry Spriggan / Spriggan Faminto</t>
        </is>
      </c>
      <c r="B984" s="11" t="inlineStr">
        <is>
          <t>Creature — Goblin Warrior / Criatura — Goblin Guerreiro</t>
        </is>
      </c>
      <c r="C984" s="11" t="inlineStr">
        <is>
          <t>Common / Comum</t>
        </is>
      </c>
      <c r="D984" s="11" t="inlineStr">
        <is>
          <t>Trample. Whenever Hungry Spriggan attacks, it gets +3/+3 until end of turn. / Atropelar. Toda vez que Spriggan Faminto ataca, ele recebe +3/+3 até o final do turno.</t>
        </is>
      </c>
      <c r="E984" s="11" t="inlineStr">
        <is>
          <t>{2}{G}</t>
        </is>
      </c>
      <c r="F984" s="11" t="inlineStr">
        <is>
          <t>Verde</t>
        </is>
      </c>
      <c r="G984" s="8" t="n">
        <v>0.06</v>
      </c>
      <c r="H984" s="11" t="inlineStr">
        <is>
          <t>Ravnica: City of Guilds (RAV)</t>
        </is>
      </c>
      <c r="I984" s="11" t="inlineStr">
        <is>
          <t>Não</t>
        </is>
      </c>
      <c r="J984" s="11" t="n">
        <v>2005</v>
      </c>
      <c r="K984" s="10" t="n">
        <v>46023</v>
      </c>
      <c r="L984" s="11" t="n">
        <v>1</v>
      </c>
      <c r="M984" s="8">
        <f>L984*G984</f>
        <v/>
      </c>
      <c r="P984" s="9" t="n"/>
    </row>
    <row r="985">
      <c r="A985" s="11" t="inlineStr">
        <is>
          <t>Wood Elves / Elfos da Floresta</t>
        </is>
      </c>
      <c r="B985" s="11" t="inlineStr">
        <is>
          <t>Creature — Elf Scout / Criatura — Elfo Batedor</t>
        </is>
      </c>
      <c r="C985" s="11" t="inlineStr">
        <is>
          <t>Common / Comum</t>
        </is>
      </c>
      <c r="D985" s="11"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85" s="11" t="inlineStr">
        <is>
          <t>{2}{G}</t>
        </is>
      </c>
      <c r="F985" s="11" t="inlineStr">
        <is>
          <t>Verde</t>
        </is>
      </c>
      <c r="G985" s="8" t="n">
        <v>2.5</v>
      </c>
      <c r="H985" s="11" t="inlineStr">
        <is>
          <t>Commander 2014 (C14)</t>
        </is>
      </c>
      <c r="I985" s="11" t="inlineStr">
        <is>
          <t>Não</t>
        </is>
      </c>
      <c r="J985" s="11" t="n">
        <v>2014</v>
      </c>
      <c r="K985" s="10" t="n">
        <v>46023</v>
      </c>
      <c r="L985" s="11" t="n">
        <v>1</v>
      </c>
      <c r="M985" s="8">
        <f>L985*G985</f>
        <v/>
      </c>
      <c r="P985" s="9" t="n"/>
    </row>
    <row r="986">
      <c r="A986" s="11" t="inlineStr">
        <is>
          <t>Dwynen's Elite</t>
        </is>
      </c>
      <c r="B986" s="11" t="inlineStr">
        <is>
          <t>Creature — Elf Warrior</t>
        </is>
      </c>
      <c r="C986" s="11" t="inlineStr">
        <is>
          <t>Common</t>
        </is>
      </c>
      <c r="D986" s="11" t="inlineStr">
        <is>
          <t>When this creature enters, if you control another Elf, create a 1/1 green Elf Warrior creature token.</t>
        </is>
      </c>
      <c r="E986" s="11" t="inlineStr">
        <is>
          <t>{1}{G}</t>
        </is>
      </c>
      <c r="F986" s="11" t="inlineStr">
        <is>
          <t>Verde</t>
        </is>
      </c>
      <c r="G986" s="8" t="n">
        <v>0.14</v>
      </c>
      <c r="H986" s="11" t="inlineStr">
        <is>
          <t>Foundations (FDN)</t>
        </is>
      </c>
      <c r="I986" s="11" t="inlineStr">
        <is>
          <t>Não</t>
        </is>
      </c>
      <c r="J986" s="11" t="n">
        <v>2024</v>
      </c>
      <c r="K986" s="10" t="n">
        <v>46055</v>
      </c>
      <c r="L986" s="11" t="n">
        <v>1</v>
      </c>
      <c r="M986" s="8">
        <f>L986*G986</f>
        <v/>
      </c>
      <c r="P986" s="9" t="n"/>
    </row>
    <row r="987">
      <c r="A987" s="11" t="inlineStr">
        <is>
          <t>Loathsome Troll / Trol Odioso</t>
        </is>
      </c>
      <c r="B987" s="11" t="inlineStr">
        <is>
          <t>Creature — Troll / Criatura — Trol</t>
        </is>
      </c>
      <c r="C987" s="11" t="inlineStr">
        <is>
          <t>Uncommon / Incomum</t>
        </is>
      </c>
      <c r="D987" s="11"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7" s="11" t="inlineStr">
        <is>
          <t>{3}{G}</t>
        </is>
      </c>
      <c r="F987" s="11" t="inlineStr">
        <is>
          <t>Verde</t>
        </is>
      </c>
      <c r="G987" s="8" t="n">
        <v>0.04</v>
      </c>
      <c r="H987" s="11" t="inlineStr">
        <is>
          <t>Adventures in the Forgotten Realms (AFR)</t>
        </is>
      </c>
      <c r="I987" s="11" t="inlineStr">
        <is>
          <t>Não</t>
        </is>
      </c>
      <c r="J987" s="11" t="n">
        <v>2021</v>
      </c>
      <c r="K987" s="10" t="n">
        <v>46059</v>
      </c>
      <c r="L987" s="11" t="n">
        <v>1</v>
      </c>
      <c r="M987" s="8">
        <f>L987*G987</f>
        <v/>
      </c>
      <c r="P987" s="9" t="n"/>
    </row>
    <row r="988">
      <c r="A988" s="11" t="inlineStr">
        <is>
          <t>Head of the Homestead</t>
        </is>
      </c>
      <c r="B988" s="11" t="inlineStr">
        <is>
          <t>Creature — Rabbit Citizen</t>
        </is>
      </c>
      <c r="C988" s="11" t="inlineStr">
        <is>
          <t>Common</t>
        </is>
      </c>
      <c r="D988" s="11" t="inlineStr">
        <is>
          <t>When Head of the Homestead enters, create two 1/1 white Rabbit creature tokens.</t>
        </is>
      </c>
      <c r="E988" s="11" t="inlineStr">
        <is>
          <t>{3}{G}{W}</t>
        </is>
      </c>
      <c r="F988" s="11" t="inlineStr">
        <is>
          <t>Verde/Branco</t>
        </is>
      </c>
      <c r="G988" s="8" t="n">
        <v>0.1</v>
      </c>
      <c r="H988" s="8" t="inlineStr">
        <is>
          <t>Bloomburrow (BLB)</t>
        </is>
      </c>
      <c r="I988" s="11" t="inlineStr">
        <is>
          <t>Não</t>
        </is>
      </c>
      <c r="J988" s="11" t="n">
        <v>2024</v>
      </c>
      <c r="K988" s="10" t="n">
        <v>46056</v>
      </c>
      <c r="L988" s="11" t="n">
        <v>1</v>
      </c>
      <c r="M988" s="8">
        <f>L988*G988</f>
        <v/>
      </c>
      <c r="P988" s="9" t="n"/>
    </row>
    <row r="989">
      <c r="A989" s="11" t="inlineStr">
        <is>
          <t>Peema Aether-Seer / Eteromante de Peema</t>
        </is>
      </c>
      <c r="B989" s="11" t="inlineStr">
        <is>
          <t>Creature — Elf Druid / Criatura — Elfo Druida</t>
        </is>
      </c>
      <c r="C989" s="11" t="inlineStr">
        <is>
          <t>Uncommon / Incomum</t>
        </is>
      </c>
      <c r="D989" s="11"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9" s="11" t="inlineStr">
        <is>
          <t>{3}{G}</t>
        </is>
      </c>
      <c r="F989" s="11" t="inlineStr">
        <is>
          <t>Verde</t>
        </is>
      </c>
      <c r="G989" s="8" t="n">
        <v>0.03</v>
      </c>
      <c r="H989" s="11" t="inlineStr">
        <is>
          <t>Aether Revolt (AER)</t>
        </is>
      </c>
      <c r="I989" s="11" t="inlineStr">
        <is>
          <t>Não</t>
        </is>
      </c>
      <c r="J989" s="11" t="n">
        <v>2017</v>
      </c>
      <c r="K989" s="10" t="n">
        <v>46056</v>
      </c>
      <c r="L989" s="11" t="n">
        <v>1</v>
      </c>
      <c r="M989" s="8">
        <f>L989*G989</f>
        <v/>
      </c>
      <c r="P989" s="9" t="n"/>
    </row>
    <row r="990">
      <c r="A990" s="11" t="inlineStr">
        <is>
          <t>Jaddi Offshoot</t>
        </is>
      </c>
      <c r="B990" s="11" t="inlineStr">
        <is>
          <t>Creature — Plant</t>
        </is>
      </c>
      <c r="C990" s="11" t="inlineStr">
        <is>
          <t>Common</t>
        </is>
      </c>
      <c r="D990" s="11" t="inlineStr">
        <is>
          <t>Defender. Landfall — Whenever a land enters the battlefield under your control, you gain 1 life.</t>
        </is>
      </c>
      <c r="E990" s="11" t="inlineStr">
        <is>
          <t>{G}</t>
        </is>
      </c>
      <c r="F990" s="11" t="inlineStr">
        <is>
          <t>Verde</t>
        </is>
      </c>
      <c r="G990" s="8" t="n">
        <v>0.1</v>
      </c>
      <c r="H990" s="8" t="inlineStr">
        <is>
          <t>Iconic Masters (IMA)</t>
        </is>
      </c>
      <c r="I990" s="11" t="inlineStr">
        <is>
          <t>Não</t>
        </is>
      </c>
      <c r="J990" s="11" t="n">
        <v>2017</v>
      </c>
      <c r="K990" s="11" t="inlineStr">
        <is>
          <t>0/3</t>
        </is>
      </c>
      <c r="L990" s="11" t="n">
        <v>1</v>
      </c>
      <c r="M990" s="8">
        <f>L990*G990</f>
        <v/>
      </c>
      <c r="P990" s="9" t="n"/>
    </row>
    <row r="991">
      <c r="A991" s="11" t="inlineStr">
        <is>
          <t>Scythe Leopard</t>
        </is>
      </c>
      <c r="B991" s="11" t="inlineStr">
        <is>
          <t>Creature — Cat</t>
        </is>
      </c>
      <c r="C991" s="11" t="inlineStr">
        <is>
          <t>Common</t>
        </is>
      </c>
      <c r="D991" s="11" t="inlineStr">
        <is>
          <t>Landfall — Whenever a land enters the battlefield under your control, Scythe Leopard gets +1/+1 until end of turn.</t>
        </is>
      </c>
      <c r="E991" s="11" t="inlineStr">
        <is>
          <t>{G}</t>
        </is>
      </c>
      <c r="F991" s="11" t="inlineStr">
        <is>
          <t>Verde</t>
        </is>
      </c>
      <c r="G991" s="8" t="n">
        <v>0.23</v>
      </c>
      <c r="H991" s="8" t="inlineStr">
        <is>
          <t>Battle for Zendikar (BFZ)</t>
        </is>
      </c>
      <c r="I991" s="11" t="inlineStr">
        <is>
          <t>Sim</t>
        </is>
      </c>
      <c r="J991" s="11" t="n">
        <v>2015</v>
      </c>
      <c r="K991" s="10" t="n">
        <v>46023</v>
      </c>
      <c r="L991" s="11" t="n">
        <v>1</v>
      </c>
      <c r="M991" s="8">
        <f>L991*G991</f>
        <v/>
      </c>
      <c r="P991" s="9" t="n"/>
    </row>
    <row r="992">
      <c r="A992" s="11" t="inlineStr">
        <is>
          <t>Sky Crier / Serralheira dos Arranha-céus</t>
        </is>
      </c>
      <c r="B992" s="11" t="inlineStr">
        <is>
          <t>Creature — Elf Citizen / Criatura — Elfo Cidadão</t>
        </is>
      </c>
      <c r="C992" s="11" t="inlineStr">
        <is>
          <t>Common / Comum</t>
        </is>
      </c>
      <c r="D992" s="11" t="inlineStr">
        <is>
          <t>Reach. Whenever Sky Crier blocks a creature with flying, it gets +2/+0 until end of turn. / Alcance. Toda vez que Serralheira dos Arranha-céus bloqueia uma criatura com voar, Serralheira dos Arranha-céus recebe +2/+0 até o final do turno.</t>
        </is>
      </c>
      <c r="E992" s="11" t="inlineStr">
        <is>
          <t>{2}{G}</t>
        </is>
      </c>
      <c r="F992" s="11" t="inlineStr">
        <is>
          <t>Verde</t>
        </is>
      </c>
      <c r="G992" s="8" t="n">
        <v>0.04</v>
      </c>
      <c r="H992" s="11" t="inlineStr">
        <is>
          <t>Streets of New Capenna (SNC)</t>
        </is>
      </c>
      <c r="I992" s="11" t="inlineStr">
        <is>
          <t>Não</t>
        </is>
      </c>
      <c r="J992" s="11" t="n">
        <v>2022</v>
      </c>
      <c r="K992" s="10" t="n">
        <v>46083</v>
      </c>
      <c r="L992" s="11" t="n">
        <v>3</v>
      </c>
      <c r="M992" s="8">
        <f>L992*G992</f>
        <v/>
      </c>
      <c r="P992" s="9" t="n"/>
    </row>
    <row r="993">
      <c r="A993" s="11" t="inlineStr">
        <is>
          <t>Skarrg Goliath / Golias de Skarrg</t>
        </is>
      </c>
      <c r="B993" s="11" t="inlineStr">
        <is>
          <t>Creature — Beast / Criatura — Besta</t>
        </is>
      </c>
      <c r="C993" s="11" t="inlineStr">
        <is>
          <t>Rare / Rara</t>
        </is>
      </c>
      <c r="D993" s="11"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93" s="11" t="inlineStr">
        <is>
          <t>{6}{G}{G}</t>
        </is>
      </c>
      <c r="F993" s="11" t="inlineStr">
        <is>
          <t>Verde</t>
        </is>
      </c>
      <c r="G993" s="8" t="n">
        <v>0.14</v>
      </c>
      <c r="H993" s="11" t="inlineStr">
        <is>
          <t>Gatecrash (GTC)</t>
        </is>
      </c>
      <c r="I993" s="11" t="inlineStr">
        <is>
          <t>Não</t>
        </is>
      </c>
      <c r="J993" s="11" t="n">
        <v>2013</v>
      </c>
      <c r="K993" s="10" t="n">
        <v>46274</v>
      </c>
      <c r="L993" s="11" t="n">
        <v>1</v>
      </c>
      <c r="M993" s="8">
        <f>L993*G993</f>
        <v/>
      </c>
      <c r="P993" s="9" t="n"/>
    </row>
    <row r="994">
      <c r="A994" s="11" t="inlineStr">
        <is>
          <t>Lys Alana Informant</t>
        </is>
      </c>
      <c r="B994" s="11" t="inlineStr">
        <is>
          <t>Creature — Elf Scout</t>
        </is>
      </c>
      <c r="C994" s="11" t="inlineStr">
        <is>
          <t>Common</t>
        </is>
      </c>
      <c r="D994" s="11" t="inlineStr">
        <is>
          <t>When this creature enters or dies, surveil 1. (Look at the top card of your library. You may put it into your graveyard.)</t>
        </is>
      </c>
      <c r="E994" s="11" t="inlineStr">
        <is>
          <t>{1}{G}</t>
        </is>
      </c>
      <c r="F994" s="11" t="inlineStr">
        <is>
          <t>Verde</t>
        </is>
      </c>
      <c r="G994" s="8" t="n">
        <v>0.12</v>
      </c>
      <c r="H994" s="8" t="inlineStr">
        <is>
          <t>Aetherclash (Lorwyn Eclipsed (ECL))</t>
        </is>
      </c>
      <c r="I994" s="11" t="inlineStr">
        <is>
          <t>Não</t>
        </is>
      </c>
      <c r="J994" s="11" t="n">
        <v>2026</v>
      </c>
      <c r="K994" s="10" t="n">
        <v>46025</v>
      </c>
      <c r="L994" s="11" t="n">
        <v>4</v>
      </c>
      <c r="M994" s="8">
        <f>L994*G994</f>
        <v/>
      </c>
      <c r="P994" s="9" t="n"/>
    </row>
    <row r="995">
      <c r="A995" s="11" t="inlineStr">
        <is>
          <t>Heroes' Bane / Perdição dos Heróis</t>
        </is>
      </c>
      <c r="B995" s="11" t="inlineStr">
        <is>
          <t>Creature — Hydra / Criatura — Hidra</t>
        </is>
      </c>
      <c r="C995" s="11" t="inlineStr">
        <is>
          <t>Rare / Rara</t>
        </is>
      </c>
      <c r="D995" s="11"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95" s="11" t="inlineStr">
        <is>
          <t>{3}{G}{G}</t>
        </is>
      </c>
      <c r="F995" s="11" t="inlineStr">
        <is>
          <t>Verde</t>
        </is>
      </c>
      <c r="G995" s="8" t="n">
        <v>0.38</v>
      </c>
      <c r="H995" s="8" t="inlineStr">
        <is>
          <t>Journey into Nyx (JOU)</t>
        </is>
      </c>
      <c r="I995" s="11" t="inlineStr">
        <is>
          <t>Não</t>
        </is>
      </c>
      <c r="J995" s="11" t="n">
        <v>2014</v>
      </c>
      <c r="K995" s="11" t="inlineStr">
        <is>
          <t>0/0</t>
        </is>
      </c>
      <c r="L995" s="11" t="n">
        <v>1</v>
      </c>
      <c r="M995" s="8">
        <f>L995*G995</f>
        <v/>
      </c>
      <c r="P995" s="9" t="n"/>
    </row>
    <row r="996">
      <c r="A996" s="11" t="inlineStr">
        <is>
          <t>Bloom Hulk / Druida do Pólen Brilhante</t>
        </is>
      </c>
      <c r="B996" s="11" t="inlineStr">
        <is>
          <t>Creature — Elf Druid / Criatura — Elfo Druida</t>
        </is>
      </c>
      <c r="C996" s="11" t="inlineStr">
        <is>
          <t>Common / Comum</t>
        </is>
      </c>
      <c r="D996" s="11"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6" s="11" t="inlineStr">
        <is>
          <t>{1}{G}</t>
        </is>
      </c>
      <c r="F996" s="11" t="inlineStr">
        <is>
          <t>Verde</t>
        </is>
      </c>
      <c r="G996" s="8" t="n">
        <v>0.14</v>
      </c>
      <c r="H996" s="8" t="inlineStr">
        <is>
          <t>War of the Spark (WAR)</t>
        </is>
      </c>
      <c r="I996" s="11" t="inlineStr">
        <is>
          <t>Não</t>
        </is>
      </c>
      <c r="J996" s="11" t="n">
        <v>2019</v>
      </c>
      <c r="K996" s="10" t="n">
        <v>46023</v>
      </c>
      <c r="L996" s="11" t="n">
        <v>1</v>
      </c>
      <c r="M996" s="8">
        <f>L996*G996</f>
        <v/>
      </c>
      <c r="P996" s="9" t="n"/>
    </row>
    <row r="997">
      <c r="A997" s="11" t="inlineStr">
        <is>
          <t>Geothermal Kami / Kami Geotérmico</t>
        </is>
      </c>
      <c r="B997" s="11" t="inlineStr">
        <is>
          <t>Creature — Spirit / Criatura — Espírito</t>
        </is>
      </c>
      <c r="C997" s="11" t="inlineStr">
        <is>
          <t>Common / Comum</t>
        </is>
      </c>
      <c r="D997" s="11"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7" s="11" t="inlineStr">
        <is>
          <t>{3}{G}</t>
        </is>
      </c>
      <c r="F997" s="11" t="inlineStr">
        <is>
          <t>Verde</t>
        </is>
      </c>
      <c r="G997" s="8" t="n">
        <v>0.06</v>
      </c>
      <c r="H997" s="8" t="inlineStr">
        <is>
          <t>Kamigawa: Neon Dynasty (NEO)</t>
        </is>
      </c>
      <c r="I997" s="11" t="inlineStr">
        <is>
          <t>Não</t>
        </is>
      </c>
      <c r="J997" s="11" t="n">
        <v>2022</v>
      </c>
      <c r="K997" s="10" t="n">
        <v>46085</v>
      </c>
      <c r="L997" s="11" t="n">
        <v>1</v>
      </c>
      <c r="M997" s="8">
        <f>L997*G997</f>
        <v/>
      </c>
      <c r="P997" s="9" t="n"/>
    </row>
    <row r="998">
      <c r="A998" s="11" t="inlineStr">
        <is>
          <t>Elvish Rejuvenator / Rejuvenescedor Élfico</t>
        </is>
      </c>
      <c r="B998" s="11" t="inlineStr">
        <is>
          <t>Creature — Elf Druid / Criatura — Elfo Druida</t>
        </is>
      </c>
      <c r="C998" s="11" t="inlineStr">
        <is>
          <t>Common / Comum</t>
        </is>
      </c>
      <c r="D998" s="11"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8" s="11" t="inlineStr">
        <is>
          <t>{2}{G}</t>
        </is>
      </c>
      <c r="F998" s="11" t="inlineStr">
        <is>
          <t>Verde</t>
        </is>
      </c>
      <c r="G998" s="8" t="n">
        <v>0.34</v>
      </c>
      <c r="H998" s="8" t="inlineStr">
        <is>
          <t>Core Set 2019 (M19)</t>
        </is>
      </c>
      <c r="I998" s="11" t="inlineStr">
        <is>
          <t>Sim</t>
        </is>
      </c>
      <c r="J998" s="11" t="n">
        <v>2018</v>
      </c>
      <c r="K998" s="10" t="n">
        <v>46023</v>
      </c>
      <c r="L998" s="11" t="n">
        <v>4</v>
      </c>
      <c r="M998" s="8">
        <f>L998*G998</f>
        <v/>
      </c>
      <c r="P998" s="9" t="n"/>
    </row>
    <row r="999">
      <c r="A999" s="11" t="inlineStr">
        <is>
          <t>Rust-Shield Rampager</t>
        </is>
      </c>
      <c r="B999" s="11" t="inlineStr">
        <is>
          <t>Creature — Raccoon Warrior</t>
        </is>
      </c>
      <c r="C999" s="11" t="inlineStr">
        <is>
          <t>Common</t>
        </is>
      </c>
      <c r="D999" s="11" t="inlineStr">
        <is>
          <t>Offspring 2 (You may pay an additional 2 as you cast this spell. If you do, when this creature enters, create a 1/1 token copy of it.) This creature can't be blocked by creatures with power 2 or less.</t>
        </is>
      </c>
      <c r="E999" s="11" t="inlineStr">
        <is>
          <t>{3}{G}</t>
        </is>
      </c>
      <c r="F999" s="11" t="inlineStr">
        <is>
          <t>Verde</t>
        </is>
      </c>
      <c r="G999" s="8" t="n">
        <v>0.1</v>
      </c>
      <c r="H999" s="8" t="inlineStr">
        <is>
          <t>Bloomburrow (BLB)</t>
        </is>
      </c>
      <c r="I999" s="11" t="inlineStr">
        <is>
          <t>Não</t>
        </is>
      </c>
      <c r="J999" s="11" t="n">
        <v>2024</v>
      </c>
      <c r="K999" s="10" t="n">
        <v>46116</v>
      </c>
      <c r="L999" s="11" t="n">
        <v>1</v>
      </c>
      <c r="M999" s="8">
        <f>L999*G999</f>
        <v/>
      </c>
      <c r="P999" s="9" t="n"/>
    </row>
    <row r="1000">
      <c r="A1000" s="11" t="inlineStr">
        <is>
          <t>Fungus Sliver</t>
        </is>
      </c>
      <c r="B1000" s="11" t="inlineStr">
        <is>
          <t>Creature — Fungus Sliver</t>
        </is>
      </c>
      <c r="C1000" s="11" t="inlineStr">
        <is>
          <t>Uncommon</t>
        </is>
      </c>
      <c r="D1000" s="11" t="inlineStr">
        <is>
          <t>All Slivers have "Whenever this creature is dealt damage, put a +1/+1 counter on it." (The damage is dealt before the counter is put on.)</t>
        </is>
      </c>
      <c r="E1000" s="11" t="inlineStr">
        <is>
          <t>{3}{G}</t>
        </is>
      </c>
      <c r="F1000" s="11" t="inlineStr">
        <is>
          <t>Verde</t>
        </is>
      </c>
      <c r="G1000" s="8" t="n">
        <v>0.74</v>
      </c>
      <c r="H1000" s="8" t="inlineStr">
        <is>
          <t>Time Spiral (TSP)</t>
        </is>
      </c>
      <c r="I1000" s="11" t="inlineStr">
        <is>
          <t>Não</t>
        </is>
      </c>
      <c r="J1000" s="11" t="n">
        <v>2006</v>
      </c>
      <c r="K1000" s="10" t="n">
        <v>46055</v>
      </c>
      <c r="L1000" s="11" t="n">
        <v>1</v>
      </c>
      <c r="M1000" s="8">
        <f>L1000*G1000</f>
        <v/>
      </c>
      <c r="P1000" s="9" t="n"/>
    </row>
    <row r="1001">
      <c r="A1001" s="11" t="inlineStr">
        <is>
          <t>Orochi Ranger</t>
        </is>
      </c>
      <c r="B1001" s="11" t="inlineStr">
        <is>
          <t>Creature — Snake Warrior</t>
        </is>
      </c>
      <c r="C1001" s="11" t="inlineStr">
        <is>
          <t>Uncommon</t>
        </is>
      </c>
      <c r="D1001" s="11" t="inlineStr">
        <is>
          <t>Whenever Orochi Ranger deals combat damage to a creature, tap that creature and it doesn't untap during its controller's next untap step.</t>
        </is>
      </c>
      <c r="E1001" s="11" t="inlineStr">
        <is>
          <t>{1}{G}</t>
        </is>
      </c>
      <c r="F1001" s="11" t="inlineStr">
        <is>
          <t>Verde</t>
        </is>
      </c>
      <c r="G1001" s="8" t="n">
        <v>0.03</v>
      </c>
      <c r="H1001" s="8" t="inlineStr">
        <is>
          <t>Champions of Kamigawa (CHK)</t>
        </is>
      </c>
      <c r="I1001" s="11" t="inlineStr">
        <is>
          <t>Não</t>
        </is>
      </c>
      <c r="J1001" s="11" t="n">
        <v>2004</v>
      </c>
      <c r="K1001" s="10" t="n">
        <v>46024</v>
      </c>
      <c r="L1001" s="11" t="n">
        <v>1</v>
      </c>
      <c r="M1001" s="8">
        <f>L1001*G1001</f>
        <v/>
      </c>
      <c r="P1001" s="9" t="n"/>
    </row>
    <row r="1002">
      <c r="A1002" s="11" t="inlineStr">
        <is>
          <t>Ascendant Packleader / Líder de Alcateia em Ascensão</t>
        </is>
      </c>
      <c r="B1002" s="11" t="inlineStr">
        <is>
          <t>Creature — Wolf / Criatura — Lobo</t>
        </is>
      </c>
      <c r="C1002" s="11" t="inlineStr">
        <is>
          <t>Rare / Rara</t>
        </is>
      </c>
      <c r="D1002" s="11"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1002" s="11" t="inlineStr">
        <is>
          <t>{G}</t>
        </is>
      </c>
      <c r="F1002" s="11" t="inlineStr">
        <is>
          <t>Verde</t>
        </is>
      </c>
      <c r="G1002" s="8" t="n">
        <v>0.43</v>
      </c>
      <c r="H1002" s="8" t="inlineStr">
        <is>
          <t>Innistrad: Crimson Vow (VOW)</t>
        </is>
      </c>
      <c r="I1002" s="11" t="inlineStr">
        <is>
          <t>Não</t>
        </is>
      </c>
      <c r="J1002" s="11" t="n">
        <v>2021</v>
      </c>
      <c r="K1002" s="10" t="n">
        <v>46024</v>
      </c>
      <c r="L1002" s="11" t="n">
        <v>1</v>
      </c>
      <c r="M1002" s="8">
        <f>L1002*G1002</f>
        <v/>
      </c>
      <c r="P1002" s="9" t="n"/>
    </row>
    <row r="1003">
      <c r="A1003" s="11" t="inlineStr">
        <is>
          <t>Villagers of Estwald / Aldeões de Estwald</t>
        </is>
      </c>
      <c r="B1003" s="11" t="inlineStr">
        <is>
          <t>Creature — Human Werewolf / Criatura — Humano Lobisomem</t>
        </is>
      </c>
      <c r="C1003" s="11" t="inlineStr">
        <is>
          <t>Common / Comum</t>
        </is>
      </c>
      <c r="D1003" s="11" t="inlineStr">
        <is>
          <t>At the beginning of each upkeep, if no spells were cast last turn, transform Villagers of Estwald. / No início de cada manutenção, se nenhuma mágica tiver sido conjurada no último turno, transforme Aldeões de Estwald.</t>
        </is>
      </c>
      <c r="E1003" s="11" t="inlineStr">
        <is>
          <t>{2}{G}</t>
        </is>
      </c>
      <c r="F1003" s="11" t="inlineStr">
        <is>
          <t>Verde</t>
        </is>
      </c>
      <c r="G1003" s="8" t="n">
        <v>0.08</v>
      </c>
      <c r="H1003" s="8" t="inlineStr">
        <is>
          <t>Innistrad (ISD)</t>
        </is>
      </c>
      <c r="I1003" s="11" t="inlineStr">
        <is>
          <t>Não</t>
        </is>
      </c>
      <c r="J1003" s="11" t="n">
        <v>2011</v>
      </c>
      <c r="K1003" s="10" t="n">
        <v>46083</v>
      </c>
      <c r="L1003" s="11" t="n">
        <v>1</v>
      </c>
      <c r="M1003" s="8">
        <f>L1003*G1003</f>
        <v/>
      </c>
      <c r="P1003" s="9" t="n"/>
    </row>
    <row r="1004">
      <c r="A1004" s="11" t="inlineStr">
        <is>
          <t>Rumbling Baloth</t>
        </is>
      </c>
      <c r="B1004" s="11" t="inlineStr">
        <is>
          <t>Creature — Beast</t>
        </is>
      </c>
      <c r="C1004" s="11" t="inlineStr">
        <is>
          <t>Common</t>
        </is>
      </c>
      <c r="D1004" s="11" t="inlineStr">
        <is>
          <t>None</t>
        </is>
      </c>
      <c r="E1004" s="11" t="inlineStr">
        <is>
          <t>{2}{G}{G}</t>
        </is>
      </c>
      <c r="F1004" s="11" t="inlineStr">
        <is>
          <t>Verde</t>
        </is>
      </c>
      <c r="G1004" s="8" t="n">
        <v>0.05</v>
      </c>
      <c r="H1004" s="8" t="inlineStr">
        <is>
          <t>Magic 2014 (M14)</t>
        </is>
      </c>
      <c r="I1004" s="11" t="inlineStr">
        <is>
          <t>Não</t>
        </is>
      </c>
      <c r="J1004" s="11" t="n">
        <v>2013</v>
      </c>
      <c r="K1004" s="10" t="n">
        <v>46116</v>
      </c>
      <c r="L1004" s="11" t="n">
        <v>1</v>
      </c>
      <c r="M1004" s="8">
        <f>L1004*G1004</f>
        <v/>
      </c>
      <c r="P1004" s="9" t="n"/>
    </row>
    <row r="1005">
      <c r="A1005" s="11" t="inlineStr">
        <is>
          <t>Saruli Caretaker / Guardiã de Saruli</t>
        </is>
      </c>
      <c r="B1005" s="11" t="inlineStr">
        <is>
          <t>Creature — Dryad / Criatura — Dríade</t>
        </is>
      </c>
      <c r="C1005" s="11" t="inlineStr">
        <is>
          <t>Common / Comum</t>
        </is>
      </c>
      <c r="D1005" s="11" t="inlineStr">
        <is>
          <t>Defender. {T}, Tap an untapped creature you control: Add one mana of any color. / Defensor. {T}, vire uma criatura desvirada que você controla: Adicione um mana de qualquer cor.</t>
        </is>
      </c>
      <c r="E1005" s="11" t="inlineStr">
        <is>
          <t>{G}</t>
        </is>
      </c>
      <c r="F1005" s="11" t="inlineStr">
        <is>
          <t>Verde</t>
        </is>
      </c>
      <c r="G1005" s="8" t="n">
        <v>0.25</v>
      </c>
      <c r="H1005" s="8" t="inlineStr">
        <is>
          <t>Ravnica Allegiance (RNA)</t>
        </is>
      </c>
      <c r="I1005" s="11" t="inlineStr">
        <is>
          <t>Não</t>
        </is>
      </c>
      <c r="J1005" s="11" t="n">
        <v>2019</v>
      </c>
      <c r="K1005" s="11" t="inlineStr">
        <is>
          <t>0/3</t>
        </is>
      </c>
      <c r="L1005" s="11" t="n">
        <v>1</v>
      </c>
      <c r="M1005" s="8">
        <f>L1005*G1005</f>
        <v/>
      </c>
      <c r="P1005" s="9" t="n"/>
    </row>
    <row r="1006">
      <c r="A1006" s="11" t="inlineStr">
        <is>
          <t>Bulette / Bulete</t>
        </is>
      </c>
      <c r="B1006" s="11" t="inlineStr">
        <is>
          <t>Creature — Beast / Criatura — Besta</t>
        </is>
      </c>
      <c r="C1006" s="11" t="inlineStr">
        <is>
          <t>Common / Comum</t>
        </is>
      </c>
      <c r="D1006" s="11" t="inlineStr">
        <is>
          <t>At the beginning of your end step, if a creature died this turn, put a +1/+1 counter on Bulette. / No início de sua etapa final, se uma criatura tiver morrido neste turno, coloque um marcador +1/+1 em Bulete.</t>
        </is>
      </c>
      <c r="E1006" s="11" t="inlineStr">
        <is>
          <t>{3}{G}</t>
        </is>
      </c>
      <c r="F1006" s="11" t="inlineStr">
        <is>
          <t>Verde</t>
        </is>
      </c>
      <c r="G1006" s="8" t="n">
        <v>0.06</v>
      </c>
      <c r="H1006" s="11" t="inlineStr">
        <is>
          <t>Adventures in the Forgotten Realms (AFR)</t>
        </is>
      </c>
      <c r="I1006" s="11" t="inlineStr">
        <is>
          <t>Não</t>
        </is>
      </c>
      <c r="J1006" s="11" t="n">
        <v>2021</v>
      </c>
      <c r="K1006" s="10" t="n">
        <v>46084</v>
      </c>
      <c r="L1006" s="11" t="n">
        <v>1</v>
      </c>
      <c r="M1006" s="8">
        <f>L1006*G1006</f>
        <v/>
      </c>
      <c r="P1006" s="9" t="n"/>
    </row>
    <row r="1007">
      <c r="A1007" s="11" t="inlineStr">
        <is>
          <t>Spirit of the Aldergard / Espírito de Aldergard</t>
        </is>
      </c>
      <c r="B1007" s="11" t="inlineStr">
        <is>
          <t>Snow Creature — Bear Spirit / Criatura da Neve — Urso Espírito</t>
        </is>
      </c>
      <c r="C1007" s="11" t="inlineStr">
        <is>
          <t>Uncommon / Incomum</t>
        </is>
      </c>
      <c r="D1007" s="11"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7" s="11" t="inlineStr">
        <is>
          <t>{3}{G}</t>
        </is>
      </c>
      <c r="F1007" s="11" t="inlineStr">
        <is>
          <t>Verde</t>
        </is>
      </c>
      <c r="G1007" s="8" t="n">
        <v>0.09</v>
      </c>
      <c r="H1007" s="11" t="inlineStr">
        <is>
          <t>Kaldheim (KHM)</t>
        </is>
      </c>
      <c r="I1007" s="11" t="inlineStr">
        <is>
          <t>Não</t>
        </is>
      </c>
      <c r="J1007" s="11" t="n">
        <v>2021</v>
      </c>
      <c r="K1007" s="11" t="inlineStr">
        <is>
          <t>0/4</t>
        </is>
      </c>
      <c r="L1007" s="11" t="n">
        <v>2</v>
      </c>
      <c r="M1007" s="8">
        <f>L1007*G1007</f>
        <v/>
      </c>
      <c r="P1007" s="9" t="n"/>
    </row>
    <row r="1008">
      <c r="A1008" s="11" t="inlineStr">
        <is>
          <t>Topiary Stomper / Pisoteador de Topiaria</t>
        </is>
      </c>
      <c r="B1008" s="11" t="inlineStr">
        <is>
          <t>Creature — Plant Dinosaur / Criatura — Planta Dinossauro</t>
        </is>
      </c>
      <c r="C1008" s="11" t="inlineStr">
        <is>
          <t>Rare / Raro</t>
        </is>
      </c>
      <c r="D1008" s="11"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8" s="11" t="inlineStr">
        <is>
          <t>{1}{G}{G}</t>
        </is>
      </c>
      <c r="F1008" s="11" t="inlineStr">
        <is>
          <t>Verde</t>
        </is>
      </c>
      <c r="G1008" s="8" t="n">
        <v>4.9</v>
      </c>
      <c r="H1008" s="11" t="inlineStr">
        <is>
          <t>Streets of New Capenna (SNC)</t>
        </is>
      </c>
      <c r="I1008" s="11" t="inlineStr">
        <is>
          <t>Não</t>
        </is>
      </c>
      <c r="J1008" s="11" t="n">
        <v>2022</v>
      </c>
      <c r="K1008" s="10" t="n">
        <v>46116</v>
      </c>
      <c r="L1008" s="11" t="n">
        <v>1</v>
      </c>
      <c r="M1008" s="8">
        <f>L1008*G1008</f>
        <v/>
      </c>
      <c r="P1008" s="9" t="n"/>
    </row>
    <row r="1009">
      <c r="A1009" s="11" t="inlineStr">
        <is>
          <t>Vivien's Grizzly / Urso Pardo de Vivien</t>
        </is>
      </c>
      <c r="B1009" s="11" t="inlineStr">
        <is>
          <t>Creature — Bear Spirit / Criatura — Urso Espírito</t>
        </is>
      </c>
      <c r="C1009" s="11" t="inlineStr">
        <is>
          <t>Common / Comum</t>
        </is>
      </c>
      <c r="D1009" s="11"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9" s="11" t="inlineStr">
        <is>
          <t>{2}{G}</t>
        </is>
      </c>
      <c r="F1009" s="11" t="inlineStr">
        <is>
          <t>Verde</t>
        </is>
      </c>
      <c r="G1009" s="8" t="n">
        <v>0.06</v>
      </c>
      <c r="H1009" s="11" t="inlineStr">
        <is>
          <t>War of the Spark (WAR)</t>
        </is>
      </c>
      <c r="I1009" s="11" t="inlineStr">
        <is>
          <t>Não</t>
        </is>
      </c>
      <c r="J1009" s="11" t="n">
        <v>2019</v>
      </c>
      <c r="K1009" s="10" t="n">
        <v>46083</v>
      </c>
      <c r="L1009" s="11" t="n">
        <v>4</v>
      </c>
      <c r="M1009" s="8">
        <f>L1009*G1009</f>
        <v/>
      </c>
      <c r="P1009" s="9" t="n"/>
    </row>
    <row r="1010">
      <c r="A1010" s="11" t="inlineStr">
        <is>
          <t>Tunnel Tipster / Informante dos Túneis</t>
        </is>
      </c>
      <c r="B1010" s="11" t="inlineStr">
        <is>
          <t>Creature — Mole Scout / Criatura — Toupeira Batedor</t>
        </is>
      </c>
      <c r="C1010" s="11" t="inlineStr">
        <is>
          <t>Common / Comum</t>
        </is>
      </c>
      <c r="D1010" s="11"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10" s="11" t="inlineStr">
        <is>
          <t>{1}{G}</t>
        </is>
      </c>
      <c r="F1010" s="11" t="inlineStr">
        <is>
          <t>Verde</t>
        </is>
      </c>
      <c r="G1010" s="8" t="n">
        <v>0.06</v>
      </c>
      <c r="H1010" s="11" t="inlineStr">
        <is>
          <t>Murders at Karlov Manor (MKM)</t>
        </is>
      </c>
      <c r="I1010" s="11" t="inlineStr">
        <is>
          <t>Não</t>
        </is>
      </c>
      <c r="J1010" s="11" t="n">
        <v>2024</v>
      </c>
      <c r="K1010" s="10" t="n">
        <v>46023</v>
      </c>
      <c r="L1010" s="11" t="n">
        <v>1</v>
      </c>
      <c r="M1010" s="8">
        <f>L1010*G1010</f>
        <v/>
      </c>
      <c r="P1010" s="9" t="n"/>
    </row>
    <row r="1011">
      <c r="A1011" s="11" t="inlineStr">
        <is>
          <t>Beanstalk Giant / Gigante do Pé de Feijão</t>
        </is>
      </c>
      <c r="B1011" s="11" t="inlineStr">
        <is>
          <t>Creature — Giant / Criatura — Gigante</t>
        </is>
      </c>
      <c r="C1011" s="11" t="inlineStr">
        <is>
          <t>Uncommon / Incomum</t>
        </is>
      </c>
      <c r="D1011" s="11"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11" s="11" t="inlineStr">
        <is>
          <t>{6}{G}</t>
        </is>
      </c>
      <c r="F1011" s="11" t="inlineStr">
        <is>
          <t>Verde</t>
        </is>
      </c>
      <c r="G1011" s="8" t="n">
        <v>0.59</v>
      </c>
      <c r="H1011" s="11" t="inlineStr">
        <is>
          <t>Throne of Eldraine (ELD)</t>
        </is>
      </c>
      <c r="I1011" s="11" t="inlineStr">
        <is>
          <t>Não</t>
        </is>
      </c>
      <c r="J1011" s="11" t="n">
        <v>2019</v>
      </c>
      <c r="K1011" s="11" t="inlineStr">
        <is>
          <t>*/*</t>
        </is>
      </c>
      <c r="L1011" s="11" t="n">
        <v>1</v>
      </c>
      <c r="M1011" s="8">
        <f>L1011*G1011</f>
        <v/>
      </c>
      <c r="P1011" s="9" t="n"/>
    </row>
    <row r="1012">
      <c r="A1012" s="11" t="inlineStr">
        <is>
          <t>Orochi Leafcaller / Invocador de Folhas Orochi</t>
        </is>
      </c>
      <c r="B1012" s="11" t="inlineStr">
        <is>
          <t>Creature — Snake Shaman / Criatura — Cobra Xamã</t>
        </is>
      </c>
      <c r="C1012" s="11" t="inlineStr">
        <is>
          <t>Common / Comum</t>
        </is>
      </c>
      <c r="D1012" s="11" t="inlineStr">
        <is>
          <t>{G}: Add one mana of any color to your mana pool. / {G}: Adicione um mana de qualquer cor à sua reserva de mana.</t>
        </is>
      </c>
      <c r="E1012" s="11" t="inlineStr">
        <is>
          <t>{G}</t>
        </is>
      </c>
      <c r="F1012" s="11" t="inlineStr">
        <is>
          <t>Verde</t>
        </is>
      </c>
      <c r="G1012" s="8" t="n">
        <v>1.47</v>
      </c>
      <c r="H1012" s="11" t="inlineStr">
        <is>
          <t>Champions of Kamigawa (CHK)</t>
        </is>
      </c>
      <c r="I1012" s="11" t="inlineStr">
        <is>
          <t>Não</t>
        </is>
      </c>
      <c r="J1012" s="11" t="n">
        <v>2004</v>
      </c>
      <c r="K1012" s="10" t="n">
        <v>46023</v>
      </c>
      <c r="L1012" s="11" t="n">
        <v>1</v>
      </c>
      <c r="M1012" s="8">
        <f>L1012*G1012</f>
        <v/>
      </c>
      <c r="P1012" s="9" t="n"/>
    </row>
    <row r="1013">
      <c r="A1013" s="11" t="inlineStr">
        <is>
          <t>Spawnwrithe / Serpentóide</t>
        </is>
      </c>
      <c r="B1013" s="11" t="inlineStr">
        <is>
          <t>Creature — Elemental / Criatura — Elemental</t>
        </is>
      </c>
      <c r="C1013" s="11" t="inlineStr">
        <is>
          <t>Rare / Raro</t>
        </is>
      </c>
      <c r="D1013" s="11" t="inlineStr">
        <is>
          <t>Trample. Whenever Spawnwrithe deals combat damage to a player, put a token into play that's a copy of Spawnwrithe. / Atropelar. Toda vez que Serpentóide causar dano de combate a um jogador, coloque em jogo uma ficha que seja uma cópia de Serpentóide.</t>
        </is>
      </c>
      <c r="E1013" s="11" t="inlineStr">
        <is>
          <t>{2}{G}</t>
        </is>
      </c>
      <c r="F1013" s="11" t="inlineStr">
        <is>
          <t>Verde</t>
        </is>
      </c>
      <c r="G1013" s="8" t="n">
        <v>0.43</v>
      </c>
      <c r="H1013" s="11" t="inlineStr">
        <is>
          <t>Shadowmoor (SHM)</t>
        </is>
      </c>
      <c r="I1013" s="11" t="inlineStr">
        <is>
          <t>Não</t>
        </is>
      </c>
      <c r="J1013" s="11" t="n">
        <v>2008</v>
      </c>
      <c r="K1013" s="10" t="n">
        <v>46055</v>
      </c>
      <c r="L1013" s="11" t="n">
        <v>1</v>
      </c>
      <c r="M1013" s="8">
        <f>L1013*G1013</f>
        <v/>
      </c>
      <c r="P1013" s="9" t="n"/>
    </row>
    <row r="1014">
      <c r="A1014" s="11" t="inlineStr">
        <is>
          <t>Deeproot Warrior / Guerreiro de Raiz Profunda</t>
        </is>
      </c>
      <c r="B1014" s="11" t="inlineStr">
        <is>
          <t>Creature — Merfolk Warrior / Criatura — Tritão Guerreiro</t>
        </is>
      </c>
      <c r="C1014" s="11" t="inlineStr">
        <is>
          <t>Common / Comum</t>
        </is>
      </c>
      <c r="D1014" s="11" t="inlineStr">
        <is>
          <t>Whenever Deeproot Warrior becomes blocked, it gets +1/+1 until end of turn. / Toda vez que Guerreiro de Raiz Profunda é bloqueado, ele recebe +1/+1 até o final do turno.</t>
        </is>
      </c>
      <c r="E1014" s="11" t="inlineStr">
        <is>
          <t>{1}{G}</t>
        </is>
      </c>
      <c r="F1014" s="11" t="inlineStr">
        <is>
          <t>Verde</t>
        </is>
      </c>
      <c r="G1014" s="8" t="n">
        <v>0.03</v>
      </c>
      <c r="H1014" s="11" t="inlineStr">
        <is>
          <t>Ixalan (XLN)</t>
        </is>
      </c>
      <c r="I1014" s="11" t="inlineStr">
        <is>
          <t>Não</t>
        </is>
      </c>
      <c r="J1014" s="11" t="n">
        <v>2017</v>
      </c>
      <c r="K1014" s="10" t="n">
        <v>46055</v>
      </c>
      <c r="L1014" s="11" t="n">
        <v>1</v>
      </c>
      <c r="M1014" s="8">
        <f>L1014*G1014</f>
        <v/>
      </c>
      <c r="P1014" s="9" t="n"/>
    </row>
    <row r="1015">
      <c r="A1015" s="11" t="inlineStr">
        <is>
          <t>Blanchwood Prowler / Espreitador de Blanchwood</t>
        </is>
      </c>
      <c r="B1015" s="11" t="inlineStr">
        <is>
          <t>Creature — Elemental / Criatura — Elemental</t>
        </is>
      </c>
      <c r="C1015" s="11" t="inlineStr">
        <is>
          <t>Common / Comum</t>
        </is>
      </c>
      <c r="D1015" s="11"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5" s="11" t="inlineStr">
        <is>
          <t>{1}{G}</t>
        </is>
      </c>
      <c r="F1015" s="11" t="inlineStr">
        <is>
          <t>Verde</t>
        </is>
      </c>
      <c r="G1015" s="8" t="n">
        <v>1.95</v>
      </c>
      <c r="H1015" s="11" t="inlineStr">
        <is>
          <t>The Brothers' War (BRO)</t>
        </is>
      </c>
      <c r="I1015" s="11" t="inlineStr">
        <is>
          <t>Sim</t>
        </is>
      </c>
      <c r="J1015" s="11" t="n">
        <v>2022</v>
      </c>
      <c r="K1015" s="10" t="n">
        <v>46023</v>
      </c>
      <c r="L1015" s="11" t="n">
        <v>2</v>
      </c>
      <c r="M1015" s="8">
        <f>L1015*G1015</f>
        <v/>
      </c>
      <c r="P1015" s="9" t="n"/>
    </row>
    <row r="1016">
      <c r="A1016" s="11" t="inlineStr">
        <is>
          <t>Blanchwood Prowler / Espreitador de Blanchwood</t>
        </is>
      </c>
      <c r="B1016" s="11" t="inlineStr">
        <is>
          <t>Creature — Elemental / Criatura — Elemental</t>
        </is>
      </c>
      <c r="C1016" s="11" t="inlineStr">
        <is>
          <t>Common / Comum</t>
        </is>
      </c>
      <c r="D1016" s="11"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6" s="11" t="inlineStr">
        <is>
          <t>{1}{G}</t>
        </is>
      </c>
      <c r="F1016" s="11" t="inlineStr">
        <is>
          <t>Verde</t>
        </is>
      </c>
      <c r="G1016" s="8" t="n">
        <v>0.2</v>
      </c>
      <c r="H1016" s="11" t="inlineStr">
        <is>
          <t>The Brothers' War (BRO)</t>
        </is>
      </c>
      <c r="I1016" s="11" t="inlineStr">
        <is>
          <t>Não</t>
        </is>
      </c>
      <c r="J1016" s="11" t="n">
        <v>2022</v>
      </c>
      <c r="K1016" s="10" t="n">
        <v>46023</v>
      </c>
      <c r="L1016" s="11" t="n">
        <v>1</v>
      </c>
      <c r="M1016" s="8">
        <f>L1016*G1016</f>
        <v/>
      </c>
      <c r="P1016" s="9" t="n"/>
    </row>
    <row r="1017">
      <c r="A1017" s="11" t="inlineStr">
        <is>
          <t>Witch's Web / Teia da Bruxa</t>
        </is>
      </c>
      <c r="B1017" s="11" t="inlineStr">
        <is>
          <t>Instant / Mágica Instantânea</t>
        </is>
      </c>
      <c r="C1017" s="11" t="inlineStr">
        <is>
          <t>Common / Comum</t>
        </is>
      </c>
      <c r="D1017" s="11" t="inlineStr">
        <is>
          <t>Target creature gets +3/+3 and gains reach until end of turn. Untap it. / A criatura alvo recebe +3/+3 e ganha alcance até o final do turno. Desvire-a.</t>
        </is>
      </c>
      <c r="E1017" s="11" t="inlineStr">
        <is>
          <t>{1}{G}</t>
        </is>
      </c>
      <c r="F1017" s="11" t="inlineStr">
        <is>
          <t>Verde</t>
        </is>
      </c>
      <c r="G1017" s="8" t="n">
        <v>0.08</v>
      </c>
      <c r="H1017" s="11" t="inlineStr">
        <is>
          <t>Innistrad: Crimson Vow (VOW)</t>
        </is>
      </c>
      <c r="I1017" s="11" t="inlineStr">
        <is>
          <t>Não</t>
        </is>
      </c>
      <c r="J1017" s="11" t="n">
        <v>2021</v>
      </c>
      <c r="L1017" s="11" t="n">
        <v>3</v>
      </c>
      <c r="M1017" s="8">
        <f>L1017*G1017</f>
        <v/>
      </c>
      <c r="P1017" s="9" t="n"/>
    </row>
    <row r="1018">
      <c r="A1018" s="11" t="inlineStr">
        <is>
          <t>Gift of Strength / Dádiva da Força</t>
        </is>
      </c>
      <c r="B1018" s="11" t="inlineStr">
        <is>
          <t>Instant / Mágica Instantânea</t>
        </is>
      </c>
      <c r="C1018" s="11" t="inlineStr">
        <is>
          <t>Common / Comum</t>
        </is>
      </c>
      <c r="D1018" s="11" t="inlineStr">
        <is>
          <t>Target creature gets +3/+3 and gains reach until end of turn. / A criatura alvo recebe +3/+3 e ganha alcance até o final do turno.</t>
        </is>
      </c>
      <c r="E1018" s="11" t="inlineStr">
        <is>
          <t>{1}{G}</t>
        </is>
      </c>
      <c r="F1018" s="11" t="inlineStr">
        <is>
          <t>Verde</t>
        </is>
      </c>
      <c r="G1018" s="8" t="n">
        <v>0.03</v>
      </c>
      <c r="H1018" s="11" t="inlineStr">
        <is>
          <t>Hour of Devastation (HOU)</t>
        </is>
      </c>
      <c r="I1018" s="11" t="inlineStr">
        <is>
          <t>Não</t>
        </is>
      </c>
      <c r="J1018" s="11" t="n">
        <v>2017</v>
      </c>
      <c r="L1018" s="11" t="n">
        <v>4</v>
      </c>
      <c r="M1018" s="8">
        <f>L1018*G1018</f>
        <v/>
      </c>
      <c r="P1018" s="9" t="n"/>
    </row>
    <row r="1019">
      <c r="A1019" s="11" t="inlineStr">
        <is>
          <t>Natural End / Fim Natural</t>
        </is>
      </c>
      <c r="B1019" s="11" t="inlineStr">
        <is>
          <t>Instant / Mágica Instantânea</t>
        </is>
      </c>
      <c r="C1019" s="11" t="inlineStr">
        <is>
          <t>Common / Comum</t>
        </is>
      </c>
      <c r="D1019" s="11" t="inlineStr">
        <is>
          <t>Destroy target artifact or enchantment. You gain 3 life. / Destrua o artefato ou encantamento alvo. Você ganha 3 pontos de vida.</t>
        </is>
      </c>
      <c r="E1019" s="11" t="inlineStr">
        <is>
          <t>{2}{G}</t>
        </is>
      </c>
      <c r="F1019" s="11" t="inlineStr">
        <is>
          <t>Verde</t>
        </is>
      </c>
      <c r="G1019" s="8" t="n">
        <v>0.03</v>
      </c>
      <c r="H1019" s="11" t="inlineStr">
        <is>
          <t>Core Set 2020 (M20)</t>
        </is>
      </c>
      <c r="I1019" s="11" t="inlineStr">
        <is>
          <t>Não</t>
        </is>
      </c>
      <c r="J1019" s="11" t="n">
        <v>2019</v>
      </c>
      <c r="L1019" s="11" t="n">
        <v>5</v>
      </c>
      <c r="M1019" s="8">
        <f>L1019*G1019</f>
        <v/>
      </c>
      <c r="P1019" s="9" t="n"/>
    </row>
    <row r="1020">
      <c r="A1020" s="11" t="inlineStr">
        <is>
          <t>Riveteers Overlook / Mirante dos Rebiteiros</t>
        </is>
      </c>
      <c r="B1020" s="11" t="inlineStr">
        <is>
          <t>Land / Terreno</t>
        </is>
      </c>
      <c r="C1020" s="11" t="inlineStr">
        <is>
          <t>Common / Comum</t>
        </is>
      </c>
      <c r="D1020" s="11"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20" s="11" t="inlineStr">
        <is>
          <t>Incolor</t>
        </is>
      </c>
      <c r="G1020" s="8" t="n">
        <v>0.61</v>
      </c>
      <c r="H1020" s="11" t="inlineStr">
        <is>
          <t>Streets of New Capenna (SNC)</t>
        </is>
      </c>
      <c r="I1020" s="11" t="inlineStr">
        <is>
          <t>Não</t>
        </is>
      </c>
      <c r="J1020" s="11" t="n">
        <v>2022</v>
      </c>
      <c r="L1020" s="11" t="n">
        <v>2</v>
      </c>
      <c r="M1020" s="8">
        <f>L1020*G1020</f>
        <v/>
      </c>
      <c r="P1020" s="9" t="n"/>
    </row>
    <row r="1021">
      <c r="A1021" s="11" t="inlineStr">
        <is>
          <t>Omen of the Hunt / Augúrio da Caça</t>
        </is>
      </c>
      <c r="B1021" s="11" t="inlineStr">
        <is>
          <t>Enchantment / Encantamento</t>
        </is>
      </c>
      <c r="C1021" s="11" t="inlineStr">
        <is>
          <t>Common / Comum</t>
        </is>
      </c>
      <c r="D1021" s="11"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21" s="11" t="inlineStr">
        <is>
          <t>{2}{G}</t>
        </is>
      </c>
      <c r="F1021" s="11" t="inlineStr">
        <is>
          <t>Verde</t>
        </is>
      </c>
      <c r="G1021" s="8" t="n">
        <v>0.06</v>
      </c>
      <c r="H1021" s="11" t="inlineStr">
        <is>
          <t>Theros Beyond Death (THB)</t>
        </is>
      </c>
      <c r="I1021" s="11" t="inlineStr">
        <is>
          <t>Não</t>
        </is>
      </c>
      <c r="J1021" s="11" t="n">
        <v>2020</v>
      </c>
      <c r="L1021" s="11" t="n">
        <v>4</v>
      </c>
      <c r="M1021" s="8">
        <f>L1021*G1021</f>
        <v/>
      </c>
      <c r="P1021" s="9" t="n"/>
    </row>
    <row r="1022">
      <c r="A1022" s="11" t="inlineStr">
        <is>
          <t>Spider Umbra / Sombra de Aranha</t>
        </is>
      </c>
      <c r="B1022" s="11" t="inlineStr">
        <is>
          <t>Enchantment — Aura / Encantamento — Aura</t>
        </is>
      </c>
      <c r="C1022" s="11" t="inlineStr">
        <is>
          <t>Common / Comum</t>
        </is>
      </c>
      <c r="D1022" s="11"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22" s="11" t="inlineStr">
        <is>
          <t>{G}</t>
        </is>
      </c>
      <c r="F1022" s="11" t="inlineStr">
        <is>
          <t>Verde</t>
        </is>
      </c>
      <c r="G1022" s="8" t="n">
        <v>0.6</v>
      </c>
      <c r="H1022" s="11" t="inlineStr">
        <is>
          <t>Rise of the Eldrazi (ROE)</t>
        </is>
      </c>
      <c r="I1022" s="11" t="inlineStr">
        <is>
          <t>Não</t>
        </is>
      </c>
      <c r="J1022" s="11" t="n">
        <v>2010</v>
      </c>
      <c r="L1022" s="11" t="n">
        <v>2</v>
      </c>
      <c r="M1022" s="8">
        <f>L1022*G1022</f>
        <v/>
      </c>
      <c r="P1022" s="9" t="n"/>
    </row>
    <row r="1023">
      <c r="A1023" s="11" t="inlineStr">
        <is>
          <t>Tall as a Beanstalk / Alto como um Pé de Feijão</t>
        </is>
      </c>
      <c r="B1023" s="11" t="inlineStr">
        <is>
          <t>Enchantment — Aura / Encantamento — Aura</t>
        </is>
      </c>
      <c r="C1023" s="11" t="inlineStr">
        <is>
          <t>Common / Comum</t>
        </is>
      </c>
      <c r="D1023" s="11" t="inlineStr">
        <is>
          <t>Enchant creature. Enchanted creature gets +3/+3, has reach, and is a Giant in addition to its other types. / Encantar criatura. A criatura encantada recebe +3/+3, tem alcance e é um Gigante além de seus outros tipos.</t>
        </is>
      </c>
      <c r="E1023" s="11" t="inlineStr">
        <is>
          <t>{3}{G}</t>
        </is>
      </c>
      <c r="F1023" s="11" t="inlineStr">
        <is>
          <t>Verde</t>
        </is>
      </c>
      <c r="G1023" s="8" t="n">
        <v>0.05</v>
      </c>
      <c r="H1023" s="11" t="inlineStr">
        <is>
          <t>Throne of Eldraine (ELD)</t>
        </is>
      </c>
      <c r="I1023" s="11" t="inlineStr">
        <is>
          <t>Não</t>
        </is>
      </c>
      <c r="J1023" s="11" t="n">
        <v>2019</v>
      </c>
      <c r="L1023" s="11" t="n">
        <v>4</v>
      </c>
      <c r="M1023" s="8">
        <f>L1023*G1023</f>
        <v/>
      </c>
      <c r="P1023" s="9" t="n"/>
    </row>
    <row r="1024">
      <c r="A1024" s="11" t="inlineStr">
        <is>
          <t>Glorious Sunrise / Nascer do Sol Glorioso</t>
        </is>
      </c>
      <c r="B1024" s="11" t="inlineStr">
        <is>
          <t>Enchantment / Encantamento</t>
        </is>
      </c>
      <c r="C1024" s="11" t="inlineStr">
        <is>
          <t>Rare / Raro</t>
        </is>
      </c>
      <c r="D1024" s="11"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24" s="11" t="inlineStr">
        <is>
          <t>{3}{G}{G}</t>
        </is>
      </c>
      <c r="F1024" s="11" t="inlineStr">
        <is>
          <t>Verde</t>
        </is>
      </c>
      <c r="G1024" s="8" t="n">
        <v>1</v>
      </c>
      <c r="H1024" s="11" t="inlineStr">
        <is>
          <t>Innistrad: Crimson Vow (VOW)</t>
        </is>
      </c>
      <c r="I1024" s="11" t="inlineStr">
        <is>
          <t>Não</t>
        </is>
      </c>
      <c r="J1024" s="11" t="n">
        <v>2021</v>
      </c>
      <c r="L1024" s="11" t="n">
        <v>1</v>
      </c>
      <c r="M1024" s="8">
        <f>L1024*G1024</f>
        <v/>
      </c>
      <c r="P1024" s="9" t="n"/>
    </row>
    <row r="1025">
      <c r="A1025" s="11" t="inlineStr">
        <is>
          <t>Shield of the Oversoul / Escudo da Alma Suprema</t>
        </is>
      </c>
      <c r="B1025" s="11" t="inlineStr">
        <is>
          <t>Enchantment — Aura / Encantamento — Aura</t>
        </is>
      </c>
      <c r="C1025" s="11" t="inlineStr">
        <is>
          <t>Common / Comum</t>
        </is>
      </c>
      <c r="D1025" s="11"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25" s="11" t="inlineStr">
        <is>
          <t>{2}{G/W}</t>
        </is>
      </c>
      <c r="F1025" s="11" t="inlineStr">
        <is>
          <t>Verde e Branco</t>
        </is>
      </c>
      <c r="G1025" s="8" t="n">
        <v>2.16</v>
      </c>
      <c r="H1025" s="11" t="inlineStr">
        <is>
          <t>Shadowmoor (SHM)</t>
        </is>
      </c>
      <c r="I1025" s="11" t="inlineStr">
        <is>
          <t>Não</t>
        </is>
      </c>
      <c r="J1025" s="11" t="n">
        <v>2008</v>
      </c>
      <c r="L1025" s="11" t="n">
        <v>1</v>
      </c>
      <c r="M1025" s="8">
        <f>L1025*G1025</f>
        <v/>
      </c>
      <c r="P1025" s="9" t="n"/>
    </row>
    <row r="1026">
      <c r="A1026" s="11" t="inlineStr">
        <is>
          <t>Viridian Revel / Diversão Viridiana</t>
        </is>
      </c>
      <c r="B1026" s="11" t="inlineStr">
        <is>
          <t>Enchantment / Encantamento</t>
        </is>
      </c>
      <c r="C1026" s="11" t="inlineStr">
        <is>
          <t>Uncommon / Incomum</t>
        </is>
      </c>
      <c r="D1026" s="11" t="inlineStr">
        <is>
          <t>Whenever an artifact is put into an opponent's graveyard from the battlefield, you may draw a card. / Toda vez que um artefato for colocado no cemitério de um oponente vindo do campo de batalha, você poderá comprar um card.</t>
        </is>
      </c>
      <c r="E1026" s="11" t="inlineStr">
        <is>
          <t>{1}{G}{G}</t>
        </is>
      </c>
      <c r="F1026" s="11" t="inlineStr">
        <is>
          <t>Verde</t>
        </is>
      </c>
      <c r="G1026" s="8" t="n">
        <v>3.8</v>
      </c>
      <c r="H1026" s="11" t="inlineStr">
        <is>
          <t>Scars of Mirrodin (SOM)</t>
        </is>
      </c>
      <c r="I1026" s="11" t="inlineStr">
        <is>
          <t>Não</t>
        </is>
      </c>
      <c r="J1026" s="11" t="n">
        <v>2010</v>
      </c>
      <c r="L1026" s="11" t="n">
        <v>1</v>
      </c>
      <c r="M1026" s="8">
        <f>L1026*G1026</f>
        <v/>
      </c>
      <c r="P1026" s="9" t="n"/>
    </row>
    <row r="1027">
      <c r="A1027" s="11" t="inlineStr">
        <is>
          <t>Song of Freyalise / Canção de Freyalise</t>
        </is>
      </c>
      <c r="B1027" s="11" t="inlineStr">
        <is>
          <t>Enchantment — Saga / Encantamento — Saga</t>
        </is>
      </c>
      <c r="C1027" s="11" t="inlineStr">
        <is>
          <t>Uncommon / Incomum</t>
        </is>
      </c>
      <c r="D1027" s="11"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7" s="11" t="inlineStr">
        <is>
          <t>{1}{G}</t>
        </is>
      </c>
      <c r="F1027" s="11" t="inlineStr">
        <is>
          <t>Verde</t>
        </is>
      </c>
      <c r="G1027" s="8" t="n">
        <v>0.59</v>
      </c>
      <c r="H1027" s="11" t="inlineStr">
        <is>
          <t>Dominaria (DOM)</t>
        </is>
      </c>
      <c r="I1027" s="11" t="inlineStr">
        <is>
          <t>Não</t>
        </is>
      </c>
      <c r="J1027" s="11" t="n">
        <v>2018</v>
      </c>
      <c r="L1027" s="11" t="n">
        <v>1</v>
      </c>
      <c r="M1027" s="8">
        <f>L1027*G1027</f>
        <v/>
      </c>
      <c r="P1027" s="9" t="n"/>
    </row>
    <row r="1028">
      <c r="A1028" s="11" t="inlineStr">
        <is>
          <t>Follow the Lumarets / Siga os Lumaretes</t>
        </is>
      </c>
      <c r="B1028" s="11" t="inlineStr">
        <is>
          <t>Sorcery / Feitiço</t>
        </is>
      </c>
      <c r="C1028" s="11" t="inlineStr">
        <is>
          <t>Common / Comum</t>
        </is>
      </c>
      <c r="D1028" s="11"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8" s="11" t="inlineStr">
        <is>
          <t>{1}{G}</t>
        </is>
      </c>
      <c r="F1028" s="11" t="inlineStr">
        <is>
          <t>Verde</t>
        </is>
      </c>
      <c r="G1028" s="8" t="n">
        <v>0.07000000000000001</v>
      </c>
      <c r="H1028" s="11" t="inlineStr">
        <is>
          <t xml:space="preserve">Secrets of Strixhaven </t>
        </is>
      </c>
      <c r="I1028" s="11" t="inlineStr">
        <is>
          <t>Não</t>
        </is>
      </c>
      <c r="J1028" s="11" t="n">
        <v>2026</v>
      </c>
      <c r="L1028" s="11" t="n">
        <v>3</v>
      </c>
      <c r="M1028" s="8">
        <f>L1028*G1028</f>
        <v/>
      </c>
      <c r="P1028" s="9" t="n"/>
    </row>
    <row r="1029">
      <c r="A1029" s="11" t="inlineStr">
        <is>
          <t>Rise of the Tumbleweeds / Ascensão do Arbusto Rolante</t>
        </is>
      </c>
      <c r="B1029" s="11" t="inlineStr">
        <is>
          <t>Sorcery / Feitiço</t>
        </is>
      </c>
      <c r="C1029" s="11" t="inlineStr">
        <is>
          <t>Common / Comum</t>
        </is>
      </c>
      <c r="D1029" s="11"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9" s="11" t="inlineStr">
        <is>
          <t>{1}{G}</t>
        </is>
      </c>
      <c r="F1029" s="11" t="inlineStr">
        <is>
          <t>Verde</t>
        </is>
      </c>
      <c r="G1029" s="8" t="n">
        <v>0.2</v>
      </c>
      <c r="H1029" s="11" t="inlineStr">
        <is>
          <t>Outlaws of Thunder Junction (OTJ)</t>
        </is>
      </c>
      <c r="I1029" s="11" t="inlineStr">
        <is>
          <t>Não</t>
        </is>
      </c>
      <c r="J1029" s="11" t="n">
        <v>2024</v>
      </c>
      <c r="L1029" s="11" t="n">
        <v>4</v>
      </c>
      <c r="M1029" s="8">
        <f>L1029*G1029</f>
        <v/>
      </c>
      <c r="P1029" s="9" t="n"/>
    </row>
    <row r="1030">
      <c r="A1030" s="11" t="inlineStr">
        <is>
          <t>Take Down / Abater</t>
        </is>
      </c>
      <c r="B1030" s="11" t="inlineStr">
        <is>
          <t>Sorcery / Feitiço</t>
        </is>
      </c>
      <c r="C1030" s="11" t="inlineStr">
        <is>
          <t>Common / Comum</t>
        </is>
      </c>
      <c r="D1030" s="11"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30" s="11" t="inlineStr">
        <is>
          <t>{G}</t>
        </is>
      </c>
      <c r="F1030" s="11" t="inlineStr">
        <is>
          <t>Verde</t>
        </is>
      </c>
      <c r="G1030" s="8" t="n">
        <v>0.03</v>
      </c>
      <c r="H1030" s="11" t="inlineStr">
        <is>
          <t>Kaladesh (KLD)</t>
        </is>
      </c>
      <c r="I1030" s="11" t="inlineStr">
        <is>
          <t>Não</t>
        </is>
      </c>
      <c r="J1030" s="11" t="n">
        <v>2016</v>
      </c>
      <c r="L1030" s="11" t="n">
        <v>4</v>
      </c>
      <c r="M1030" s="8">
        <f>L1030*G1030</f>
        <v/>
      </c>
      <c r="P1030" s="9" t="n"/>
    </row>
    <row r="1031">
      <c r="A1031" s="11" t="inlineStr">
        <is>
          <t>Sylvan Scrying / Auspício Silvestre</t>
        </is>
      </c>
      <c r="B1031" s="11" t="inlineStr">
        <is>
          <t>Sorcery / Feitiço</t>
        </is>
      </c>
      <c r="C1031" s="11" t="inlineStr">
        <is>
          <t>Uncommon / Incomum</t>
        </is>
      </c>
      <c r="D1031" s="11" t="inlineStr">
        <is>
          <t>Search your library for a land card, reveal it, and put it into your hand. Then shuffle. / Procure um card de terreno em seu grimório, revele-o e coloque-o em sua mão. Depois, embaralhe seu grimório.</t>
        </is>
      </c>
      <c r="E1031" s="11" t="inlineStr">
        <is>
          <t>{1}{G}</t>
        </is>
      </c>
      <c r="F1031" s="11" t="inlineStr">
        <is>
          <t>Verde</t>
        </is>
      </c>
      <c r="G1031" s="8" t="n">
        <v>0.37</v>
      </c>
      <c r="H1031" s="11" t="inlineStr">
        <is>
          <t>Battle for Zendikar (BFZ)</t>
        </is>
      </c>
      <c r="I1031" s="11" t="inlineStr">
        <is>
          <t>Não</t>
        </is>
      </c>
      <c r="J1031" s="11" t="n">
        <v>2015</v>
      </c>
      <c r="L1031" s="11" t="n">
        <v>1</v>
      </c>
      <c r="M1031" s="8">
        <f>L1031*G1031</f>
        <v/>
      </c>
      <c r="P1031" s="9" t="n"/>
    </row>
    <row r="1032">
      <c r="A1032" s="11" t="inlineStr">
        <is>
          <t>Maestros Theater / Teatro dos Maestros</t>
        </is>
      </c>
      <c r="B1032" s="11" t="inlineStr">
        <is>
          <t>Land / Terreno</t>
        </is>
      </c>
      <c r="C1032" s="11" t="inlineStr">
        <is>
          <t>Common / Comum</t>
        </is>
      </c>
      <c r="D1032" s="11"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32" s="11" t="inlineStr">
        <is>
          <t>Incolor</t>
        </is>
      </c>
      <c r="G1032" s="8" t="n">
        <v>1.09</v>
      </c>
      <c r="H1032" s="11" t="inlineStr">
        <is>
          <t>Streets of New Capenna (SNC)</t>
        </is>
      </c>
      <c r="I1032" s="11" t="inlineStr">
        <is>
          <t>Não</t>
        </is>
      </c>
      <c r="J1032" s="11" t="n">
        <v>2022</v>
      </c>
      <c r="L1032" s="11" t="n">
        <v>2</v>
      </c>
      <c r="M1032" s="8">
        <f>L1032*G1032</f>
        <v/>
      </c>
      <c r="P1032" s="9" t="n"/>
    </row>
    <row r="1033">
      <c r="A1033" s="11" t="inlineStr">
        <is>
          <t>Gaea's Gift / Presente de Gaia</t>
        </is>
      </c>
      <c r="B1033" s="11" t="inlineStr">
        <is>
          <t>Instant / Mágica Instantânea</t>
        </is>
      </c>
      <c r="C1033" s="11" t="inlineStr">
        <is>
          <t>Common / Comum</t>
        </is>
      </c>
      <c r="D1033" s="11"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33" s="11" t="inlineStr">
        <is>
          <t>{1}{G}</t>
        </is>
      </c>
      <c r="F1033" s="11" t="inlineStr">
        <is>
          <t>Verde</t>
        </is>
      </c>
      <c r="G1033" s="8" t="n">
        <v>1.81</v>
      </c>
      <c r="H1033" s="11" t="inlineStr">
        <is>
          <t>The Brothers' War (BRO)</t>
        </is>
      </c>
      <c r="I1033" s="11" t="inlineStr">
        <is>
          <t>Não</t>
        </is>
      </c>
      <c r="J1033" s="11" t="n">
        <v>2022</v>
      </c>
      <c r="L1033" s="11" t="n">
        <v>1</v>
      </c>
      <c r="M1033" s="8">
        <f>L1033*G1033</f>
        <v/>
      </c>
      <c r="P1033" s="9" t="n"/>
    </row>
    <row r="1034">
      <c r="A1034" s="11" t="inlineStr">
        <is>
          <t>Overwhelming Stampede / Estouro Avassalador</t>
        </is>
      </c>
      <c r="B1034" s="11" t="inlineStr">
        <is>
          <t>Sorcery / Feitiço</t>
        </is>
      </c>
      <c r="C1034" s="11" t="inlineStr">
        <is>
          <t>Rare / Raro</t>
        </is>
      </c>
      <c r="D1034" s="11"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34" s="11" t="inlineStr">
        <is>
          <t>{3}{G}{G}</t>
        </is>
      </c>
      <c r="F1034" s="11" t="inlineStr">
        <is>
          <t>Verde</t>
        </is>
      </c>
      <c r="G1034" s="8" t="n">
        <v>0.5</v>
      </c>
      <c r="H1034" s="11" t="inlineStr">
        <is>
          <t>Magic 2011 (M11)</t>
        </is>
      </c>
      <c r="I1034" s="11" t="inlineStr">
        <is>
          <t>Não</t>
        </is>
      </c>
      <c r="J1034" s="11" t="n">
        <v>2010</v>
      </c>
      <c r="L1034" s="11" t="n">
        <v>1</v>
      </c>
      <c r="M1034" s="8">
        <f>L1034*G1034</f>
        <v/>
      </c>
      <c r="P1034" s="9" t="n"/>
    </row>
    <row r="1035">
      <c r="A1035" s="11" t="inlineStr">
        <is>
          <t>Mortuary Mire / Lodaçal Mortuário</t>
        </is>
      </c>
      <c r="B1035" s="11" t="inlineStr">
        <is>
          <t>Land / Terreno</t>
        </is>
      </c>
      <c r="C1035" s="11" t="inlineStr">
        <is>
          <t>Common / Comum</t>
        </is>
      </c>
      <c r="D1035" s="11"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35" s="11" t="inlineStr">
        <is>
          <t>Incolor</t>
        </is>
      </c>
      <c r="G1035" s="8" t="n">
        <v>0.49</v>
      </c>
      <c r="H1035" s="11" t="inlineStr">
        <is>
          <t>Battle for Zendikar (BFZ)</t>
        </is>
      </c>
      <c r="I1035" s="11" t="inlineStr">
        <is>
          <t>Não</t>
        </is>
      </c>
      <c r="J1035" s="11" t="n">
        <v>2015</v>
      </c>
      <c r="L1035" s="11" t="n">
        <v>1</v>
      </c>
      <c r="M1035" s="8">
        <f>L1035*G1035</f>
        <v/>
      </c>
      <c r="P1035" s="9" t="n"/>
    </row>
    <row r="1036">
      <c r="A1036" s="11" t="inlineStr">
        <is>
          <t>Smoldering Wastes / Desolação Fumegante</t>
        </is>
      </c>
      <c r="B1036" s="11" t="inlineStr">
        <is>
          <t>Land / Terreno</t>
        </is>
      </c>
      <c r="C1036" s="11" t="inlineStr">
        <is>
          <t>Uncommon / Incomum</t>
        </is>
      </c>
      <c r="D1036" s="11"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6" s="11" t="inlineStr">
        <is>
          <t>Incolor</t>
        </is>
      </c>
      <c r="G1036" s="8" t="n">
        <v>1.15</v>
      </c>
      <c r="H1036" s="11" t="inlineStr">
        <is>
          <t>Warhammer 40,000 (40K)</t>
        </is>
      </c>
      <c r="I1036" s="11" t="inlineStr">
        <is>
          <t>Não</t>
        </is>
      </c>
      <c r="J1036" s="11" t="n">
        <v>2022</v>
      </c>
      <c r="L1036" s="11" t="n">
        <v>2</v>
      </c>
      <c r="M1036" s="8">
        <f>L1036*G1036</f>
        <v/>
      </c>
      <c r="P1036" s="9" t="n"/>
    </row>
    <row r="1037">
      <c r="A1037" s="11" t="inlineStr">
        <is>
          <t>Evolving Wilds / Terras em Desenvolvimento</t>
        </is>
      </c>
      <c r="B1037" s="11" t="inlineStr">
        <is>
          <t>Land / Terreno</t>
        </is>
      </c>
      <c r="C1037" s="11" t="inlineStr">
        <is>
          <t>Common / Comum</t>
        </is>
      </c>
      <c r="D1037" s="11"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7" s="11" t="inlineStr">
        <is>
          <t>Incolor</t>
        </is>
      </c>
      <c r="G1037" s="8" t="n">
        <v>4.9</v>
      </c>
      <c r="H1037" s="11" t="inlineStr">
        <is>
          <t>Adventures in the Forgotten Realms (AFR)</t>
        </is>
      </c>
      <c r="I1037" s="11" t="inlineStr">
        <is>
          <t>Sim</t>
        </is>
      </c>
      <c r="J1037" s="11" t="n">
        <v>2021</v>
      </c>
      <c r="L1037" s="11" t="n">
        <v>1</v>
      </c>
      <c r="M1037" s="8">
        <f>L1037*G1037</f>
        <v/>
      </c>
      <c r="P1037" s="9" t="n"/>
    </row>
    <row r="1038">
      <c r="A1038" s="11" t="inlineStr">
        <is>
          <t>Rugged Highlands / Planalto Acidentado</t>
        </is>
      </c>
      <c r="B1038" s="11" t="inlineStr">
        <is>
          <t>Land / Terreno</t>
        </is>
      </c>
      <c r="C1038" s="11" t="inlineStr">
        <is>
          <t>Common / Comum</t>
        </is>
      </c>
      <c r="D1038" s="11"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8" s="11" t="inlineStr">
        <is>
          <t>Incolor</t>
        </is>
      </c>
      <c r="G1038" s="8" t="n">
        <v>0.12</v>
      </c>
      <c r="H1038" s="11" t="inlineStr">
        <is>
          <t>Kamigawa: Neon Dynasty (NEO)</t>
        </is>
      </c>
      <c r="I1038" s="11" t="inlineStr">
        <is>
          <t>Não</t>
        </is>
      </c>
      <c r="J1038" s="11" t="n">
        <v>2022</v>
      </c>
      <c r="L1038" s="11" t="n">
        <v>3</v>
      </c>
      <c r="M1038" s="8">
        <f>L1038*G1038</f>
        <v/>
      </c>
      <c r="P1038" s="9" t="n"/>
    </row>
    <row r="1039">
      <c r="A1039" s="11" t="inlineStr">
        <is>
          <t>Kazandu Refuge / Refúgio de Kazandu</t>
        </is>
      </c>
      <c r="B1039" s="11" t="inlineStr">
        <is>
          <t>Land / Terreno</t>
        </is>
      </c>
      <c r="C1039" s="11" t="inlineStr">
        <is>
          <t>Uncommon / Incomum</t>
        </is>
      </c>
      <c r="D1039" s="11"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9" s="11" t="inlineStr">
        <is>
          <t>Incolor</t>
        </is>
      </c>
      <c r="G1039" s="8" t="n">
        <v>0.3</v>
      </c>
      <c r="H1039" s="11" t="inlineStr">
        <is>
          <t>Commander 2011 (CMD)</t>
        </is>
      </c>
      <c r="I1039" s="11" t="inlineStr">
        <is>
          <t>Não</t>
        </is>
      </c>
      <c r="J1039" s="11" t="n">
        <v>2011</v>
      </c>
      <c r="L1039" s="11" t="n">
        <v>4</v>
      </c>
      <c r="M1039" s="8">
        <f>L1039*G1039</f>
        <v/>
      </c>
      <c r="P1039" s="9" t="n"/>
    </row>
    <row r="1040">
      <c r="A1040" s="11" t="inlineStr">
        <is>
          <t>Graypelt Refuge / Refúgio de Pele Cinzenta</t>
        </is>
      </c>
      <c r="B1040" s="11" t="inlineStr">
        <is>
          <t>Land / Terreno</t>
        </is>
      </c>
      <c r="C1040" s="11" t="inlineStr">
        <is>
          <t>Uncommon / Incomum</t>
        </is>
      </c>
      <c r="D1040" s="11"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40" s="11" t="inlineStr">
        <is>
          <t>Incolor</t>
        </is>
      </c>
      <c r="G1040" s="8" t="n">
        <v>0.25</v>
      </c>
      <c r="H1040" s="11" t="inlineStr">
        <is>
          <t>Commander 2011 (CMD)</t>
        </is>
      </c>
      <c r="I1040" s="11" t="inlineStr">
        <is>
          <t>Não</t>
        </is>
      </c>
      <c r="J1040" s="11" t="n">
        <v>2011</v>
      </c>
      <c r="L1040" s="11" t="n">
        <v>4</v>
      </c>
      <c r="M1040" s="8">
        <f>L1040*G1040</f>
        <v/>
      </c>
      <c r="P1040" s="9" t="n"/>
    </row>
    <row r="1041">
      <c r="A1041" s="11" t="inlineStr">
        <is>
          <t>Evolving Wilds / Terras em Desenvolvimento</t>
        </is>
      </c>
      <c r="B1041" s="11" t="inlineStr">
        <is>
          <t>Land / Terreno</t>
        </is>
      </c>
      <c r="C1041" s="11" t="inlineStr">
        <is>
          <t>Common / Comum</t>
        </is>
      </c>
      <c r="D1041" s="11" t="inlineStr">
        <is>
          <t>{T}, Sacrifice Evolving Wilds: Search your library for a basic land card, put it onto the battlefield tapped,</t>
        </is>
      </c>
      <c r="F1041" s="11" t="inlineStr">
        <is>
          <t>Incolor</t>
        </is>
      </c>
      <c r="G1041" s="8" t="n">
        <v>0.06</v>
      </c>
      <c r="H1041" s="11" t="inlineStr">
        <is>
          <t>Lealdade em Ravnica</t>
        </is>
      </c>
      <c r="I1041" s="11" t="inlineStr">
        <is>
          <t>Não</t>
        </is>
      </c>
      <c r="J1041" s="11" t="n">
        <v>2019</v>
      </c>
      <c r="L1041" s="11" t="n">
        <v>4</v>
      </c>
      <c r="M1041" s="8">
        <f>L1041*G1041</f>
        <v/>
      </c>
      <c r="P1041" s="9" t="n"/>
    </row>
    <row r="1042">
      <c r="A1042" s="11" t="inlineStr">
        <is>
          <t>Portão da Guilda Simic</t>
        </is>
      </c>
      <c r="B1042" s="11" t="inlineStr">
        <is>
          <t>Land / Terreno</t>
        </is>
      </c>
      <c r="C1042" s="11" t="inlineStr">
        <is>
          <t>Common / Comum</t>
        </is>
      </c>
      <c r="D1042"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2" s="11" t="inlineStr">
        <is>
          <t>Incolor</t>
        </is>
      </c>
      <c r="G1042" s="8" t="n">
        <v>0.1</v>
      </c>
      <c r="H1042" s="11" t="inlineStr">
        <is>
          <t>Lealdade em Ravnica</t>
        </is>
      </c>
      <c r="I1042" s="11" t="inlineStr">
        <is>
          <t>Não</t>
        </is>
      </c>
      <c r="J1042" s="11" t="n">
        <v>2019</v>
      </c>
      <c r="L1042" s="11" t="n">
        <v>2</v>
      </c>
      <c r="M1042" s="8">
        <f>L1042*G1042</f>
        <v/>
      </c>
      <c r="P1042" s="9" t="n"/>
    </row>
    <row r="1043">
      <c r="A1043" s="11" t="inlineStr">
        <is>
          <t>Portão da Guilda Simic</t>
        </is>
      </c>
      <c r="B1043" s="11" t="inlineStr">
        <is>
          <t>Land / Terreno</t>
        </is>
      </c>
      <c r="C1043" s="11" t="inlineStr">
        <is>
          <t>Common / Comum</t>
        </is>
      </c>
      <c r="D1043"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3" s="11" t="inlineStr">
        <is>
          <t>Incolor</t>
        </is>
      </c>
      <c r="G1043" s="8" t="n">
        <v>0.15</v>
      </c>
      <c r="H1043" s="11" t="inlineStr">
        <is>
          <t>Lealdade em Ravnica</t>
        </is>
      </c>
      <c r="I1043" s="11" t="inlineStr">
        <is>
          <t>Não</t>
        </is>
      </c>
      <c r="J1043" s="11" t="n">
        <v>2019</v>
      </c>
      <c r="L1043" s="11" t="n">
        <v>2</v>
      </c>
      <c r="M1043" s="8">
        <f>L1043*G1043</f>
        <v/>
      </c>
      <c r="P1043" s="9" t="n"/>
    </row>
    <row r="1044">
      <c r="A1044" s="11" t="inlineStr">
        <is>
          <t>Portão da Guilda Rakdos</t>
        </is>
      </c>
      <c r="B1044" s="11" t="inlineStr">
        <is>
          <t>Land / Terreno</t>
        </is>
      </c>
      <c r="C1044" s="11" t="inlineStr">
        <is>
          <t>Common / Comum</t>
        </is>
      </c>
      <c r="D1044" s="11"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4" s="11" t="inlineStr">
        <is>
          <t>Incolor</t>
        </is>
      </c>
      <c r="G1044" s="8" t="n">
        <v>0.09</v>
      </c>
      <c r="H1044" s="11" t="inlineStr">
        <is>
          <t>Lealdade em Ravnica</t>
        </is>
      </c>
      <c r="I1044" s="11" t="inlineStr">
        <is>
          <t>Não</t>
        </is>
      </c>
      <c r="J1044" s="11" t="n">
        <v>2019</v>
      </c>
      <c r="L1044" s="11" t="n">
        <v>3</v>
      </c>
      <c r="M1044" s="8">
        <f>L1044*G1044</f>
        <v/>
      </c>
      <c r="P1044" s="9" t="n"/>
    </row>
    <row r="1045">
      <c r="A1045" s="11" t="inlineStr">
        <is>
          <t>Gateway Plaza / Praça do Portão</t>
        </is>
      </c>
      <c r="B1045" s="11" t="inlineStr">
        <is>
          <t>Land — Gate / Terreno — Portão</t>
        </is>
      </c>
      <c r="C1045" s="11" t="inlineStr">
        <is>
          <t>Common / Comum</t>
        </is>
      </c>
      <c r="D1045" s="11"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45" s="11" t="inlineStr">
        <is>
          <t>Incolor</t>
        </is>
      </c>
      <c r="G1045" s="8" t="n">
        <v>0.1</v>
      </c>
      <c r="H1045" s="11" t="inlineStr">
        <is>
          <t>Ravnica Allegiance (RNA)</t>
        </is>
      </c>
      <c r="I1045" s="11" t="inlineStr">
        <is>
          <t>Não</t>
        </is>
      </c>
      <c r="J1045" s="11" t="n">
        <v>2019</v>
      </c>
      <c r="L1045" s="11" t="n">
        <v>3</v>
      </c>
      <c r="M1045" s="8">
        <f>L1045*G1045</f>
        <v/>
      </c>
      <c r="P1045" s="9" t="n"/>
    </row>
    <row r="1046">
      <c r="A1046" s="11" t="inlineStr">
        <is>
          <t>Evolving Wilds / Terras em Desenvolvimento</t>
        </is>
      </c>
      <c r="B1046" s="11" t="inlineStr">
        <is>
          <t>Land / Terreno</t>
        </is>
      </c>
      <c r="C1046" s="11" t="inlineStr">
        <is>
          <t>Common / Comum</t>
        </is>
      </c>
      <c r="D1046" s="11"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6" s="11" t="inlineStr">
        <is>
          <t>Incolor</t>
        </is>
      </c>
      <c r="G1046" s="8" t="n">
        <v>0.17</v>
      </c>
      <c r="H1046" s="11" t="inlineStr">
        <is>
          <t>Commander 2015 (C15)</t>
        </is>
      </c>
      <c r="I1046" s="11" t="inlineStr">
        <is>
          <t>Não</t>
        </is>
      </c>
      <c r="J1046" s="11" t="n">
        <v>2015</v>
      </c>
      <c r="L1046" s="11" t="n">
        <v>4</v>
      </c>
      <c r="M1046" s="8">
        <f>L1046*G1046</f>
        <v/>
      </c>
      <c r="P1046" s="9" t="n"/>
    </row>
    <row r="1047">
      <c r="A1047" s="11" t="inlineStr">
        <is>
          <t>Evolving Wilds / Terras em Desenvolvimento</t>
        </is>
      </c>
      <c r="B1047" s="11" t="inlineStr">
        <is>
          <t>Land / Terreno</t>
        </is>
      </c>
      <c r="C1047" s="11" t="inlineStr">
        <is>
          <t>Common / Comum</t>
        </is>
      </c>
      <c r="D1047" s="11"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7" s="11" t="inlineStr">
        <is>
          <t>Incolor</t>
        </is>
      </c>
      <c r="G1047" s="8" t="n">
        <v>0.48</v>
      </c>
      <c r="H1047" s="11" t="inlineStr">
        <is>
          <t>Rivals of Ixalan (RIX)</t>
        </is>
      </c>
      <c r="I1047" s="11" t="inlineStr">
        <is>
          <t>Não</t>
        </is>
      </c>
      <c r="J1047" s="11" t="n">
        <v>2018</v>
      </c>
      <c r="L1047" s="11" t="n">
        <v>4</v>
      </c>
      <c r="M1047" s="8">
        <f>L1047*G1047</f>
        <v/>
      </c>
      <c r="P1047" s="9" t="n"/>
    </row>
    <row r="1048">
      <c r="A1048" s="11" t="inlineStr">
        <is>
          <t>Zoetic Cavern / Caverna Zoética</t>
        </is>
      </c>
      <c r="B1048" s="11" t="inlineStr">
        <is>
          <t>Land / Terreno</t>
        </is>
      </c>
      <c r="C1048" s="11" t="inlineStr">
        <is>
          <t>Uncommon / Incomum</t>
        </is>
      </c>
      <c r="D1048" s="11"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8" s="11" t="inlineStr">
        <is>
          <t>Incolor</t>
        </is>
      </c>
      <c r="G1048" s="8" t="n">
        <v>0.5</v>
      </c>
      <c r="H1048" s="11" t="inlineStr">
        <is>
          <t>Masters 25 (A25)</t>
        </is>
      </c>
      <c r="I1048" s="11" t="inlineStr">
        <is>
          <t>Sim</t>
        </is>
      </c>
      <c r="J1048" s="11" t="n">
        <v>2018</v>
      </c>
      <c r="L1048" s="11" t="n">
        <v>1</v>
      </c>
      <c r="M1048" s="8">
        <f>L1048*G1048</f>
        <v/>
      </c>
      <c r="P1048" s="9" t="n"/>
    </row>
    <row r="1049">
      <c r="A1049" s="11" t="inlineStr">
        <is>
          <t>Turntimber Ranger / Patrulheiro de Virapau</t>
        </is>
      </c>
      <c r="B1049" s="11" t="inlineStr">
        <is>
          <t>Creature — Elf Scout Ally / Criatura — Elfo Batedor Aliado</t>
        </is>
      </c>
      <c r="C1049" s="11" t="inlineStr">
        <is>
          <t>Rare / Rara</t>
        </is>
      </c>
      <c r="D1049" s="11"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9" s="11" t="inlineStr">
        <is>
          <t>{3}{G}{G}</t>
        </is>
      </c>
      <c r="F1049" s="11" t="inlineStr">
        <is>
          <t>Verde</t>
        </is>
      </c>
      <c r="G1049" s="8" t="n">
        <v>1.99</v>
      </c>
      <c r="H1049" s="11" t="inlineStr">
        <is>
          <t>Zendikar (ZEN)</t>
        </is>
      </c>
      <c r="I1049" s="11" t="inlineStr">
        <is>
          <t>Não</t>
        </is>
      </c>
      <c r="J1049" s="11" t="n">
        <v>2009</v>
      </c>
      <c r="K1049" s="10" t="n">
        <v>46055</v>
      </c>
      <c r="L1049" s="11" t="n">
        <v>3</v>
      </c>
      <c r="M1049" s="8">
        <f>L1049*G1049</f>
        <v/>
      </c>
      <c r="P1049" s="9" t="n"/>
    </row>
    <row r="1050">
      <c r="A1050" s="11" t="inlineStr">
        <is>
          <t>Kozilek's Sentinel / Sentinela de Kozilek</t>
        </is>
      </c>
      <c r="B1050" s="11" t="inlineStr">
        <is>
          <t>Creature — Eldrazi Drone / Criatura — Eldrazi Zangão</t>
        </is>
      </c>
      <c r="C1050" s="11" t="inlineStr">
        <is>
          <t>Common / Comum</t>
        </is>
      </c>
      <c r="D1050" s="11" t="inlineStr">
        <is>
          <t>Devoid (This card has no color.) Whenever you cast a colorless spell, Kozilek's Sentinel gets +1/+0 until end of turn. / Desprovido (Este card não tem cor.) Toda vez que você conjura uma mágica incolor, Sentinela de Kozilek recebe +1/+0 até o final do turno.</t>
        </is>
      </c>
      <c r="E1050" s="11" t="inlineStr">
        <is>
          <t>{1}{R}</t>
        </is>
      </c>
      <c r="F1050" s="11" t="inlineStr">
        <is>
          <t>Incolor</t>
        </is>
      </c>
      <c r="G1050" s="8" t="n">
        <v>0.06</v>
      </c>
      <c r="H1050" s="11" t="inlineStr">
        <is>
          <t>Battle for Zendikar (BFZ)</t>
        </is>
      </c>
      <c r="I1050" s="11" t="inlineStr">
        <is>
          <t>Não</t>
        </is>
      </c>
      <c r="J1050" s="11" t="n">
        <v>2015</v>
      </c>
      <c r="K1050" s="10" t="n">
        <v>46113</v>
      </c>
      <c r="L1050" s="11" t="n">
        <v>4</v>
      </c>
      <c r="M1050" s="8">
        <f>L1050*G1050</f>
        <v/>
      </c>
      <c r="P1050" s="9" t="n"/>
    </row>
    <row r="1051">
      <c r="A1051" s="11" t="inlineStr">
        <is>
          <t>Battle Cry Goblin / Goblin do Grito de Guerra</t>
        </is>
      </c>
      <c r="B1051" s="11" t="inlineStr">
        <is>
          <t>Creature — Goblin / Criatura — Goblin</t>
        </is>
      </c>
      <c r="C1051" s="11" t="inlineStr">
        <is>
          <t>Uncommon / Incomum</t>
        </is>
      </c>
      <c r="D1051" s="11"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51" s="11" t="inlineStr">
        <is>
          <t>{1}{R}</t>
        </is>
      </c>
      <c r="F1051" s="11" t="inlineStr">
        <is>
          <t>Vermelho</t>
        </is>
      </c>
      <c r="G1051" s="8" t="n">
        <v>1.16</v>
      </c>
      <c r="H1051" s="11" t="inlineStr">
        <is>
          <t>Dungeons &amp; Dragons: Adventures in the Forgotten Realms (AFR)</t>
        </is>
      </c>
      <c r="I1051" s="11" t="inlineStr">
        <is>
          <t>Não</t>
        </is>
      </c>
      <c r="J1051" s="11" t="n">
        <v>2021</v>
      </c>
      <c r="K1051" s="10" t="n">
        <v>46055</v>
      </c>
      <c r="L1051" s="11" t="n">
        <v>4</v>
      </c>
      <c r="M1051" s="8">
        <f>L1051*G1051</f>
        <v/>
      </c>
      <c r="P1051" s="9" t="n"/>
    </row>
    <row r="1052">
      <c r="A1052" s="11" t="inlineStr">
        <is>
          <t>Thunderous Wrath / Ira Trovejante</t>
        </is>
      </c>
      <c r="B1052" s="11" t="inlineStr">
        <is>
          <t>Instant / Mágica Instantânea</t>
        </is>
      </c>
      <c r="C1052" s="11" t="inlineStr">
        <is>
          <t>Common / Comum</t>
        </is>
      </c>
      <c r="D1052" s="11"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52" s="11" t="inlineStr">
        <is>
          <t>{4}{R}</t>
        </is>
      </c>
      <c r="F1052" s="11" t="inlineStr">
        <is>
          <t>Vermelho</t>
        </is>
      </c>
      <c r="G1052" s="8" t="n">
        <v>0.2</v>
      </c>
      <c r="H1052" s="11" t="inlineStr">
        <is>
          <t>Modern Masters 2017 (MM3)</t>
        </is>
      </c>
      <c r="I1052" s="11" t="inlineStr">
        <is>
          <t>Não</t>
        </is>
      </c>
      <c r="J1052" s="11" t="n">
        <v>2017</v>
      </c>
      <c r="L1052" s="11" t="n">
        <v>4</v>
      </c>
      <c r="M1052" s="8">
        <f>L1052*G1052</f>
        <v/>
      </c>
      <c r="P1052" s="9" t="n"/>
    </row>
    <row r="1053">
      <c r="A1053" s="11" t="inlineStr">
        <is>
          <t>Meteor Mace / Maça Meteórica</t>
        </is>
      </c>
      <c r="B1053" s="11" t="inlineStr">
        <is>
          <t>Artifact — Equipment / Artefato — Equipamento</t>
        </is>
      </c>
      <c r="C1053" s="11" t="inlineStr">
        <is>
          <t>Uncommon / Incomum</t>
        </is>
      </c>
      <c r="D1053" s="11"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53" s="11" t="inlineStr">
        <is>
          <t>{4}{R}{R}</t>
        </is>
      </c>
      <c r="F1053" s="11" t="inlineStr">
        <is>
          <t>Vermelho</t>
        </is>
      </c>
      <c r="G1053" s="8" t="n">
        <v>0.38</v>
      </c>
      <c r="H1053" s="11" t="inlineStr">
        <is>
          <t>Commander Legends (CMR)</t>
        </is>
      </c>
      <c r="I1053" s="11" t="inlineStr">
        <is>
          <t>Sim</t>
        </is>
      </c>
      <c r="J1053" s="11" t="n">
        <v>2020</v>
      </c>
      <c r="L1053" s="11" t="n">
        <v>1</v>
      </c>
      <c r="M1053" s="8">
        <f>L1053*G1053</f>
        <v/>
      </c>
      <c r="P1053" s="9" t="n"/>
    </row>
    <row r="1054">
      <c r="A1054" s="11" t="inlineStr">
        <is>
          <t>Bedlam Reveler / Folião do Caos</t>
        </is>
      </c>
      <c r="B1054" s="11" t="inlineStr">
        <is>
          <t>Creature — Devil Horror / Criatura — Diabo Horror</t>
        </is>
      </c>
      <c r="C1054" s="11" t="inlineStr">
        <is>
          <t>Rare / Rara</t>
        </is>
      </c>
      <c r="D1054" s="11"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54" s="11" t="inlineStr">
        <is>
          <t>{6}{R}{R}</t>
        </is>
      </c>
      <c r="F1054" s="11" t="inlineStr">
        <is>
          <t>Vermelho</t>
        </is>
      </c>
      <c r="G1054" s="8" t="n">
        <v>0.55</v>
      </c>
      <c r="H1054" s="11" t="inlineStr">
        <is>
          <t>Eldritch Moon (EMN)</t>
        </is>
      </c>
      <c r="I1054" s="11" t="inlineStr">
        <is>
          <t>Não</t>
        </is>
      </c>
      <c r="J1054" s="11" t="n">
        <v>2016</v>
      </c>
      <c r="K1054" s="10" t="n">
        <v>46115</v>
      </c>
      <c r="L1054" s="11" t="n">
        <v>1</v>
      </c>
      <c r="M1054" s="8">
        <f>L1054*G1054</f>
        <v/>
      </c>
      <c r="P1054" s="9" t="n"/>
    </row>
    <row r="1055">
      <c r="A1055" s="11" t="inlineStr">
        <is>
          <t>Pyroclasm / Piroclasma</t>
        </is>
      </c>
      <c r="B1055" s="11" t="inlineStr">
        <is>
          <t>Sorcery / Feitiço</t>
        </is>
      </c>
      <c r="C1055" s="11" t="inlineStr">
        <is>
          <t>Uncommon / Incomum</t>
        </is>
      </c>
      <c r="D1055" s="11" t="inlineStr">
        <is>
          <t>Pyroclasm deals 2 damage to each creature. / Piroclasma causa 2 de dano a cada criatura.</t>
        </is>
      </c>
      <c r="E1055" s="11" t="inlineStr">
        <is>
          <t>{1}{R}</t>
        </is>
      </c>
      <c r="F1055" s="11" t="inlineStr">
        <is>
          <t>Vermelho</t>
        </is>
      </c>
      <c r="G1055" s="8" t="n">
        <v>0.71</v>
      </c>
      <c r="H1055" s="11" t="inlineStr">
        <is>
          <t>Masters 25 (A25)</t>
        </is>
      </c>
      <c r="I1055" s="11" t="inlineStr">
        <is>
          <t>Não</t>
        </is>
      </c>
      <c r="J1055" s="11" t="n">
        <v>2018</v>
      </c>
      <c r="L1055" s="11" t="n">
        <v>1</v>
      </c>
      <c r="M1055" s="8">
        <f>L1055*G1055</f>
        <v/>
      </c>
      <c r="P1055" s="9" t="n"/>
    </row>
    <row r="1056">
      <c r="A1056" s="11" t="inlineStr">
        <is>
          <t>Kazuul Warlord / Comandante Kazuul</t>
        </is>
      </c>
      <c r="B1056" s="11" t="inlineStr">
        <is>
          <t>Creature — Minotaur Warrior Ally / Criatura — Minotauro Guerreiro Aliado</t>
        </is>
      </c>
      <c r="C1056" s="11" t="inlineStr">
        <is>
          <t>Rare / Rara</t>
        </is>
      </c>
      <c r="D1056" s="11"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6" s="11" t="inlineStr">
        <is>
          <t>{4}{R}</t>
        </is>
      </c>
      <c r="F1056" s="11" t="inlineStr">
        <is>
          <t>Vermelho</t>
        </is>
      </c>
      <c r="G1056" s="8" t="n">
        <v>1.79</v>
      </c>
      <c r="H1056" s="11" t="inlineStr">
        <is>
          <t>Zendikar (ZEN)</t>
        </is>
      </c>
      <c r="I1056" s="11" t="inlineStr">
        <is>
          <t>Não</t>
        </is>
      </c>
      <c r="J1056" s="11" t="n">
        <v>2009</v>
      </c>
      <c r="K1056" s="10" t="n">
        <v>46084</v>
      </c>
      <c r="L1056" s="11" t="n">
        <v>3</v>
      </c>
      <c r="M1056" s="8">
        <f>L1056*G1056</f>
        <v/>
      </c>
      <c r="P1056" s="9" t="n"/>
    </row>
    <row r="1057">
      <c r="A1057" s="11" t="inlineStr">
        <is>
          <t>Fiery Impulse / Impulso Flamejante</t>
        </is>
      </c>
      <c r="B1057" s="11" t="inlineStr">
        <is>
          <t>Instant / Mágica Instantânea</t>
        </is>
      </c>
      <c r="C1057" s="11" t="inlineStr">
        <is>
          <t>Common / Comum</t>
        </is>
      </c>
      <c r="D1057" s="11"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7" s="11" t="inlineStr">
        <is>
          <t>{R}</t>
        </is>
      </c>
      <c r="F1057" s="11" t="inlineStr">
        <is>
          <t>Vermelho</t>
        </is>
      </c>
      <c r="G1057" s="8" t="n">
        <v>0.2</v>
      </c>
      <c r="H1057" s="11" t="inlineStr">
        <is>
          <t>Magic Origins (ORI)</t>
        </is>
      </c>
      <c r="I1057" s="11" t="inlineStr">
        <is>
          <t>Não</t>
        </is>
      </c>
      <c r="J1057" s="11" t="n">
        <v>2015</v>
      </c>
      <c r="L1057" s="11" t="n">
        <v>4</v>
      </c>
      <c r="M1057" s="8">
        <f>L1057*G1057</f>
        <v/>
      </c>
      <c r="P1057" s="9" t="n"/>
    </row>
    <row r="1058">
      <c r="A1058" s="11" t="inlineStr">
        <is>
          <t>Warlord's Fury / Fúria da Senhora da Guerra</t>
        </is>
      </c>
      <c r="B1058" s="11" t="inlineStr">
        <is>
          <t>Sorcery / Feitiço</t>
        </is>
      </c>
      <c r="C1058" s="11" t="inlineStr">
        <is>
          <t>Common / Comum</t>
        </is>
      </c>
      <c r="D1058" s="11" t="inlineStr">
        <is>
          <t>Creatures you control gain first strike until end of turn. Draw a card. / As criaturas que você controla ganham iniciativa até o final do turno. Compre um card.</t>
        </is>
      </c>
      <c r="E1058" s="11" t="inlineStr">
        <is>
          <t>{R}</t>
        </is>
      </c>
      <c r="F1058" s="11" t="inlineStr">
        <is>
          <t>Vermelho</t>
        </is>
      </c>
      <c r="G1058" s="8" t="n">
        <v>0.1</v>
      </c>
      <c r="H1058" s="11" t="inlineStr">
        <is>
          <t>Dominaria (DOM)</t>
        </is>
      </c>
      <c r="I1058" s="11" t="inlineStr">
        <is>
          <t>Não</t>
        </is>
      </c>
      <c r="J1058" s="11" t="n">
        <v>2018</v>
      </c>
      <c r="L1058" s="11" t="n">
        <v>4</v>
      </c>
      <c r="M1058" s="8">
        <f>L1058*G1058</f>
        <v/>
      </c>
      <c r="P1058" s="9" t="n"/>
    </row>
    <row r="1059">
      <c r="A1059" s="11" t="inlineStr">
        <is>
          <t>Crash Through / Irromper</t>
        </is>
      </c>
      <c r="B1059" s="11" t="inlineStr">
        <is>
          <t>Sorcery / Feitiço</t>
        </is>
      </c>
      <c r="C1059" s="11" t="inlineStr">
        <is>
          <t>Common / Comum</t>
        </is>
      </c>
      <c r="D1059" s="11" t="inlineStr">
        <is>
          <t>Creatures you control gain trample until end of turn. Draw a card. / As criaturas que você controla ganham atropelar até o final do turno. Compre um card.</t>
        </is>
      </c>
      <c r="E1059" s="11" t="inlineStr">
        <is>
          <t>{R}</t>
        </is>
      </c>
      <c r="F1059" s="11" t="inlineStr">
        <is>
          <t>Vermelho</t>
        </is>
      </c>
      <c r="G1059" s="8" t="n">
        <v>0.05</v>
      </c>
      <c r="H1059" s="11" t="inlineStr">
        <is>
          <t>Hour of Devastation (HOU)</t>
        </is>
      </c>
      <c r="I1059" s="11" t="inlineStr">
        <is>
          <t>Não</t>
        </is>
      </c>
      <c r="J1059" s="11" t="n">
        <v>2017</v>
      </c>
      <c r="L1059" s="11" t="n">
        <v>4</v>
      </c>
      <c r="M1059" s="8">
        <f>L1059*G1059</f>
        <v/>
      </c>
      <c r="P1059" s="9" t="n"/>
    </row>
    <row r="1060">
      <c r="A1060" s="11" t="inlineStr">
        <is>
          <t>Tormenting Voice / Voz Atormentadora</t>
        </is>
      </c>
      <c r="B1060" s="11" t="inlineStr">
        <is>
          <t>Sorcery / Feitiço</t>
        </is>
      </c>
      <c r="C1060" s="11" t="inlineStr">
        <is>
          <t>Common / Comum</t>
        </is>
      </c>
      <c r="D1060" s="11" t="inlineStr">
        <is>
          <t>As an additional cost to cast this spell, discard a card. Draw two cards. / Como custo adicional para conjurar esta mágica, descarte um card. Compre dois cards.</t>
        </is>
      </c>
      <c r="E1060" s="11" t="inlineStr">
        <is>
          <t>{1}{R}</t>
        </is>
      </c>
      <c r="F1060" s="11" t="inlineStr">
        <is>
          <t>Vermelho</t>
        </is>
      </c>
      <c r="G1060" s="8" t="n">
        <v>0.03</v>
      </c>
      <c r="H1060" s="11" t="inlineStr">
        <is>
          <t>Core Set 2019 (M19)</t>
        </is>
      </c>
      <c r="I1060" s="11" t="inlineStr">
        <is>
          <t>Não</t>
        </is>
      </c>
      <c r="J1060" s="11" t="n">
        <v>2018</v>
      </c>
      <c r="L1060" s="11" t="n">
        <v>3</v>
      </c>
      <c r="M1060" s="8">
        <f>L1060*G1060</f>
        <v/>
      </c>
      <c r="P1060" s="9" t="n"/>
    </row>
    <row r="1061">
      <c r="A1061" s="11" t="inlineStr">
        <is>
          <t>Tormenting Voice / Voz Atormentadora</t>
        </is>
      </c>
      <c r="B1061" s="11" t="inlineStr">
        <is>
          <t>Sorcery / Feitiço</t>
        </is>
      </c>
      <c r="C1061" s="11" t="inlineStr">
        <is>
          <t>Common / Comum</t>
        </is>
      </c>
      <c r="D1061" s="11" t="inlineStr">
        <is>
          <t>As an additional cost to cast this spell, discard a card. Draw two cards. / Como custo adicional para conjurar esta mágica, descarte um card. Compre dois cards.</t>
        </is>
      </c>
      <c r="E1061" s="11" t="inlineStr">
        <is>
          <t>{1}{R}</t>
        </is>
      </c>
      <c r="F1061" s="11" t="inlineStr">
        <is>
          <t>Vermelho</t>
        </is>
      </c>
      <c r="G1061" s="8" t="n">
        <v>0.33</v>
      </c>
      <c r="H1061" s="11" t="inlineStr">
        <is>
          <t>Core Set 2019 (M19)</t>
        </is>
      </c>
      <c r="I1061" s="11" t="inlineStr">
        <is>
          <t>Sim</t>
        </is>
      </c>
      <c r="J1061" s="11" t="n">
        <v>2018</v>
      </c>
      <c r="L1061" s="11" t="n">
        <v>1</v>
      </c>
      <c r="M1061" s="8">
        <f>L1061*G1061</f>
        <v/>
      </c>
      <c r="P1061" s="9" t="n"/>
    </row>
    <row r="1062">
      <c r="A1062" s="11" t="inlineStr">
        <is>
          <t>Tormenting Voice / Voz Atormentadora</t>
        </is>
      </c>
      <c r="B1062" s="11" t="inlineStr">
        <is>
          <t>Sorcery / Feitiço</t>
        </is>
      </c>
      <c r="C1062" s="11" t="inlineStr">
        <is>
          <t>Common / Comum</t>
        </is>
      </c>
      <c r="D1062" s="11" t="inlineStr">
        <is>
          <t>As an additional cost to cast this spell, discard a card. Draw two cards. / Como custo adicional para conjurar esta mágica, descarte um card. Compre dois cards.</t>
        </is>
      </c>
      <c r="E1062" s="11" t="inlineStr">
        <is>
          <t>{1}{R}</t>
        </is>
      </c>
      <c r="F1062" s="11" t="inlineStr">
        <is>
          <t>Vermelho</t>
        </is>
      </c>
      <c r="G1062" s="8" t="n">
        <v>0.05</v>
      </c>
      <c r="H1062" s="11" t="inlineStr">
        <is>
          <t xml:space="preserve">Renascer de Zendikar </t>
        </is>
      </c>
      <c r="I1062" s="11" t="inlineStr">
        <is>
          <t>Não</t>
        </is>
      </c>
      <c r="J1062" s="11" t="n">
        <v>2020</v>
      </c>
      <c r="L1062" s="11" t="n">
        <v>1</v>
      </c>
      <c r="M1062" s="8">
        <f>L1062*G1062</f>
        <v/>
      </c>
      <c r="P1062" s="9" t="n"/>
    </row>
    <row r="1063">
      <c r="A1063" s="11" t="inlineStr">
        <is>
          <t>Goblin Dark-Dwellers / Umbrígeos Goblins</t>
        </is>
      </c>
      <c r="B1063" s="11" t="inlineStr">
        <is>
          <t>Creature — Goblin / Criatura — Goblin</t>
        </is>
      </c>
      <c r="C1063" s="11" t="inlineStr">
        <is>
          <t>Rare / Rara</t>
        </is>
      </c>
      <c r="D1063" s="11"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63" s="11" t="inlineStr">
        <is>
          <t>{3}{R}{R}</t>
        </is>
      </c>
      <c r="F1063" s="11" t="inlineStr">
        <is>
          <t>Vermelho</t>
        </is>
      </c>
      <c r="G1063" s="8" t="n">
        <v>0.98</v>
      </c>
      <c r="H1063" s="11" t="inlineStr">
        <is>
          <t>Oath of the Gatewatch (OGW)</t>
        </is>
      </c>
      <c r="I1063" s="11" t="inlineStr">
        <is>
          <t>Sim</t>
        </is>
      </c>
      <c r="J1063" s="11" t="n">
        <v>2016</v>
      </c>
      <c r="K1063" s="10" t="n">
        <v>46116</v>
      </c>
      <c r="L1063" s="11" t="n">
        <v>1</v>
      </c>
      <c r="M1063" s="8">
        <f>L1063*G1063</f>
        <v/>
      </c>
      <c r="P1063" s="9" t="n"/>
    </row>
    <row r="1064">
      <c r="A1064" s="11" t="inlineStr">
        <is>
          <t>Pack Guardian / Alfas Reunidos</t>
        </is>
      </c>
      <c r="B1064" s="11" t="inlineStr">
        <is>
          <t>Creature — Wolf / Criatura — Lobo</t>
        </is>
      </c>
      <c r="C1064" s="11" t="inlineStr">
        <is>
          <t>Rare / Rara</t>
        </is>
      </c>
      <c r="D1064" s="11"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64" s="11" t="inlineStr">
        <is>
          <t>{5}{R}</t>
        </is>
      </c>
      <c r="F1064" s="11" t="inlineStr">
        <is>
          <t>Vermelho</t>
        </is>
      </c>
      <c r="G1064" s="8" t="n">
        <v>0.65</v>
      </c>
      <c r="H1064" s="11" t="inlineStr">
        <is>
          <t>Eldritch Moon (EMN)</t>
        </is>
      </c>
      <c r="I1064" s="11" t="inlineStr">
        <is>
          <t>Sim</t>
        </is>
      </c>
      <c r="J1064" s="11" t="n">
        <v>2016</v>
      </c>
      <c r="K1064" s="10" t="n">
        <v>46147</v>
      </c>
      <c r="L1064" s="11" t="n">
        <v>1</v>
      </c>
      <c r="M1064" s="8">
        <f>L1064*G1064</f>
        <v/>
      </c>
      <c r="P1064" s="9" t="n"/>
    </row>
    <row r="1065">
      <c r="A1065" s="11" t="inlineStr">
        <is>
          <t>Ib Halfheart, Goblin Tactician / Ib Meio-coração, Tático Goblin</t>
        </is>
      </c>
      <c r="B1065" s="11" t="inlineStr">
        <is>
          <t>Legendary Creature — Goblin Advisor / Criatura Lendária — Goblin Conselheiro</t>
        </is>
      </c>
      <c r="C1065" s="11" t="inlineStr">
        <is>
          <t>Rare / Rara</t>
        </is>
      </c>
      <c r="D1065" s="11"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65" s="11" t="inlineStr">
        <is>
          <t>{3}{R}</t>
        </is>
      </c>
      <c r="F1065" s="11" t="inlineStr">
        <is>
          <t>Vermelho</t>
        </is>
      </c>
      <c r="G1065" s="8" t="n">
        <v>1.66</v>
      </c>
      <c r="H1065" s="11" t="inlineStr">
        <is>
          <t>Time Spiral (TSP)</t>
        </is>
      </c>
      <c r="I1065" s="11" t="inlineStr">
        <is>
          <t>Não</t>
        </is>
      </c>
      <c r="J1065" s="11" t="n">
        <v>2006</v>
      </c>
      <c r="K1065" s="10" t="n">
        <v>46056</v>
      </c>
      <c r="L1065" s="11" t="n">
        <v>1</v>
      </c>
      <c r="M1065" s="8">
        <f>L1065*G1065</f>
        <v/>
      </c>
      <c r="P1065" s="9" t="n"/>
    </row>
    <row r="1066">
      <c r="A1066" s="11" t="inlineStr">
        <is>
          <t>Kazuul Warlord / Comandante Kazuul</t>
        </is>
      </c>
      <c r="B1066" s="11" t="inlineStr">
        <is>
          <t>Creature — Minotaur Warrior Ally / Criatura — Minotauro Guerreiro Aliado</t>
        </is>
      </c>
      <c r="C1066" s="11" t="inlineStr">
        <is>
          <t>Rare / Rara</t>
        </is>
      </c>
      <c r="D1066" s="11"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6" s="11" t="inlineStr">
        <is>
          <t>{4}{R}</t>
        </is>
      </c>
      <c r="F1066" s="11" t="inlineStr">
        <is>
          <t>Vermelho</t>
        </is>
      </c>
      <c r="G1066" s="8" t="n">
        <v>1.79</v>
      </c>
      <c r="H1066" s="11" t="inlineStr">
        <is>
          <t>Zendikar (ZEN)</t>
        </is>
      </c>
      <c r="I1066" s="11" t="inlineStr">
        <is>
          <t>Não</t>
        </is>
      </c>
      <c r="J1066" s="11" t="n">
        <v>2009</v>
      </c>
      <c r="K1066" s="10" t="n">
        <v>46084</v>
      </c>
      <c r="L1066" s="11" t="n">
        <v>1</v>
      </c>
      <c r="M1066" s="8">
        <f>L1066*G1066</f>
        <v/>
      </c>
      <c r="P1066" s="9" t="n"/>
    </row>
    <row r="1067">
      <c r="A1067" s="11" t="inlineStr">
        <is>
          <t>Voracious Dragon / Dragão Voraz</t>
        </is>
      </c>
      <c r="B1067" s="11" t="inlineStr">
        <is>
          <t>Creature — Dragon / Criatura — Dragão</t>
        </is>
      </c>
      <c r="C1067" s="11" t="inlineStr">
        <is>
          <t>Rare / Rara</t>
        </is>
      </c>
      <c r="D1067" s="11"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7" s="11" t="inlineStr">
        <is>
          <t>{3}{R}{R}</t>
        </is>
      </c>
      <c r="F1067" s="11" t="inlineStr">
        <is>
          <t>Vermelho</t>
        </is>
      </c>
      <c r="G1067" s="8" t="n">
        <v>1.5</v>
      </c>
      <c r="H1067" s="11" t="inlineStr">
        <is>
          <t>Magic 2010 (M10)</t>
        </is>
      </c>
      <c r="I1067" s="11" t="inlineStr">
        <is>
          <t>Não</t>
        </is>
      </c>
      <c r="J1067" s="11" t="n">
        <v>2009</v>
      </c>
      <c r="K1067" s="10" t="n">
        <v>46116</v>
      </c>
      <c r="L1067" s="11" t="n">
        <v>2</v>
      </c>
      <c r="M1067" s="8">
        <f>L1067*G1067</f>
        <v/>
      </c>
      <c r="P1067" s="9" t="n"/>
    </row>
    <row r="1068">
      <c r="A1068" s="11" t="inlineStr">
        <is>
          <t>Siege-Gang Commander / Comandante do Grupo de Cerco</t>
        </is>
      </c>
      <c r="B1068" s="11" t="inlineStr">
        <is>
          <t>Creature — Goblin / Criatura — Goblin</t>
        </is>
      </c>
      <c r="C1068" s="11" t="inlineStr">
        <is>
          <t>Rare / Rara</t>
        </is>
      </c>
      <c r="D1068" s="11"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8" s="11" t="inlineStr">
        <is>
          <t>{3}{R}{R}</t>
        </is>
      </c>
      <c r="F1068" s="11" t="inlineStr">
        <is>
          <t>Vermelho</t>
        </is>
      </c>
      <c r="G1068" s="8" t="n">
        <v>0.98</v>
      </c>
      <c r="H1068" s="11" t="inlineStr">
        <is>
          <t>Dominaria (DOM)</t>
        </is>
      </c>
      <c r="I1068" s="11" t="inlineStr">
        <is>
          <t>Não</t>
        </is>
      </c>
      <c r="J1068" s="11" t="n">
        <v>2018</v>
      </c>
      <c r="K1068" s="10" t="n">
        <v>46055</v>
      </c>
      <c r="L1068" s="11" t="n">
        <v>1</v>
      </c>
      <c r="M1068" s="8">
        <f>L1068*G1068</f>
        <v/>
      </c>
      <c r="P1068" s="9" t="n"/>
    </row>
    <row r="1069">
      <c r="A1069" s="11" t="inlineStr">
        <is>
          <t>Goblin Ringleader / Líder da Gangue Goblin</t>
        </is>
      </c>
      <c r="B1069" s="11" t="inlineStr">
        <is>
          <t>Creature — Goblin / Criatura — Goblin</t>
        </is>
      </c>
      <c r="C1069" s="11" t="inlineStr">
        <is>
          <t>Uncommon / Incomum</t>
        </is>
      </c>
      <c r="D1069" s="11"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9" s="11" t="inlineStr">
        <is>
          <t>{3}{R}</t>
        </is>
      </c>
      <c r="F1069" s="11" t="inlineStr">
        <is>
          <t>Vermelho</t>
        </is>
      </c>
      <c r="G1069" s="8" t="n">
        <v>0.45</v>
      </c>
      <c r="H1069" s="11" t="inlineStr">
        <is>
          <t>Magic 2020 (M20)</t>
        </is>
      </c>
      <c r="I1069" s="11" t="inlineStr">
        <is>
          <t>Não</t>
        </is>
      </c>
      <c r="J1069" s="11" t="n">
        <v>2019</v>
      </c>
      <c r="K1069" s="10" t="n">
        <v>46055</v>
      </c>
      <c r="L1069" s="11" t="n">
        <v>1</v>
      </c>
      <c r="M1069" s="8">
        <f>L1069*G1069</f>
        <v/>
      </c>
      <c r="P1069" s="9" t="n"/>
    </row>
    <row r="1070">
      <c r="A1070" s="11" t="inlineStr">
        <is>
          <t>Silvergill Mentor</t>
        </is>
      </c>
      <c r="B1070" s="11" t="inlineStr">
        <is>
          <t>Creature — Merfolk Wizard</t>
        </is>
      </c>
      <c r="C1070" s="11" t="inlineStr">
        <is>
          <t>Uncommon</t>
        </is>
      </c>
      <c r="D1070" s="11" t="inlineStr">
        <is>
          <t>As an additional cost to cast this spell, behold a Merfolk or pay {2}. (To behold a Merfolk, choose a Merfolk you control or reveal a Merfolk card from your hand.) When this creature enters, create a 1/1 white and blue Merfolk creature token.</t>
        </is>
      </c>
      <c r="E1070" s="11" t="inlineStr">
        <is>
          <t>{1}{U}</t>
        </is>
      </c>
      <c r="F1070" s="11" t="inlineStr">
        <is>
          <t>Azul</t>
        </is>
      </c>
      <c r="G1070" s="8" t="n">
        <v>0.07000000000000001</v>
      </c>
      <c r="H1070" s="11" t="inlineStr">
        <is>
          <t>Lorwyn Eclipsed (ECL)</t>
        </is>
      </c>
      <c r="I1070" s="11" t="inlineStr">
        <is>
          <t>Não</t>
        </is>
      </c>
      <c r="J1070" s="11" t="n">
        <v>2026</v>
      </c>
      <c r="K1070" s="10" t="n">
        <v>46024</v>
      </c>
      <c r="L1070" s="11" t="n">
        <v>1</v>
      </c>
      <c r="M1070" s="8">
        <f>L1070*G1070</f>
        <v/>
      </c>
      <c r="P1070" s="9" t="n"/>
    </row>
    <row r="1071">
      <c r="A1071" s="11" t="inlineStr">
        <is>
          <t>Silvergill Mentor</t>
        </is>
      </c>
      <c r="B1071" s="11" t="inlineStr">
        <is>
          <t>Creature — Merfolk Wizard</t>
        </is>
      </c>
      <c r="C1071" s="11" t="inlineStr">
        <is>
          <t>Uncommon</t>
        </is>
      </c>
      <c r="D1071" s="11" t="inlineStr">
        <is>
          <t>As an additional cost to cast this spell, behold a Merfolk or pay {2}. (To behold a Merfolk, choose a Merfolk you control or reveal a Merfolk card from your hand.) When this creature enters, create a 1/1 white and blue Merfolk creature token.</t>
        </is>
      </c>
      <c r="E1071" s="11" t="inlineStr">
        <is>
          <t>{1}{U}</t>
        </is>
      </c>
      <c r="F1071" s="11" t="inlineStr">
        <is>
          <t>Azul</t>
        </is>
      </c>
      <c r="G1071" s="8" t="n">
        <v>0.5</v>
      </c>
      <c r="H1071" s="11" t="inlineStr">
        <is>
          <t>Lorwyn Eclipsed (ECL)</t>
        </is>
      </c>
      <c r="I1071" s="11" t="inlineStr">
        <is>
          <t>Sim</t>
        </is>
      </c>
      <c r="J1071" s="11" t="n">
        <v>2026</v>
      </c>
      <c r="K1071" s="10" t="n">
        <v>46024</v>
      </c>
      <c r="L1071" s="11" t="n">
        <v>1</v>
      </c>
      <c r="M1071" s="8">
        <f>L1071*G1071</f>
        <v/>
      </c>
      <c r="P1071" s="9" t="n"/>
    </row>
    <row r="1072">
      <c r="A1072" s="11" t="inlineStr">
        <is>
          <t>Sear</t>
        </is>
      </c>
      <c r="B1072" s="11" t="inlineStr">
        <is>
          <t>Instant</t>
        </is>
      </c>
      <c r="C1072" s="11" t="inlineStr">
        <is>
          <t>Uncommon</t>
        </is>
      </c>
      <c r="D1072" s="11" t="inlineStr">
        <is>
          <t>Sear deals 4 damage to target creature or planeswalker.</t>
        </is>
      </c>
      <c r="E1072" s="11" t="inlineStr">
        <is>
          <t>{1}{R}</t>
        </is>
      </c>
      <c r="F1072" s="11" t="inlineStr">
        <is>
          <t>Vermelho</t>
        </is>
      </c>
      <c r="G1072" s="8" t="n">
        <v>0.34</v>
      </c>
      <c r="H1072" s="11" t="inlineStr">
        <is>
          <t>Lorwyn Eclipsed (ECL)</t>
        </is>
      </c>
      <c r="I1072" s="11" t="inlineStr">
        <is>
          <t>Não</t>
        </is>
      </c>
      <c r="J1072" s="11" t="n">
        <v>2026</v>
      </c>
      <c r="L1072" s="11" t="n">
        <v>2</v>
      </c>
      <c r="M1072" s="8">
        <f>L1072*G1072</f>
        <v/>
      </c>
      <c r="P1072" s="9" t="n"/>
    </row>
    <row r="1073">
      <c r="A1073" s="11" t="inlineStr">
        <is>
          <t>Bark of Doran</t>
        </is>
      </c>
      <c r="B1073" s="11" t="inlineStr">
        <is>
          <t>Artifact — Equipment</t>
        </is>
      </c>
      <c r="C1073" s="11" t="inlineStr">
        <is>
          <t>Uncommon</t>
        </is>
      </c>
      <c r="D1073" s="11" t="inlineStr">
        <is>
          <t>Equipped creature gets +0/+1. As long as equipped creature's toughness is greater than its power, it assigns combat damage equal to its toughness rather than its power. Equip {1} ({1}: Attach to target creature you control. Equip only as a sorcery.)</t>
        </is>
      </c>
      <c r="E1073" s="11" t="inlineStr">
        <is>
          <t>{1}{W}</t>
        </is>
      </c>
      <c r="F1073" s="11" t="inlineStr">
        <is>
          <t>Branco</t>
        </is>
      </c>
      <c r="G1073" s="8" t="n">
        <v>0.4</v>
      </c>
      <c r="H1073" s="11" t="inlineStr">
        <is>
          <t>Lorwyn Eclipsed (ECL)</t>
        </is>
      </c>
      <c r="I1073" s="11" t="inlineStr">
        <is>
          <t>Sim</t>
        </is>
      </c>
      <c r="J1073" s="11" t="n">
        <v>2026</v>
      </c>
      <c r="L1073" s="11" t="n">
        <v>1</v>
      </c>
      <c r="M1073" s="8">
        <f>L1073*G1073</f>
        <v/>
      </c>
      <c r="P1073" s="9" t="n"/>
    </row>
    <row r="1074">
      <c r="A1074" s="11" t="inlineStr">
        <is>
          <t>Champion of the Path</t>
        </is>
      </c>
      <c r="B1074" s="11" t="inlineStr">
        <is>
          <t>Creature — Elemental Sorcerer</t>
        </is>
      </c>
      <c r="C1074" s="11" t="inlineStr">
        <is>
          <t>Rare</t>
        </is>
      </c>
      <c r="D1074" s="11"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74" s="11" t="inlineStr">
        <is>
          <t>{3}{R}</t>
        </is>
      </c>
      <c r="F1074" s="11" t="inlineStr">
        <is>
          <t>Vermelho</t>
        </is>
      </c>
      <c r="G1074" s="8" t="n">
        <v>0.49</v>
      </c>
      <c r="H1074" s="11" t="inlineStr">
        <is>
          <t>Lorwyn Eclipsed (ECL)</t>
        </is>
      </c>
      <c r="I1074" s="11" t="inlineStr">
        <is>
          <t>Não</t>
        </is>
      </c>
      <c r="J1074" s="11" t="n">
        <v>2026</v>
      </c>
      <c r="K1074" s="10" t="n">
        <v>46088</v>
      </c>
      <c r="L1074" s="11" t="n">
        <v>1</v>
      </c>
      <c r="M1074" s="8">
        <f>L1074*G1074</f>
        <v/>
      </c>
      <c r="P1074" s="9" t="n"/>
    </row>
    <row r="1075">
      <c r="A1075" s="11" t="inlineStr">
        <is>
          <t>Tweeze</t>
        </is>
      </c>
      <c r="B1075" s="11" t="inlineStr">
        <is>
          <t>Instant</t>
        </is>
      </c>
      <c r="C1075" s="11" t="inlineStr">
        <is>
          <t>Common</t>
        </is>
      </c>
      <c r="D1075" s="11" t="inlineStr">
        <is>
          <t>Tweeze deals 3 damage to any target. You may discard a card. If you do, draw a card.</t>
        </is>
      </c>
      <c r="E1075" s="11" t="inlineStr">
        <is>
          <t>{2}{R}</t>
        </is>
      </c>
      <c r="F1075" s="11" t="inlineStr">
        <is>
          <t>Vermelho</t>
        </is>
      </c>
      <c r="G1075" s="8" t="n">
        <v>0.05</v>
      </c>
      <c r="H1075" s="11" t="inlineStr">
        <is>
          <t>Lorwyn Eclipsed (ECL)</t>
        </is>
      </c>
      <c r="I1075" s="11" t="inlineStr">
        <is>
          <t>Não</t>
        </is>
      </c>
      <c r="J1075" s="11" t="n">
        <v>2026</v>
      </c>
      <c r="L1075" s="11" t="n">
        <v>4</v>
      </c>
      <c r="M1075" s="8">
        <f>L1075*G1075</f>
        <v/>
      </c>
      <c r="P1075" s="9" t="n"/>
    </row>
    <row r="1076">
      <c r="A1076" s="11" t="inlineStr">
        <is>
          <t>Disruptor of Currents</t>
        </is>
      </c>
      <c r="B1076" s="11" t="inlineStr">
        <is>
          <t>Creature — Merfolk Wizard</t>
        </is>
      </c>
      <c r="C1076" s="11" t="inlineStr">
        <is>
          <t>Rare</t>
        </is>
      </c>
      <c r="D1076" s="11" t="inlineStr">
        <is>
          <t>Flash. Convoke (Your creatures can help cast this spell. Each creature you tap while casting this spell pays for {1} or one mana of that creature's color.) When this creature enters, return up to one other target nonland permanent to its owner's hand.</t>
        </is>
      </c>
      <c r="E1076" s="11" t="inlineStr">
        <is>
          <t>{3}{U}{U}</t>
        </is>
      </c>
      <c r="F1076" s="11" t="inlineStr">
        <is>
          <t>Azul</t>
        </is>
      </c>
      <c r="G1076" s="8" t="n">
        <v>0.5</v>
      </c>
      <c r="H1076" s="11" t="inlineStr">
        <is>
          <t>Lorwyn Eclipsed (ECL)</t>
        </is>
      </c>
      <c r="I1076" s="11" t="inlineStr">
        <is>
          <t>Não</t>
        </is>
      </c>
      <c r="J1076" s="11" t="n">
        <v>2026</v>
      </c>
      <c r="K1076" s="10" t="n">
        <v>46084</v>
      </c>
      <c r="L1076" s="11" t="n">
        <v>1</v>
      </c>
      <c r="M1076" s="8">
        <f>L1076*G1076</f>
        <v/>
      </c>
      <c r="P1076" s="9" t="n"/>
    </row>
    <row r="1077">
      <c r="A1077" s="11" t="inlineStr">
        <is>
          <t>Glamer Gifter</t>
        </is>
      </c>
      <c r="B1077" s="11" t="inlineStr">
        <is>
          <t>Creature — Faerie Wizard</t>
        </is>
      </c>
      <c r="C1077" s="11" t="inlineStr">
        <is>
          <t>Uncommon</t>
        </is>
      </c>
      <c r="D1077" s="11" t="inlineStr">
        <is>
          <t>Flash. Flying. When this creature enters, choose up to one other target creature. Until end of turn, that creature has base power and toughness 4/4 and gains all creature types.</t>
        </is>
      </c>
      <c r="E1077" s="11" t="inlineStr">
        <is>
          <t>{1}{U}</t>
        </is>
      </c>
      <c r="F1077" s="11" t="inlineStr">
        <is>
          <t>Azul</t>
        </is>
      </c>
      <c r="G1077" s="8" t="n">
        <v>0.06</v>
      </c>
      <c r="H1077" s="11" t="inlineStr">
        <is>
          <t>Lorwyn Eclipsed (ECL)</t>
        </is>
      </c>
      <c r="I1077" s="11" t="inlineStr">
        <is>
          <t>Não</t>
        </is>
      </c>
      <c r="J1077" s="11" t="n">
        <v>2026</v>
      </c>
      <c r="K1077" s="10" t="n">
        <v>46054</v>
      </c>
      <c r="L1077" s="11" t="n">
        <v>1</v>
      </c>
      <c r="M1077" s="8">
        <f>L1077*G1077</f>
        <v/>
      </c>
      <c r="P1077" s="9" t="n"/>
    </row>
    <row r="1078">
      <c r="A1078" s="11" t="inlineStr">
        <is>
          <t>Glamer Gifter</t>
        </is>
      </c>
      <c r="B1078" s="11" t="inlineStr">
        <is>
          <t>Creature — Faerie Wizard</t>
        </is>
      </c>
      <c r="C1078" s="11" t="inlineStr">
        <is>
          <t>Uncommon</t>
        </is>
      </c>
      <c r="D1078" s="11" t="inlineStr">
        <is>
          <t>Flash. Flying. When this creature enters, choose up to one other target creature. Until end of turn, that creature has base power and toughness 4/4 and gains all creature types.</t>
        </is>
      </c>
      <c r="E1078" s="11" t="inlineStr">
        <is>
          <t>{1}{U}</t>
        </is>
      </c>
      <c r="F1078" s="11" t="inlineStr">
        <is>
          <t>Azul</t>
        </is>
      </c>
      <c r="G1078" s="8" t="n">
        <v>0.27</v>
      </c>
      <c r="H1078" s="11" t="inlineStr">
        <is>
          <t>Lorwyn Eclipsed (ECL)</t>
        </is>
      </c>
      <c r="I1078" s="11" t="inlineStr">
        <is>
          <t>Sim</t>
        </is>
      </c>
      <c r="J1078" s="11" t="n">
        <v>2026</v>
      </c>
      <c r="K1078" s="10" t="n">
        <v>46054</v>
      </c>
      <c r="L1078" s="11" t="n">
        <v>1</v>
      </c>
      <c r="M1078" s="8">
        <f>L1078*G1078</f>
        <v/>
      </c>
      <c r="P1078" s="9" t="n"/>
    </row>
    <row r="1079">
      <c r="A1079" s="11" t="inlineStr">
        <is>
          <t>Chomping Changeling</t>
        </is>
      </c>
      <c r="B1079" s="11" t="inlineStr">
        <is>
          <t>Creature — Shapeshifter</t>
        </is>
      </c>
      <c r="C1079" s="11" t="inlineStr">
        <is>
          <t>Uncommon</t>
        </is>
      </c>
      <c r="D1079" s="11" t="inlineStr">
        <is>
          <t>Changeling (This card is every creature type.) When this creature enters, destroy up to one target artifact or enchantment.</t>
        </is>
      </c>
      <c r="E1079" s="11" t="inlineStr">
        <is>
          <t>{2}{G}</t>
        </is>
      </c>
      <c r="F1079" s="11" t="inlineStr">
        <is>
          <t>Verde</t>
        </is>
      </c>
      <c r="G1079" s="8" t="n">
        <v>0.48</v>
      </c>
      <c r="H1079" s="11" t="inlineStr">
        <is>
          <t>Lorwyn Eclipsed (ECL)</t>
        </is>
      </c>
      <c r="I1079" s="11" t="inlineStr">
        <is>
          <t>Não</t>
        </is>
      </c>
      <c r="J1079" s="11" t="n">
        <v>2026</v>
      </c>
      <c r="K1079" s="10" t="n">
        <v>46054</v>
      </c>
      <c r="L1079" s="11" t="n">
        <v>2</v>
      </c>
      <c r="M1079" s="8">
        <f>L1079*G1079</f>
        <v/>
      </c>
      <c r="P1079" s="9" t="n"/>
    </row>
    <row r="1080">
      <c r="A1080" s="11" t="inlineStr">
        <is>
          <t>Virulent Emissary</t>
        </is>
      </c>
      <c r="B1080" s="11" t="inlineStr">
        <is>
          <t>Creature — Elf Assassin</t>
        </is>
      </c>
      <c r="C1080" s="11" t="inlineStr">
        <is>
          <t>Rare (Promo)</t>
        </is>
      </c>
      <c r="D1080" s="11" t="inlineStr">
        <is>
          <t>Deathtouch. Whenever another creature you control enters, you gain 1 life.</t>
        </is>
      </c>
      <c r="E1080" s="11" t="inlineStr">
        <is>
          <t>{G}</t>
        </is>
      </c>
      <c r="F1080" s="11" t="inlineStr">
        <is>
          <t>Verde</t>
        </is>
      </c>
      <c r="G1080" s="8" t="n">
        <v>0.5</v>
      </c>
      <c r="H1080" s="11" t="inlineStr">
        <is>
          <t>Lorwyn Eclipsed (ECL) (Promo)</t>
        </is>
      </c>
      <c r="I1080" s="11" t="inlineStr">
        <is>
          <t>Sim</t>
        </is>
      </c>
      <c r="J1080" s="11" t="n">
        <v>2026</v>
      </c>
      <c r="K1080" s="10" t="n">
        <v>46023</v>
      </c>
      <c r="L1080" s="11" t="n">
        <v>1</v>
      </c>
      <c r="M1080" s="8">
        <f>L1080*G1080</f>
        <v/>
      </c>
      <c r="P1080" s="9" t="n"/>
    </row>
    <row r="1081">
      <c r="A1081" s="11" t="inlineStr">
        <is>
          <t>Gilt-Leaf's Embrace</t>
        </is>
      </c>
      <c r="B1081" s="11" t="inlineStr">
        <is>
          <t>Enchantment — Aura</t>
        </is>
      </c>
      <c r="C1081" s="11" t="inlineStr">
        <is>
          <t>Common</t>
        </is>
      </c>
      <c r="D1081" s="11" t="inlineStr">
        <is>
          <t>Flash. Enchant creature. When this Aura enters, enchanted creature gains trample and indestructible until end of turn. Enchanted creature gets +2/+0.</t>
        </is>
      </c>
      <c r="E1081" s="11" t="inlineStr">
        <is>
          <t>{2}{G}</t>
        </is>
      </c>
      <c r="F1081" s="11" t="inlineStr">
        <is>
          <t>Verde</t>
        </is>
      </c>
      <c r="G1081" s="8" t="n">
        <v>0.08</v>
      </c>
      <c r="H1081" s="11" t="inlineStr">
        <is>
          <t>Lorwyn Eclipsed (ECL)</t>
        </is>
      </c>
      <c r="I1081" s="11" t="inlineStr">
        <is>
          <t>Não</t>
        </is>
      </c>
      <c r="J1081" s="11" t="n">
        <v>2026</v>
      </c>
      <c r="L1081" s="11" t="n">
        <v>2</v>
      </c>
      <c r="M1081" s="8">
        <f>L1081*G1081</f>
        <v/>
      </c>
      <c r="P1081" s="9" t="n"/>
    </row>
    <row r="1082">
      <c r="A1082" s="11" t="inlineStr">
        <is>
          <t>Gilt-Leaf's Embrace</t>
        </is>
      </c>
      <c r="B1082" s="11" t="inlineStr">
        <is>
          <t>Enchantment — Aura</t>
        </is>
      </c>
      <c r="C1082" s="11" t="inlineStr">
        <is>
          <t>Common</t>
        </is>
      </c>
      <c r="D1082" s="11" t="inlineStr">
        <is>
          <t>Flash. Enchant creature. When this Aura enters, enchanted creature gains trample and indestructible until end of turn. Enchanted creature gets +2/+0.</t>
        </is>
      </c>
      <c r="E1082" s="11" t="inlineStr">
        <is>
          <t>{2}{G}</t>
        </is>
      </c>
      <c r="F1082" s="11" t="inlineStr">
        <is>
          <t>Verde</t>
        </is>
      </c>
      <c r="G1082" s="8" t="n">
        <v>0.35</v>
      </c>
      <c r="H1082" s="11" t="inlineStr">
        <is>
          <t>Lorwyn Eclipsed (ECL)</t>
        </is>
      </c>
      <c r="I1082" s="11" t="inlineStr">
        <is>
          <t>Sim</t>
        </is>
      </c>
      <c r="J1082" s="11" t="n">
        <v>2026</v>
      </c>
      <c r="L1082" s="11" t="n">
        <v>1</v>
      </c>
      <c r="M1082" s="8">
        <f>L1082*G1082</f>
        <v/>
      </c>
      <c r="P1082" s="9" t="n"/>
    </row>
    <row r="1083">
      <c r="A1083" s="11" t="inlineStr">
        <is>
          <t>Dawnhand Eulogist</t>
        </is>
      </c>
      <c r="B1083" s="11" t="inlineStr">
        <is>
          <t>Creature — Elf Warlock</t>
        </is>
      </c>
      <c r="C1083" s="11" t="inlineStr">
        <is>
          <t>Common</t>
        </is>
      </c>
      <c r="D1083" s="11" t="inlineStr">
        <is>
          <t>Menace. When this creature enters, mill three cards. Then if there is an Elf card in your graveyard, each opponent loses 2 life and you gain 2 life.</t>
        </is>
      </c>
      <c r="E1083" s="11" t="inlineStr">
        <is>
          <t>{3}{B}</t>
        </is>
      </c>
      <c r="F1083" s="11" t="inlineStr">
        <is>
          <t>Preto</t>
        </is>
      </c>
      <c r="G1083" s="8" t="n">
        <v>0.09</v>
      </c>
      <c r="H1083" s="11" t="inlineStr">
        <is>
          <t>Lorwyn Eclipsed (ECL)</t>
        </is>
      </c>
      <c r="I1083" s="11" t="inlineStr">
        <is>
          <t>Não</t>
        </is>
      </c>
      <c r="J1083" s="11" t="n">
        <v>2026</v>
      </c>
      <c r="K1083" s="10" t="n">
        <v>46084</v>
      </c>
      <c r="L1083" s="11" t="n">
        <v>1</v>
      </c>
      <c r="M1083" s="8">
        <f>L1083*G1083</f>
        <v/>
      </c>
      <c r="P1083" s="9" t="n"/>
    </row>
    <row r="1084">
      <c r="A1084" s="11" t="inlineStr">
        <is>
          <t>Dawnhand Eulogist</t>
        </is>
      </c>
      <c r="B1084" s="11" t="inlineStr">
        <is>
          <t>Creature — Elf Warlock</t>
        </is>
      </c>
      <c r="C1084" s="11" t="inlineStr">
        <is>
          <t>Common</t>
        </is>
      </c>
      <c r="D1084" s="11" t="inlineStr">
        <is>
          <t>Menace. When this creature enters, mill three cards. Then if there is an Elf card in your graveyard, each opponent loses 2 life and you gain 2 life.</t>
        </is>
      </c>
      <c r="E1084" s="11" t="inlineStr">
        <is>
          <t>{3}{B}</t>
        </is>
      </c>
      <c r="F1084" s="11" t="inlineStr">
        <is>
          <t>Preto</t>
        </is>
      </c>
      <c r="G1084" s="8" t="n">
        <v>0.14</v>
      </c>
      <c r="H1084" s="11" t="inlineStr">
        <is>
          <t>Lorwyn Eclipsed (ECL)</t>
        </is>
      </c>
      <c r="I1084" s="11" t="inlineStr">
        <is>
          <t>Sim</t>
        </is>
      </c>
      <c r="J1084" s="11" t="n">
        <v>2026</v>
      </c>
      <c r="K1084" s="10" t="n">
        <v>46084</v>
      </c>
      <c r="L1084" s="11" t="n">
        <v>2</v>
      </c>
      <c r="M1084" s="8">
        <f>L1084*G1084</f>
        <v/>
      </c>
      <c r="P1084" s="9" t="n"/>
    </row>
    <row r="1085">
      <c r="A1085" s="11" t="inlineStr">
        <is>
          <t>Blighted Pretothorn</t>
        </is>
      </c>
      <c r="B1085" s="11" t="inlineStr">
        <is>
          <t>Creature — Treefolk Warlock</t>
        </is>
      </c>
      <c r="C1085" s="11" t="inlineStr">
        <is>
          <t>Common</t>
        </is>
      </c>
      <c r="D1085" s="11" t="inlineStr">
        <is>
          <t>Whenever this creature enters or attacks, you may blight 2. If you do, you draw a card and lose 1 life. (To blight 2, put two -1/-1 counters on a creature you control.)</t>
        </is>
      </c>
      <c r="E1085" s="11" t="inlineStr">
        <is>
          <t>{4}{B}</t>
        </is>
      </c>
      <c r="F1085" s="11" t="inlineStr">
        <is>
          <t>Preto</t>
        </is>
      </c>
      <c r="G1085" s="8" t="n">
        <v>0.05</v>
      </c>
      <c r="H1085" s="11" t="inlineStr">
        <is>
          <t>Lorwyn Eclipsed (ECL)</t>
        </is>
      </c>
      <c r="I1085" s="11" t="inlineStr">
        <is>
          <t>Não</t>
        </is>
      </c>
      <c r="J1085" s="11" t="n">
        <v>2026</v>
      </c>
      <c r="K1085" s="10" t="n">
        <v>46206</v>
      </c>
      <c r="L1085" s="11" t="n">
        <v>3</v>
      </c>
      <c r="M1085" s="8">
        <f>L1085*G1085</f>
        <v/>
      </c>
      <c r="P1085" s="9" t="n"/>
    </row>
    <row r="1086">
      <c r="A1086" s="11" t="inlineStr">
        <is>
          <t>Champion of the Weird</t>
        </is>
      </c>
      <c r="B1086" s="11" t="inlineStr">
        <is>
          <t>Creature — Goblin Berserker</t>
        </is>
      </c>
      <c r="C1086" s="11" t="inlineStr">
        <is>
          <t>Rare</t>
        </is>
      </c>
      <c r="D1086" s="11"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6" s="11" t="inlineStr">
        <is>
          <t>{3}{B}</t>
        </is>
      </c>
      <c r="F1086" s="11" t="inlineStr">
        <is>
          <t>Preto</t>
        </is>
      </c>
      <c r="G1086" s="8" t="n">
        <v>0.7</v>
      </c>
      <c r="H1086" s="11" t="inlineStr">
        <is>
          <t>Lorwyn Eclipsed (ECL)</t>
        </is>
      </c>
      <c r="I1086" s="11" t="inlineStr">
        <is>
          <t>Não</t>
        </is>
      </c>
      <c r="J1086" s="11" t="n">
        <v>2026</v>
      </c>
      <c r="K1086" s="10" t="n">
        <v>46147</v>
      </c>
      <c r="L1086" s="11" t="n">
        <v>1</v>
      </c>
      <c r="M1086" s="8">
        <f>L1086*G1086</f>
        <v/>
      </c>
      <c r="P1086" s="9" t="n"/>
    </row>
    <row r="1087">
      <c r="A1087" s="11" t="inlineStr">
        <is>
          <t>Emboscador Mukotai / Mukotai Ambush</t>
        </is>
      </c>
      <c r="B1087" s="11" t="inlineStr">
        <is>
          <t>Creature — Rat Ninja / Criatura Artefato — Rato Ninja</t>
        </is>
      </c>
      <c r="C1087" s="11" t="inlineStr">
        <is>
          <t>Common / Comum</t>
        </is>
      </c>
      <c r="D1087" s="11" t="inlineStr">
        <is>
          <t>Ninjutsu {1}{B}, Lifelink / Ninjutsu {1}{B}, Vínculo com a vida</t>
        </is>
      </c>
      <c r="E1087" s="11" t="inlineStr">
        <is>
          <t>{3}{B}</t>
        </is>
      </c>
      <c r="F1087" s="11" t="inlineStr">
        <is>
          <t>Preto</t>
        </is>
      </c>
      <c r="G1087" s="8" t="n">
        <v>1</v>
      </c>
      <c r="H1087" s="11" t="inlineStr">
        <is>
          <t>Kamigawa: Neon Dynasty (NEO)</t>
        </is>
      </c>
      <c r="I1087" s="11" t="inlineStr">
        <is>
          <t>Não</t>
        </is>
      </c>
      <c r="J1087" s="11" t="n">
        <v>2022</v>
      </c>
      <c r="K1087" s="10" t="n">
        <v>46056</v>
      </c>
      <c r="L1087" s="11" t="n">
        <v>1</v>
      </c>
      <c r="M1087" s="8">
        <f>L1087*G1087</f>
        <v/>
      </c>
      <c r="P1087" s="9" t="n"/>
    </row>
    <row r="1088">
      <c r="A1088" s="11" t="inlineStr">
        <is>
          <t>Gerador de Carniçais / Ghoulraiser</t>
        </is>
      </c>
      <c r="B1088" s="11" t="inlineStr">
        <is>
          <t>Criatura — Zumbi / Creature — Zombie</t>
        </is>
      </c>
      <c r="C1088" s="11" t="inlineStr">
        <is>
          <t>Comum / Common</t>
        </is>
      </c>
      <c r="D1088" s="11" t="inlineStr">
        <is>
          <t>Quando Gerador de Carniçais entrar no campo de batalha, devolva um card de Zumbi de seu cemitério para sua mão aleatoriamente. / When Ghoulraiser enters the battlefield, return a Zombie card from your graveyard to your hand at random.</t>
        </is>
      </c>
      <c r="E1088" s="11" t="inlineStr">
        <is>
          <t>{1}{B}{B}</t>
        </is>
      </c>
      <c r="F1088" s="11" t="inlineStr">
        <is>
          <t>Preto</t>
        </is>
      </c>
      <c r="G1088" s="8" t="n">
        <v>1.31</v>
      </c>
      <c r="H1088" s="11" t="inlineStr">
        <is>
          <t>Innistrad (ISD)</t>
        </is>
      </c>
      <c r="I1088" s="11" t="inlineStr">
        <is>
          <t>Sim</t>
        </is>
      </c>
      <c r="J1088" s="11" t="n">
        <v>2011</v>
      </c>
      <c r="K1088" s="10" t="n">
        <v>46055</v>
      </c>
      <c r="L1088" s="11" t="n">
        <v>1</v>
      </c>
      <c r="M1088" s="8">
        <f>L1088*G1088</f>
        <v/>
      </c>
      <c r="P1088" s="9" t="n"/>
    </row>
    <row r="1089">
      <c r="A1089" s="11" t="inlineStr">
        <is>
          <t>Coveiro / Gravedigger</t>
        </is>
      </c>
      <c r="B1089" s="11" t="inlineStr">
        <is>
          <t>Criatura — Zumbi / Creature — Zombie</t>
        </is>
      </c>
      <c r="C1089" s="11" t="inlineStr">
        <is>
          <t>Incomum / Uncommon</t>
        </is>
      </c>
      <c r="D1089" s="11" t="inlineStr">
        <is>
          <t>Quando Coveiro entra no campo de batalha, você pode devolver o card de criatura alvo de seu cemitério para sua mão. / When Gravedigger enters the battlefield, you may return target creature card from your graveyard to your hand.</t>
        </is>
      </c>
      <c r="E1089" s="11" t="inlineStr">
        <is>
          <t>{3}{B}</t>
        </is>
      </c>
      <c r="F1089" s="11" t="inlineStr">
        <is>
          <t>Preto</t>
        </is>
      </c>
      <c r="G1089" s="8" t="n">
        <v>0.03</v>
      </c>
      <c r="H1089" s="11" t="inlineStr">
        <is>
          <t>Core Set 2020 (M20)</t>
        </is>
      </c>
      <c r="I1089" s="11" t="inlineStr">
        <is>
          <t>Não</t>
        </is>
      </c>
      <c r="J1089" s="11" t="n">
        <v>2019</v>
      </c>
      <c r="K1089" s="10" t="n">
        <v>46055</v>
      </c>
      <c r="L1089" s="11" t="n">
        <v>4</v>
      </c>
      <c r="M1089" s="8">
        <f>L1089*G1089</f>
        <v/>
      </c>
      <c r="P1089" s="9" t="n"/>
    </row>
    <row r="1090">
      <c r="A1090" s="11" t="inlineStr">
        <is>
          <t>Coveiro / Gravedigger</t>
        </is>
      </c>
      <c r="B1090" s="11" t="inlineStr">
        <is>
          <t>Criatura — Zumbi / Creature — Zombie</t>
        </is>
      </c>
      <c r="C1090" s="11" t="inlineStr">
        <is>
          <t>Incomum / Uncommon</t>
        </is>
      </c>
      <c r="D1090" s="11" t="inlineStr">
        <is>
          <t>Quando Coveiro entra no campo de batalha, você pode devolver o card de criatura alvo de seu cemitério para sua mão. / When Gravedigger enters the battlefield, you may return target creature card from your graveyard to your hand.</t>
        </is>
      </c>
      <c r="E1090" s="11" t="inlineStr">
        <is>
          <t>{3}{B}</t>
        </is>
      </c>
      <c r="F1090" s="11" t="inlineStr">
        <is>
          <t>Preto</t>
        </is>
      </c>
      <c r="G1090" s="8" t="n">
        <v>0.08</v>
      </c>
      <c r="H1090" s="11" t="inlineStr">
        <is>
          <t>Core Set 2015 (M15)</t>
        </is>
      </c>
      <c r="I1090" s="11" t="inlineStr">
        <is>
          <t>Não</t>
        </is>
      </c>
      <c r="J1090" s="11" t="n">
        <v>2014</v>
      </c>
      <c r="K1090" s="10" t="n">
        <v>46055</v>
      </c>
      <c r="L1090" s="11" t="n">
        <v>1</v>
      </c>
      <c r="M1090" s="8">
        <f>L1090*G1090</f>
        <v/>
      </c>
      <c r="P1090" s="9" t="n"/>
    </row>
    <row r="1091">
      <c r="A1091" s="11" t="inlineStr">
        <is>
          <t>Despojar Alma / Ultimate Price</t>
        </is>
      </c>
      <c r="B1091" s="11" t="inlineStr">
        <is>
          <t>Feitiço / Sorcery</t>
        </is>
      </c>
      <c r="C1091" s="11" t="inlineStr">
        <is>
          <t>Comum / Common</t>
        </is>
      </c>
      <c r="D1091" s="11" t="inlineStr">
        <is>
          <t>Destrua a criatura alvo com poder igual ou inferior a 3. / Destroy target creature with power 3 or less.</t>
        </is>
      </c>
      <c r="E1091" s="11" t="inlineStr">
        <is>
          <t>{1}{B}</t>
        </is>
      </c>
      <c r="F1091" s="11" t="inlineStr">
        <is>
          <t>Preto</t>
        </is>
      </c>
      <c r="G1091" s="8" t="n">
        <v>0.05</v>
      </c>
      <c r="H1091" s="11" t="inlineStr">
        <is>
          <t>Magic Origins (ORI)</t>
        </is>
      </c>
      <c r="I1091" s="11" t="inlineStr">
        <is>
          <t>Não</t>
        </is>
      </c>
      <c r="J1091" s="11" t="n">
        <v>2015</v>
      </c>
      <c r="L1091" s="11" t="n">
        <v>3</v>
      </c>
      <c r="M1091" s="8">
        <f>L1091*G1091</f>
        <v/>
      </c>
      <c r="P1091" s="9" t="n"/>
    </row>
    <row r="1092">
      <c r="A1092" s="11" t="inlineStr">
        <is>
          <t>Vampiro de Guul Draz / Guul Draz Vampire</t>
        </is>
      </c>
      <c r="B1092" s="11" t="inlineStr">
        <is>
          <t>Criatura — Vampiro Ladino / Creature — Vampire Rogue</t>
        </is>
      </c>
      <c r="C1092" s="11" t="inlineStr">
        <is>
          <t>Comum / Common</t>
        </is>
      </c>
      <c r="D1092" s="11"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92" s="11" t="inlineStr">
        <is>
          <t>{B}</t>
        </is>
      </c>
      <c r="F1092" s="11" t="inlineStr">
        <is>
          <t>Preto</t>
        </is>
      </c>
      <c r="G1092" s="8" t="n">
        <v>0.49</v>
      </c>
      <c r="H1092" s="11" t="inlineStr">
        <is>
          <t>Worldwake (WWK)</t>
        </is>
      </c>
      <c r="I1092" s="11" t="inlineStr">
        <is>
          <t>Não</t>
        </is>
      </c>
      <c r="J1092" s="11" t="n">
        <v>2010</v>
      </c>
      <c r="K1092" s="10" t="n">
        <v>46023</v>
      </c>
      <c r="L1092" s="11" t="n">
        <v>1</v>
      </c>
      <c r="M1092" s="8">
        <f>L1092*G1092</f>
        <v/>
      </c>
      <c r="P1092" s="9" t="n"/>
    </row>
    <row r="1093">
      <c r="A1093" s="11" t="inlineStr">
        <is>
          <t>Xu-Ifit, Osteoharmonist</t>
        </is>
      </c>
      <c r="B1093" s="11" t="inlineStr">
        <is>
          <t>Legendary Creature — Human Wizard</t>
        </is>
      </c>
      <c r="C1093" s="11" t="inlineStr">
        <is>
          <t>Rare</t>
        </is>
      </c>
      <c r="D1093" s="11" t="inlineStr">
        <is>
          <t>{T}: Return target creature card from your graveyard to the battlefield. It's a Skeleton in addition to its other types and has no abilities. Activate only as a sorcery.</t>
        </is>
      </c>
      <c r="E1093" s="11" t="inlineStr">
        <is>
          <t>{1}{B}{B}</t>
        </is>
      </c>
      <c r="F1093" s="11" t="inlineStr">
        <is>
          <t>Preto</t>
        </is>
      </c>
      <c r="G1093" s="8" t="n">
        <v>0.71</v>
      </c>
      <c r="H1093" s="11" t="inlineStr">
        <is>
          <t>EOE</t>
        </is>
      </c>
      <c r="I1093" s="11" t="inlineStr">
        <is>
          <t>Não</t>
        </is>
      </c>
      <c r="J1093" s="11" t="n">
        <v>2025</v>
      </c>
      <c r="K1093" s="10" t="n">
        <v>46083</v>
      </c>
      <c r="L1093" s="11" t="n">
        <v>1</v>
      </c>
      <c r="M1093" s="8">
        <f>L1093*G1093</f>
        <v/>
      </c>
      <c r="P1093" s="9" t="n"/>
    </row>
    <row r="1094">
      <c r="A1094" s="11" t="inlineStr">
        <is>
          <t>Diplomacia ao Fio da Espada / Razaketh's Rite</t>
        </is>
      </c>
      <c r="B1094" s="11" t="inlineStr">
        <is>
          <t>Feitiço / Sorcery</t>
        </is>
      </c>
      <c r="C1094" s="11" t="inlineStr">
        <is>
          <t>Rara / Rare</t>
        </is>
      </c>
      <c r="D1094" s="11"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94" s="11" t="inlineStr">
        <is>
          <t>{2}{B}</t>
        </is>
      </c>
      <c r="F1094" s="11" t="inlineStr">
        <is>
          <t>Preto</t>
        </is>
      </c>
      <c r="G1094" s="8" t="n">
        <v>0.37</v>
      </c>
      <c r="H1094" s="11" t="inlineStr">
        <is>
          <t>Ixalan (XLN)</t>
        </is>
      </c>
      <c r="I1094" s="11" t="inlineStr">
        <is>
          <t>Não</t>
        </is>
      </c>
      <c r="J1094" s="11" t="n">
        <v>2017</v>
      </c>
      <c r="L1094" s="11" t="n">
        <v>1</v>
      </c>
      <c r="M1094" s="8">
        <f>L1094*G1094</f>
        <v/>
      </c>
      <c r="P1094" s="9" t="n"/>
    </row>
    <row r="1095">
      <c r="A1095" s="11" t="inlineStr">
        <is>
          <t>Fatia de Sombra / Shadow Slice</t>
        </is>
      </c>
      <c r="B1095" s="11" t="inlineStr">
        <is>
          <t>Feitiço / Sorcery</t>
        </is>
      </c>
      <c r="C1095" s="11" t="inlineStr">
        <is>
          <t>Comum / Common</t>
        </is>
      </c>
      <c r="D1095" s="11"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95" s="11" t="inlineStr">
        <is>
          <t>{4}{B}</t>
        </is>
      </c>
      <c r="F1095" s="11" t="inlineStr">
        <is>
          <t>Preto</t>
        </is>
      </c>
      <c r="G1095" s="8" t="n">
        <v>0.05</v>
      </c>
      <c r="H1095" s="11" t="inlineStr">
        <is>
          <t>Gatecrash (GTC)</t>
        </is>
      </c>
      <c r="I1095" s="11" t="inlineStr">
        <is>
          <t>Não</t>
        </is>
      </c>
      <c r="J1095" s="11" t="n">
        <v>2013</v>
      </c>
      <c r="L1095" s="11" t="n">
        <v>4</v>
      </c>
      <c r="M1095" s="8">
        <f>L1095*G1095</f>
        <v/>
      </c>
      <c r="P1095" s="9" t="n"/>
    </row>
    <row r="1096">
      <c r="A1096" s="11" t="inlineStr">
        <is>
          <t>Liliana's Specter</t>
        </is>
      </c>
      <c r="B1096" s="11" t="inlineStr">
        <is>
          <t>Creature — Specter</t>
        </is>
      </c>
      <c r="C1096" s="11" t="inlineStr">
        <is>
          <t>Common</t>
        </is>
      </c>
      <c r="D1096" s="11" t="inlineStr">
        <is>
          <t>Flying. When Liliana's Specter enters the battlefield, each opponent discards a card.</t>
        </is>
      </c>
      <c r="E1096" s="11" t="inlineStr">
        <is>
          <t>{1}{B}{B}</t>
        </is>
      </c>
      <c r="F1096" s="11" t="inlineStr">
        <is>
          <t>Preto</t>
        </is>
      </c>
      <c r="G1096" s="8" t="n">
        <v>0.46</v>
      </c>
      <c r="H1096" s="11" t="inlineStr">
        <is>
          <t>Magic 2015 (M15)</t>
        </is>
      </c>
      <c r="I1096" s="11" t="inlineStr">
        <is>
          <t>No</t>
        </is>
      </c>
      <c r="J1096" s="11" t="n">
        <v>2014</v>
      </c>
      <c r="K1096" s="10" t="n">
        <v>46024</v>
      </c>
      <c r="L1096" s="11" t="n">
        <v>4</v>
      </c>
      <c r="M1096" s="8">
        <f>L1096*G1096</f>
        <v/>
      </c>
      <c r="P1096" s="9" t="n"/>
    </row>
    <row r="1097">
      <c r="A1097" s="11" t="inlineStr">
        <is>
          <t>Espírito Pestilento / Pestilent Spirit</t>
        </is>
      </c>
      <c r="B1097" s="11" t="inlineStr">
        <is>
          <t>Criatura — Espírito / Creature — Spirit</t>
        </is>
      </c>
      <c r="C1097" s="11" t="inlineStr">
        <is>
          <t>Rara / Rare</t>
        </is>
      </c>
      <c r="D1097" s="11"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7" s="11" t="inlineStr">
        <is>
          <t>{2}{B}</t>
        </is>
      </c>
      <c r="F1097" s="11" t="inlineStr">
        <is>
          <t>Preto</t>
        </is>
      </c>
      <c r="G1097" s="8" t="n">
        <v>0.35</v>
      </c>
      <c r="H1097" s="11" t="inlineStr">
        <is>
          <t>Ravnica Allegiance (RNA)</t>
        </is>
      </c>
      <c r="I1097" s="11" t="inlineStr">
        <is>
          <t>Não</t>
        </is>
      </c>
      <c r="J1097" s="11" t="n">
        <v>2019</v>
      </c>
      <c r="K1097" s="10" t="n">
        <v>46056</v>
      </c>
      <c r="L1097" s="11" t="n">
        <v>2</v>
      </c>
      <c r="M1097" s="8">
        <f>L1097*G1097</f>
        <v/>
      </c>
      <c r="P1097" s="9" t="n"/>
    </row>
    <row r="1098">
      <c r="A1098" s="11" t="inlineStr">
        <is>
          <t>Disfigure / Desfigurar</t>
        </is>
      </c>
      <c r="B1098" s="11" t="inlineStr">
        <is>
          <t>Instant</t>
        </is>
      </c>
      <c r="C1098" s="11" t="inlineStr">
        <is>
          <t>Common</t>
        </is>
      </c>
      <c r="D1098" s="11" t="inlineStr">
        <is>
          <t>Target creature gets -2/-2 until end of turn.</t>
        </is>
      </c>
      <c r="E1098" s="11" t="inlineStr">
        <is>
          <t>{B}</t>
        </is>
      </c>
      <c r="F1098" s="11" t="inlineStr">
        <is>
          <t>Preto</t>
        </is>
      </c>
      <c r="G1098" s="8" t="n">
        <v>0.1</v>
      </c>
      <c r="H1098" s="11" t="inlineStr">
        <is>
          <t>Masters 25 (A25)</t>
        </is>
      </c>
      <c r="I1098" s="11" t="inlineStr">
        <is>
          <t>No</t>
        </is>
      </c>
      <c r="J1098" s="11" t="n">
        <v>2018</v>
      </c>
      <c r="L1098" s="11" t="n">
        <v>4</v>
      </c>
      <c r="M1098" s="8">
        <f>L1098*G1098</f>
        <v/>
      </c>
      <c r="P1098" s="9" t="n"/>
    </row>
    <row r="1099">
      <c r="A1099" s="11" t="inlineStr">
        <is>
          <t>Korrigan do Lago / Lake Paladin</t>
        </is>
      </c>
      <c r="B1099" s="11" t="inlineStr">
        <is>
          <t>Criatura — Espírito / Creature — Spirit</t>
        </is>
      </c>
      <c r="C1099" s="11" t="inlineStr">
        <is>
          <t>Comum / Common</t>
        </is>
      </c>
      <c r="D1099" s="11" t="inlineStr">
        <is>
          <t>{U}: Korrigan do Lago recebe +1/+1 até o final do turno. / {U}: Lake Paladin gets +1/+1 until end of turn.</t>
        </is>
      </c>
      <c r="E1099" s="11" t="inlineStr">
        <is>
          <t>{3}{B}</t>
        </is>
      </c>
      <c r="F1099" s="11" t="inlineStr">
        <is>
          <t>Preto</t>
        </is>
      </c>
      <c r="G1099" s="8" t="n">
        <v>0.06</v>
      </c>
      <c r="H1099" s="11" t="inlineStr">
        <is>
          <t>Eventide (EVE)</t>
        </is>
      </c>
      <c r="I1099" s="11" t="inlineStr">
        <is>
          <t>Não</t>
        </is>
      </c>
      <c r="J1099" s="11" t="n">
        <v>2008</v>
      </c>
      <c r="K1099" s="10" t="n">
        <v>46023</v>
      </c>
      <c r="L1099" s="11" t="n">
        <v>2</v>
      </c>
      <c r="M1099" s="8">
        <f>L1099*G1099</f>
        <v/>
      </c>
      <c r="P1099" s="9" t="n"/>
    </row>
    <row r="1100">
      <c r="A1100" s="11" t="inlineStr">
        <is>
          <t>Shimmercreep</t>
        </is>
      </c>
      <c r="B1100" s="11" t="inlineStr">
        <is>
          <t>Creature — Elemental</t>
        </is>
      </c>
      <c r="C1100" s="11" t="inlineStr">
        <is>
          <t>Uncommon</t>
        </is>
      </c>
      <c r="D1100" s="11" t="inlineStr">
        <is>
          <t>Menace. Vivid — When this creature enters, each opponent loses X life and you gain X life, where X is the number of colors among permanents you control.</t>
        </is>
      </c>
      <c r="E1100" s="11" t="inlineStr">
        <is>
          <t>{4}{B}</t>
        </is>
      </c>
      <c r="F1100" s="11" t="inlineStr">
        <is>
          <t>Preto</t>
        </is>
      </c>
      <c r="G1100" s="8" t="n">
        <v>0.04</v>
      </c>
      <c r="H1100" s="11" t="inlineStr">
        <is>
          <t>Lorwyn Eclipsed (ECL)</t>
        </is>
      </c>
      <c r="I1100" s="11" t="inlineStr">
        <is>
          <t>Não</t>
        </is>
      </c>
      <c r="J1100" s="11" t="n">
        <v>2026</v>
      </c>
      <c r="K1100" s="10" t="n">
        <v>46145</v>
      </c>
      <c r="L1100" s="11" t="n">
        <v>1</v>
      </c>
      <c r="M1100" s="8">
        <f>L1100*G1100</f>
        <v/>
      </c>
      <c r="P1100" s="9" t="n"/>
    </row>
    <row r="1101">
      <c r="A1101" s="11" t="inlineStr">
        <is>
          <t>Retched Wretch</t>
        </is>
      </c>
      <c r="B1101" s="11" t="inlineStr">
        <is>
          <t>Creature — Goblin</t>
        </is>
      </c>
      <c r="C1101" s="11" t="inlineStr">
        <is>
          <t>Uncommon</t>
        </is>
      </c>
      <c r="D1101" s="11" t="inlineStr">
        <is>
          <t>When this creature dies, if it had a -1/-1 counter on it, return it to the battlefield under its owner's control and it loses all abilities.</t>
        </is>
      </c>
      <c r="E1101" s="11" t="inlineStr">
        <is>
          <t>{2}{B}</t>
        </is>
      </c>
      <c r="F1101" s="11" t="inlineStr">
        <is>
          <t>Preto</t>
        </is>
      </c>
      <c r="G1101" s="8" t="n">
        <v>0.07000000000000001</v>
      </c>
      <c r="H1101" s="11" t="inlineStr">
        <is>
          <t>Lorwyn Eclipsed (ECL)</t>
        </is>
      </c>
      <c r="I1101" s="11" t="inlineStr">
        <is>
          <t>Não</t>
        </is>
      </c>
      <c r="J1101" s="11" t="n">
        <v>2026</v>
      </c>
      <c r="K1101" s="10" t="n">
        <v>46057</v>
      </c>
      <c r="L1101" s="11" t="n">
        <v>1</v>
      </c>
      <c r="M1101" s="8">
        <f>L1101*G1101</f>
        <v/>
      </c>
      <c r="P1101" s="9" t="n"/>
    </row>
    <row r="1102">
      <c r="A1102" s="11" t="inlineStr">
        <is>
          <t>Perfect Intimidation</t>
        </is>
      </c>
      <c r="B1102" s="11" t="inlineStr">
        <is>
          <t>Sorcery</t>
        </is>
      </c>
      <c r="C1102" s="11" t="inlineStr">
        <is>
          <t>Uncommon</t>
        </is>
      </c>
      <c r="D1102" s="11" t="inlineStr">
        <is>
          <t>Choose one or both — Target opponent exiles two cards from their hand. Remove all counters from target creature.</t>
        </is>
      </c>
      <c r="E1102" s="11" t="inlineStr">
        <is>
          <t>{3}{B}</t>
        </is>
      </c>
      <c r="F1102" s="11" t="inlineStr">
        <is>
          <t>Preto</t>
        </is>
      </c>
      <c r="G1102" s="8" t="n">
        <v>0.08</v>
      </c>
      <c r="H1102" s="11" t="inlineStr">
        <is>
          <t>Lorwyn Eclipsed (ECL)</t>
        </is>
      </c>
      <c r="I1102" s="11" t="inlineStr">
        <is>
          <t>Não</t>
        </is>
      </c>
      <c r="J1102" s="11" t="n">
        <v>2026</v>
      </c>
      <c r="L1102" s="11" t="n">
        <v>1</v>
      </c>
      <c r="M1102" s="8">
        <f>L1102*G1102</f>
        <v/>
      </c>
      <c r="P1102" s="9" t="n"/>
    </row>
    <row r="1103">
      <c r="A1103" s="11" t="inlineStr">
        <is>
          <t>Heirloom Auntie</t>
        </is>
      </c>
      <c r="B1103" s="11" t="inlineStr">
        <is>
          <t>Creature — Goblin Warlock</t>
        </is>
      </c>
      <c r="C1103" s="11" t="inlineStr">
        <is>
          <t>Common</t>
        </is>
      </c>
      <c r="D1103" s="11" t="inlineStr">
        <is>
          <t>This creature enters with two -1/-1 counters on it. Whenever another creature you control dies, surveil 1, then remove a -1/-1 counter from this creature. (To surveil 1, look at the top card of your library. You may put it into your graveyard.)</t>
        </is>
      </c>
      <c r="E1103" s="11" t="inlineStr">
        <is>
          <t>{2}{B}</t>
        </is>
      </c>
      <c r="F1103" s="11" t="inlineStr">
        <is>
          <t>Preto</t>
        </is>
      </c>
      <c r="G1103" s="8" t="n">
        <v>0.1</v>
      </c>
      <c r="H1103" s="11" t="inlineStr">
        <is>
          <t>Lorwyn Eclipsed (ECL)</t>
        </is>
      </c>
      <c r="I1103" s="11" t="inlineStr">
        <is>
          <t>Não</t>
        </is>
      </c>
      <c r="J1103" s="11" t="n">
        <v>2026</v>
      </c>
      <c r="K1103" s="10" t="n">
        <v>46116</v>
      </c>
      <c r="L1103" s="11" t="n">
        <v>1</v>
      </c>
      <c r="M1103" s="8">
        <f>L1103*G1103</f>
        <v/>
      </c>
      <c r="P1103" s="9" t="n"/>
    </row>
    <row r="1104">
      <c r="A1104" s="11" t="inlineStr">
        <is>
          <t>Gutsplitter Gang</t>
        </is>
      </c>
      <c r="B1104" s="11" t="inlineStr">
        <is>
          <t>Creature — Goblin Berserker</t>
        </is>
      </c>
      <c r="C1104" s="11" t="inlineStr">
        <is>
          <t>Uncommon</t>
        </is>
      </c>
      <c r="D1104" s="11" t="inlineStr">
        <is>
          <t>At the beginning of your first main phase, you may blight 2. If you don't, you lose 3 life. (To blight 2, put two -1/-1 counters on a creature you control.)</t>
        </is>
      </c>
      <c r="E1104" s="11" t="inlineStr">
        <is>
          <t>{3}{B}</t>
        </is>
      </c>
      <c r="F1104" s="11" t="inlineStr">
        <is>
          <t>Preto</t>
        </is>
      </c>
      <c r="G1104" s="8" t="n">
        <v>0.15</v>
      </c>
      <c r="H1104" s="11" t="inlineStr">
        <is>
          <t>Lorwyn Eclipsed (ECL)</t>
        </is>
      </c>
      <c r="I1104" s="11" t="inlineStr">
        <is>
          <t>Não</t>
        </is>
      </c>
      <c r="J1104" s="11" t="n">
        <v>2026</v>
      </c>
      <c r="K1104" s="10" t="n">
        <v>46179</v>
      </c>
      <c r="L1104" s="11" t="n">
        <v>1</v>
      </c>
      <c r="M1104" s="8">
        <f>L1104*G1104</f>
        <v/>
      </c>
      <c r="P1104" s="9" t="n"/>
    </row>
    <row r="1105">
      <c r="A1105" s="11" t="inlineStr">
        <is>
          <t>Graveshifter</t>
        </is>
      </c>
      <c r="B1105" s="11" t="inlineStr">
        <is>
          <t>Creature — Shapeshifter</t>
        </is>
      </c>
      <c r="C1105" s="11" t="inlineStr">
        <is>
          <t>Uncommon</t>
        </is>
      </c>
      <c r="D1105" s="11" t="inlineStr">
        <is>
          <t>Changeling (This card is every creature type.) When this creature enters, you may return target creature card from your graveyard to your hand.</t>
        </is>
      </c>
      <c r="E1105" s="11" t="inlineStr">
        <is>
          <t>{3}{B}</t>
        </is>
      </c>
      <c r="F1105" s="11" t="inlineStr">
        <is>
          <t>Preto</t>
        </is>
      </c>
      <c r="G1105" s="8" t="n">
        <v>0.12</v>
      </c>
      <c r="H1105" s="11" t="inlineStr">
        <is>
          <t>Lorwyn Eclipsed (ECL)</t>
        </is>
      </c>
      <c r="I1105" s="11" t="inlineStr">
        <is>
          <t>Não</t>
        </is>
      </c>
      <c r="J1105" s="11" t="n">
        <v>2026</v>
      </c>
      <c r="K1105" s="10" t="n">
        <v>46055</v>
      </c>
      <c r="L1105" s="11" t="n">
        <v>1</v>
      </c>
      <c r="M1105" s="8">
        <f>L1105*G1105</f>
        <v/>
      </c>
      <c r="P1105" s="9" t="n"/>
    </row>
    <row r="1106">
      <c r="A1106" s="11" t="inlineStr">
        <is>
          <t>Gnarlbark Elm</t>
        </is>
      </c>
      <c r="B1106" s="11" t="inlineStr">
        <is>
          <t>Creature — Treefolk Warlock</t>
        </is>
      </c>
      <c r="C1106" s="11" t="inlineStr">
        <is>
          <t>Uncommon</t>
        </is>
      </c>
      <c r="D1106" s="11" t="inlineStr">
        <is>
          <t>This creature enters with two -1/-1 counters on it. {2}{B}, Remove two counters from this creature: Target creature gets -2/-2 until end of turn. Activate only as a sorcery.</t>
        </is>
      </c>
      <c r="E1106" s="11" t="inlineStr">
        <is>
          <t>{2}{B}</t>
        </is>
      </c>
      <c r="F1106" s="11" t="inlineStr">
        <is>
          <t>Preto</t>
        </is>
      </c>
      <c r="G1106" s="8" t="n">
        <v>0.06</v>
      </c>
      <c r="H1106" s="11" t="inlineStr">
        <is>
          <t>Lorwyn Eclipsed (ECL)</t>
        </is>
      </c>
      <c r="I1106" s="11" t="inlineStr">
        <is>
          <t>Não</t>
        </is>
      </c>
      <c r="J1106" s="11" t="n">
        <v>2026</v>
      </c>
      <c r="K1106" s="10" t="n">
        <v>46115</v>
      </c>
      <c r="L1106" s="11" t="n">
        <v>1</v>
      </c>
      <c r="M1106" s="8">
        <f>L1106*G1106</f>
        <v/>
      </c>
      <c r="P1106" s="9" t="n"/>
    </row>
    <row r="1107">
      <c r="A1107" s="11" t="inlineStr">
        <is>
          <t>Scarblade Scout</t>
        </is>
      </c>
      <c r="B1107" s="11" t="inlineStr">
        <is>
          <t>Creature — Elf Scout</t>
        </is>
      </c>
      <c r="C1107" s="11" t="inlineStr">
        <is>
          <t>Common</t>
        </is>
      </c>
      <c r="D1107" s="11" t="inlineStr">
        <is>
          <t>Lifelink. When this creature enters, mill two cards. (Put the top two cards of your library into your graveyard.)</t>
        </is>
      </c>
      <c r="E1107" s="11" t="inlineStr">
        <is>
          <t>{1}{B}</t>
        </is>
      </c>
      <c r="F1107" s="11" t="inlineStr">
        <is>
          <t>Preto</t>
        </is>
      </c>
      <c r="G1107" s="8" t="n">
        <v>0.1</v>
      </c>
      <c r="H1107" s="11" t="inlineStr">
        <is>
          <t>Lorwyn Eclipsed (ECL)</t>
        </is>
      </c>
      <c r="I1107" s="11" t="inlineStr">
        <is>
          <t>Não</t>
        </is>
      </c>
      <c r="J1107" s="11" t="n">
        <v>2026</v>
      </c>
      <c r="K1107" s="10" t="n">
        <v>46055</v>
      </c>
      <c r="L1107" s="11" t="n">
        <v>1</v>
      </c>
      <c r="M1107" s="8">
        <f>L1107*G1107</f>
        <v/>
      </c>
      <c r="P1107" s="9" t="n"/>
    </row>
    <row r="1108">
      <c r="A1108" s="11" t="inlineStr">
        <is>
          <t>Unbury</t>
        </is>
      </c>
      <c r="B1108" s="11" t="inlineStr">
        <is>
          <t>Instant</t>
        </is>
      </c>
      <c r="C1108" s="11" t="inlineStr">
        <is>
          <t>Uncommon</t>
        </is>
      </c>
      <c r="D1108" s="11" t="inlineStr">
        <is>
          <t>Choose one — Return target creature card from your graveyard to your hand. Return two target creature cards that share a creature type from your graveyard to your hand.</t>
        </is>
      </c>
      <c r="E1108" s="11" t="inlineStr">
        <is>
          <t>{1}{B}</t>
        </is>
      </c>
      <c r="F1108" s="11" t="inlineStr">
        <is>
          <t>Preto</t>
        </is>
      </c>
      <c r="G1108" s="8" t="n">
        <v>0.05</v>
      </c>
      <c r="H1108" s="11" t="inlineStr">
        <is>
          <t>Lorwyn Eclipsed (ECL)</t>
        </is>
      </c>
      <c r="I1108" s="11" t="inlineStr">
        <is>
          <t>Não</t>
        </is>
      </c>
      <c r="J1108" s="11" t="n">
        <v>2026</v>
      </c>
      <c r="L1108" s="11" t="n">
        <v>1</v>
      </c>
      <c r="M1108" s="8">
        <f>L1108*G1108</f>
        <v/>
      </c>
      <c r="P1108" s="9" t="n"/>
    </row>
    <row r="1109">
      <c r="A1109" s="11" t="inlineStr">
        <is>
          <t>Barbed Bloodletter</t>
        </is>
      </c>
      <c r="B1109" s="11" t="inlineStr">
        <is>
          <t>Artifact — Equipment</t>
        </is>
      </c>
      <c r="C1109" s="11" t="inlineStr">
        <is>
          <t>Common</t>
        </is>
      </c>
      <c r="D1109" s="11" t="inlineStr">
        <is>
          <t>Flash. When this Equipment enters, attach it to target creature you control. That creature gains wither until end of turn. (It deals damage to creatures in the form of -1/-1 counters.) Equipped creature gets +1/+2. Equip {2}</t>
        </is>
      </c>
      <c r="E1109" s="11" t="inlineStr">
        <is>
          <t>{1}{B}</t>
        </is>
      </c>
      <c r="F1109" s="11" t="inlineStr">
        <is>
          <t>Preto</t>
        </is>
      </c>
      <c r="G1109" s="8" t="n">
        <v>0.1</v>
      </c>
      <c r="H1109" s="11" t="inlineStr">
        <is>
          <t>Lorwyn Eclipsed (ECL)</t>
        </is>
      </c>
      <c r="I1109" s="11" t="inlineStr">
        <is>
          <t>Não</t>
        </is>
      </c>
      <c r="J1109" s="11" t="n">
        <v>2026</v>
      </c>
      <c r="L1109" s="11" t="n">
        <v>3</v>
      </c>
      <c r="M1109" s="8">
        <f>L1109*G1109</f>
        <v/>
      </c>
      <c r="P1109" s="9" t="n"/>
    </row>
    <row r="1110">
      <c r="A1110" s="11" t="inlineStr">
        <is>
          <t>Auntie's Sentence</t>
        </is>
      </c>
      <c r="B1110" s="11" t="inlineStr">
        <is>
          <t>Sorcery</t>
        </is>
      </c>
      <c r="C1110" s="11" t="inlineStr">
        <is>
          <t>Common</t>
        </is>
      </c>
      <c r="D1110" s="11" t="inlineStr">
        <is>
          <t>Choose one — Target opponent reveals their hand. You choose a nonland permanent card from it. That player discards that card. Target creature gets -2/-2 until end of turn.</t>
        </is>
      </c>
      <c r="E1110" s="11" t="inlineStr">
        <is>
          <t>{1}{B}</t>
        </is>
      </c>
      <c r="F1110" s="11" t="inlineStr">
        <is>
          <t>Preto</t>
        </is>
      </c>
      <c r="G1110" s="8" t="n">
        <v>0.1</v>
      </c>
      <c r="H1110" s="11" t="inlineStr">
        <is>
          <t>Lorwyn Eclipsed (ECL)</t>
        </is>
      </c>
      <c r="I1110" s="11" t="inlineStr">
        <is>
          <t>Não</t>
        </is>
      </c>
      <c r="J1110" s="11" t="n">
        <v>2026</v>
      </c>
      <c r="L1110" s="11" t="n">
        <v>1</v>
      </c>
      <c r="M1110" s="8">
        <f>L1110*G1110</f>
        <v/>
      </c>
      <c r="P1110" s="9" t="n"/>
    </row>
    <row r="1111">
      <c r="A1111" s="11" t="inlineStr">
        <is>
          <t>Dream Seizer</t>
        </is>
      </c>
      <c r="B1111" s="11" t="inlineStr">
        <is>
          <t>Creature — Faerie Rogue</t>
        </is>
      </c>
      <c r="C1111" s="11" t="inlineStr">
        <is>
          <t>Common</t>
        </is>
      </c>
      <c r="D1111" s="11" t="inlineStr">
        <is>
          <t>Flying. When this creature enters, you may blight 1. If you do, each opponent discards a card. (To blight 1, put a -1/-1 counter on a creature you control.)</t>
        </is>
      </c>
      <c r="E1111" s="11" t="inlineStr">
        <is>
          <t>{3}{B}</t>
        </is>
      </c>
      <c r="F1111" s="11" t="inlineStr">
        <is>
          <t>Preto</t>
        </is>
      </c>
      <c r="G1111" s="8" t="n">
        <v>0.05</v>
      </c>
      <c r="H1111" s="11" t="inlineStr">
        <is>
          <t>Lorwyn Eclipsed (ECL)</t>
        </is>
      </c>
      <c r="I1111" s="11" t="inlineStr">
        <is>
          <t>Não</t>
        </is>
      </c>
      <c r="J1111" s="11" t="n">
        <v>2026</v>
      </c>
      <c r="K1111" s="10" t="n">
        <v>46056</v>
      </c>
      <c r="L1111" s="11" t="n">
        <v>1</v>
      </c>
      <c r="M1111" s="8">
        <f>L1111*G1111</f>
        <v/>
      </c>
      <c r="P1111" s="9" t="n"/>
    </row>
    <row r="1112">
      <c r="A1112" s="11" t="inlineStr">
        <is>
          <t>Moonglove Extractor</t>
        </is>
      </c>
      <c r="B1112" s="11" t="inlineStr">
        <is>
          <t>Creature — Elf Warlock</t>
        </is>
      </c>
      <c r="C1112" s="11" t="inlineStr">
        <is>
          <t>Common</t>
        </is>
      </c>
      <c r="D1112" s="11" t="inlineStr">
        <is>
          <t>Whenever this creature attacks, you draw a card and lose 1 life.</t>
        </is>
      </c>
      <c r="E1112" s="11" t="inlineStr">
        <is>
          <t>{2}{B}</t>
        </is>
      </c>
      <c r="F1112" s="11" t="inlineStr">
        <is>
          <t>Preto</t>
        </is>
      </c>
      <c r="G1112" s="8" t="n">
        <v>0.11</v>
      </c>
      <c r="H1112" s="11" t="inlineStr">
        <is>
          <t>Lorwyn Eclipsed (ECL)</t>
        </is>
      </c>
      <c r="I1112" s="11" t="inlineStr">
        <is>
          <t>Não</t>
        </is>
      </c>
      <c r="J1112" s="11" t="n">
        <v>2026</v>
      </c>
      <c r="K1112" s="10" t="n">
        <v>46024</v>
      </c>
      <c r="L1112" s="11" t="n">
        <v>2</v>
      </c>
      <c r="M1112" s="8">
        <f>L1112*G1112</f>
        <v/>
      </c>
      <c r="P1112" s="9" t="n"/>
    </row>
    <row r="1113">
      <c r="A1113" s="11" t="inlineStr">
        <is>
          <t>Boggart Prankster</t>
        </is>
      </c>
      <c r="B1113" s="11" t="inlineStr">
        <is>
          <t>Creature — Goblin Warrior</t>
        </is>
      </c>
      <c r="C1113" s="11" t="inlineStr">
        <is>
          <t>Common</t>
        </is>
      </c>
      <c r="D1113" s="11" t="inlineStr">
        <is>
          <t>Whenever you attack, target attacking Goblin you control gets +1/+0 until end of turn.</t>
        </is>
      </c>
      <c r="E1113" s="11" t="inlineStr">
        <is>
          <t>{1}{B}</t>
        </is>
      </c>
      <c r="F1113" s="11" t="inlineStr">
        <is>
          <t>Preto</t>
        </is>
      </c>
      <c r="G1113" s="8" t="n">
        <v>0.1</v>
      </c>
      <c r="H1113" s="11" t="inlineStr">
        <is>
          <t>Lorwyn Eclipsed (ECL)</t>
        </is>
      </c>
      <c r="I1113" s="11" t="inlineStr">
        <is>
          <t>Não</t>
        </is>
      </c>
      <c r="J1113" s="11" t="n">
        <v>2026</v>
      </c>
      <c r="K1113" s="10" t="n">
        <v>46082</v>
      </c>
      <c r="L1113" s="11" t="n">
        <v>2</v>
      </c>
      <c r="M1113" s="8">
        <f>L1113*G1113</f>
        <v/>
      </c>
      <c r="P1113" s="9" t="n"/>
    </row>
    <row r="1114">
      <c r="A1114" s="11" t="inlineStr">
        <is>
          <t>Thoughtweft Charge</t>
        </is>
      </c>
      <c r="B1114" s="11" t="inlineStr">
        <is>
          <t>Instant</t>
        </is>
      </c>
      <c r="C1114" s="11" t="inlineStr">
        <is>
          <t>Uncommon</t>
        </is>
      </c>
      <c r="D1114" s="11" t="inlineStr">
        <is>
          <t>Target creature gets +3/+3 until end of turn. If a creature entered the battlefield under your control this turn, draw a card.</t>
        </is>
      </c>
      <c r="E1114" s="11" t="inlineStr">
        <is>
          <t>{1}{G}</t>
        </is>
      </c>
      <c r="F1114" s="11" t="inlineStr">
        <is>
          <t>Verde</t>
        </is>
      </c>
      <c r="G1114" s="8" t="n">
        <v>0.18</v>
      </c>
      <c r="H1114" s="11" t="inlineStr">
        <is>
          <t>Lorwyn Eclipsed (ECL)</t>
        </is>
      </c>
      <c r="I1114" s="11" t="inlineStr">
        <is>
          <t>Não</t>
        </is>
      </c>
      <c r="J1114" s="11" t="n">
        <v>2026</v>
      </c>
      <c r="L1114" s="11" t="n">
        <v>1</v>
      </c>
      <c r="M1114" s="8">
        <f>L1114*G1114</f>
        <v/>
      </c>
      <c r="P1114" s="9" t="n"/>
    </row>
    <row r="1115">
      <c r="A1115" s="11" t="inlineStr">
        <is>
          <t>Tend the Sprigs</t>
        </is>
      </c>
      <c r="B1115" s="11" t="inlineStr">
        <is>
          <t>Sorcery</t>
        </is>
      </c>
      <c r="C1115" s="11" t="inlineStr">
        <is>
          <t>Common</t>
        </is>
      </c>
      <c r="D1115" s="11" t="inlineStr">
        <is>
          <t>Search your library for a basic land card, put it onto the battlefield tapped, then shuffle. Then if you control seven or more lands and/or Treefolk, create a 3/4 green Treefolk creature token with reach. (It can block creatures with flying.)</t>
        </is>
      </c>
      <c r="E1115" s="11" t="inlineStr">
        <is>
          <t>{2}{G}</t>
        </is>
      </c>
      <c r="F1115" s="11" t="inlineStr">
        <is>
          <t>Verde</t>
        </is>
      </c>
      <c r="G1115" s="8" t="n">
        <v>0.1</v>
      </c>
      <c r="H1115" s="11" t="inlineStr">
        <is>
          <t>Lorwyn Eclipsed (ECL)</t>
        </is>
      </c>
      <c r="I1115" s="11" t="inlineStr">
        <is>
          <t>Não</t>
        </is>
      </c>
      <c r="J1115" s="11" t="n">
        <v>2026</v>
      </c>
      <c r="L1115" s="11" t="n">
        <v>2</v>
      </c>
      <c r="M1115" s="8">
        <f>L1115*G1115</f>
        <v/>
      </c>
      <c r="P1115" s="9" t="n"/>
    </row>
    <row r="1116">
      <c r="A1116" s="11" t="inlineStr">
        <is>
          <t>Safewright Cavalry</t>
        </is>
      </c>
      <c r="B1116" s="11" t="inlineStr">
        <is>
          <t>Creature — Elf Warrior</t>
        </is>
      </c>
      <c r="C1116" s="11" t="inlineStr">
        <is>
          <t>Common</t>
        </is>
      </c>
      <c r="D1116" s="11" t="inlineStr">
        <is>
          <t>This creature can't be blocked by more than one creature. {5}: Target Elf you control gets +2/+2 until end of turn.</t>
        </is>
      </c>
      <c r="E1116" s="11" t="inlineStr">
        <is>
          <t>{3}{G}</t>
        </is>
      </c>
      <c r="F1116" s="11" t="inlineStr">
        <is>
          <t>Verde</t>
        </is>
      </c>
      <c r="G1116" s="8" t="n">
        <v>0.1</v>
      </c>
      <c r="H1116" s="11" t="inlineStr">
        <is>
          <t>Lorwyn Eclipsed (ECL)</t>
        </is>
      </c>
      <c r="I1116" s="11" t="inlineStr">
        <is>
          <t>Não</t>
        </is>
      </c>
      <c r="J1116" s="11" t="n">
        <v>2026</v>
      </c>
      <c r="K1116" s="10" t="n">
        <v>46116</v>
      </c>
      <c r="L1116" s="11" t="n">
        <v>2</v>
      </c>
      <c r="M1116" s="8">
        <f>L1116*G1116</f>
        <v/>
      </c>
      <c r="P1116" s="9" t="n"/>
    </row>
    <row r="1117">
      <c r="A1117" s="11" t="inlineStr">
        <is>
          <t>Pummeler for Hire</t>
        </is>
      </c>
      <c r="B1117" s="11" t="inlineStr">
        <is>
          <t>Creature — Giant Mercenary</t>
        </is>
      </c>
      <c r="C1117" s="11" t="inlineStr">
        <is>
          <t>Uncommon</t>
        </is>
      </c>
      <c r="D1117" s="11" t="inlineStr">
        <is>
          <t>Vigilance, reach. Ward {2} (Whenever this creature becomes the target of a spell or ability an opponent controls, counter it unless that player pays {2}.) When this creature enters, you gain X life, where X is the greatest power among Giants you control.</t>
        </is>
      </c>
      <c r="E1117" s="11" t="inlineStr">
        <is>
          <t>{4}{G}</t>
        </is>
      </c>
      <c r="F1117" s="11" t="inlineStr">
        <is>
          <t>Verde</t>
        </is>
      </c>
      <c r="G1117" s="8" t="n">
        <v>0.2</v>
      </c>
      <c r="H1117" s="11" t="inlineStr">
        <is>
          <t>Lorwyn Eclipsed (ECL)</t>
        </is>
      </c>
      <c r="I1117" s="11" t="inlineStr">
        <is>
          <t>Não</t>
        </is>
      </c>
      <c r="J1117" s="11" t="n">
        <v>2026</v>
      </c>
      <c r="K1117" s="10" t="n">
        <v>46116</v>
      </c>
      <c r="L1117" s="11" t="n">
        <v>1</v>
      </c>
      <c r="M1117" s="8">
        <f>L1117*G1117</f>
        <v/>
      </c>
      <c r="P1117" s="9" t="n"/>
    </row>
    <row r="1118">
      <c r="A1118" s="11" t="inlineStr">
        <is>
          <t>Mistmeadow Council</t>
        </is>
      </c>
      <c r="B1118" s="11" t="inlineStr">
        <is>
          <t>Creature — Kithkin Advisor</t>
        </is>
      </c>
      <c r="C1118" s="11" t="inlineStr">
        <is>
          <t>Common</t>
        </is>
      </c>
      <c r="D1118" s="11" t="inlineStr">
        <is>
          <t>This spell costs {1} less to cast if you control a Kithkin. When this creature enters, draw a card.</t>
        </is>
      </c>
      <c r="E1118" s="11" t="inlineStr">
        <is>
          <t>{4}{G}</t>
        </is>
      </c>
      <c r="F1118" s="11" t="inlineStr">
        <is>
          <t>Verde</t>
        </is>
      </c>
      <c r="G1118" s="8" t="n">
        <v>0.1</v>
      </c>
      <c r="H1118" s="11" t="inlineStr">
        <is>
          <t>Lorwyn Eclipsed (ECL)</t>
        </is>
      </c>
      <c r="I1118" s="11" t="inlineStr">
        <is>
          <t>Não</t>
        </is>
      </c>
      <c r="J1118" s="11" t="n">
        <v>2026</v>
      </c>
      <c r="K1118" s="10" t="n">
        <v>46085</v>
      </c>
      <c r="L1118" s="11" t="n">
        <v>1</v>
      </c>
      <c r="M1118" s="8">
        <f>L1118*G1118</f>
        <v/>
      </c>
      <c r="P1118" s="9" t="n"/>
    </row>
    <row r="1119">
      <c r="A1119" s="11" t="inlineStr">
        <is>
          <t>Assert Perfection</t>
        </is>
      </c>
      <c r="B1119" s="11" t="inlineStr">
        <is>
          <t>Sorcery</t>
        </is>
      </c>
      <c r="C1119" s="11" t="inlineStr">
        <is>
          <t>Common</t>
        </is>
      </c>
      <c r="D1119" s="11" t="inlineStr">
        <is>
          <t>Target creature you control gets +1/+0 until end of turn. It deals damage equal to its power to up to one target creature an opponent controls.</t>
        </is>
      </c>
      <c r="E1119" s="11" t="inlineStr">
        <is>
          <t>{1}{G}</t>
        </is>
      </c>
      <c r="F1119" s="11" t="inlineStr">
        <is>
          <t>Verde</t>
        </is>
      </c>
      <c r="G1119" s="8" t="n">
        <v>0.1</v>
      </c>
      <c r="H1119" s="11" t="inlineStr">
        <is>
          <t>Lorwyn Eclipsed (ECL)</t>
        </is>
      </c>
      <c r="I1119" s="11" t="inlineStr">
        <is>
          <t>Não</t>
        </is>
      </c>
      <c r="J1119" s="11" t="n">
        <v>2026</v>
      </c>
      <c r="L1119" s="11" t="n">
        <v>1</v>
      </c>
      <c r="M1119" s="8">
        <f>L1119*G1119</f>
        <v/>
      </c>
      <c r="P1119" s="9" t="n"/>
    </row>
    <row r="1120">
      <c r="A1120" s="11" t="inlineStr">
        <is>
          <t>Dawn's Light Archer</t>
        </is>
      </c>
      <c r="B1120" s="11" t="inlineStr">
        <is>
          <t>Creature — Elf Archer</t>
        </is>
      </c>
      <c r="C1120" s="11" t="inlineStr">
        <is>
          <t>Common</t>
        </is>
      </c>
      <c r="D1120" s="11" t="inlineStr">
        <is>
          <t>Flash. Reach.</t>
        </is>
      </c>
      <c r="E1120" s="11" t="inlineStr">
        <is>
          <t>{2}{G}</t>
        </is>
      </c>
      <c r="F1120" s="11" t="inlineStr">
        <is>
          <t>Verde</t>
        </is>
      </c>
      <c r="G1120" s="8" t="n">
        <v>0.1</v>
      </c>
      <c r="H1120" s="11" t="inlineStr">
        <is>
          <t>Lorwyn Eclipsed (ECL)</t>
        </is>
      </c>
      <c r="I1120" s="11" t="inlineStr">
        <is>
          <t>Não</t>
        </is>
      </c>
      <c r="J1120" s="11" t="n">
        <v>2026</v>
      </c>
      <c r="K1120" s="10" t="n">
        <v>46057</v>
      </c>
      <c r="L1120" s="11" t="n">
        <v>1</v>
      </c>
      <c r="M1120" s="8">
        <f>L1120*G1120</f>
        <v/>
      </c>
      <c r="P1120" s="9" t="n"/>
    </row>
    <row r="1121">
      <c r="A1121" s="11" t="inlineStr">
        <is>
          <t>Silvergill Peddler</t>
        </is>
      </c>
      <c r="B1121" s="11" t="inlineStr">
        <is>
          <t>Creature — Merfolk Citizen</t>
        </is>
      </c>
      <c r="C1121" s="11" t="inlineStr">
        <is>
          <t>Common</t>
        </is>
      </c>
      <c r="D1121" s="11" t="inlineStr">
        <is>
          <t>Whenever this creature becomes tapped, draw a card, then discard a card.</t>
        </is>
      </c>
      <c r="E1121" s="11" t="inlineStr">
        <is>
          <t>{2}{U}</t>
        </is>
      </c>
      <c r="F1121" s="11" t="inlineStr">
        <is>
          <t>Azul</t>
        </is>
      </c>
      <c r="G1121" s="8" t="n">
        <v>0.05</v>
      </c>
      <c r="H1121" s="11" t="inlineStr">
        <is>
          <t>Lorwyn Eclipsed (ECL)</t>
        </is>
      </c>
      <c r="I1121" s="11" t="inlineStr">
        <is>
          <t>Não</t>
        </is>
      </c>
      <c r="J1121" s="11" t="n">
        <v>2026</v>
      </c>
      <c r="K1121" s="10" t="n">
        <v>46083</v>
      </c>
      <c r="L1121" s="11" t="n">
        <v>1</v>
      </c>
      <c r="M1121" s="8">
        <f>L1121*G1121</f>
        <v/>
      </c>
      <c r="P1121" s="9" t="n"/>
    </row>
    <row r="1122">
      <c r="A1122" s="11" t="inlineStr">
        <is>
          <t>Rimekin Recluse</t>
        </is>
      </c>
      <c r="B1122" s="11" t="inlineStr">
        <is>
          <t>Creature — Elemental Wizard</t>
        </is>
      </c>
      <c r="C1122" s="11" t="inlineStr">
        <is>
          <t>Uncommon</t>
        </is>
      </c>
      <c r="D1122" s="11" t="inlineStr">
        <is>
          <t>When this creature enters, return up to one other target creature to its owner's hand.</t>
        </is>
      </c>
      <c r="E1122" s="11" t="inlineStr">
        <is>
          <t>{2}{U}</t>
        </is>
      </c>
      <c r="F1122" s="11" t="inlineStr">
        <is>
          <t>Azul</t>
        </is>
      </c>
      <c r="G1122" s="8" t="n">
        <v>0.06</v>
      </c>
      <c r="H1122" s="11" t="inlineStr">
        <is>
          <t>Lorwyn Eclipsed (ECL)</t>
        </is>
      </c>
      <c r="I1122" s="11" t="inlineStr">
        <is>
          <t>Não</t>
        </is>
      </c>
      <c r="J1122" s="11" t="n">
        <v>2026</v>
      </c>
      <c r="K1122" s="10" t="n">
        <v>46056</v>
      </c>
      <c r="L1122" s="11" t="n">
        <v>1</v>
      </c>
      <c r="M1122" s="8">
        <f>L1122*G1122</f>
        <v/>
      </c>
      <c r="P1122" s="9" t="n"/>
    </row>
    <row r="1123">
      <c r="A1123" s="11" t="inlineStr">
        <is>
          <t>Omni-Changeling</t>
        </is>
      </c>
      <c r="B1123" s="11" t="inlineStr">
        <is>
          <t>Creature — Shapeshifter</t>
        </is>
      </c>
      <c r="C1123" s="11" t="inlineStr">
        <is>
          <t>Uncommon</t>
        </is>
      </c>
      <c r="D1123" s="11"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23" s="11" t="inlineStr">
        <is>
          <t>{3}{U}{U}</t>
        </is>
      </c>
      <c r="F1123" s="11" t="inlineStr">
        <is>
          <t>Azul</t>
        </is>
      </c>
      <c r="G1123" s="8" t="n">
        <v>0.24</v>
      </c>
      <c r="H1123" s="11" t="inlineStr">
        <is>
          <t>Lorwyn Eclipsed (ECL)</t>
        </is>
      </c>
      <c r="I1123" s="11" t="inlineStr">
        <is>
          <t>Não</t>
        </is>
      </c>
      <c r="J1123" s="11" t="n">
        <v>2026</v>
      </c>
      <c r="K1123" s="11" t="inlineStr">
        <is>
          <t>0/0</t>
        </is>
      </c>
      <c r="L1123" s="11" t="n">
        <v>1</v>
      </c>
      <c r="M1123" s="8">
        <f>L1123*G1123</f>
        <v/>
      </c>
      <c r="P1123" s="9" t="n"/>
    </row>
    <row r="1124">
      <c r="A1124" s="11" t="inlineStr">
        <is>
          <t>Illusion Spinners</t>
        </is>
      </c>
      <c r="B1124" s="11" t="inlineStr">
        <is>
          <t>Creature — Faerie Wizard</t>
        </is>
      </c>
      <c r="C1124" s="11" t="inlineStr">
        <is>
          <t>Uncommon</t>
        </is>
      </c>
      <c r="D1124" s="11" t="inlineStr">
        <is>
          <t>You may cast this spell as though it had flash if you control a Faerie. Flying. This creature has hexproof as long as it's untapped. (It can't be the target of spells or abilities your opponents control.)</t>
        </is>
      </c>
      <c r="E1124" s="11" t="inlineStr">
        <is>
          <t>{4}{U}</t>
        </is>
      </c>
      <c r="F1124" s="11" t="inlineStr">
        <is>
          <t>Azul</t>
        </is>
      </c>
      <c r="G1124" s="8" t="n">
        <v>0.05</v>
      </c>
      <c r="H1124" s="11" t="inlineStr">
        <is>
          <t>Lorwyn Eclipsed (ECL)</t>
        </is>
      </c>
      <c r="I1124" s="11" t="inlineStr">
        <is>
          <t>Não</t>
        </is>
      </c>
      <c r="J1124" s="11" t="n">
        <v>2026</v>
      </c>
      <c r="K1124" s="10" t="n">
        <v>46085</v>
      </c>
      <c r="L1124" s="11" t="n">
        <v>1</v>
      </c>
      <c r="M1124" s="8">
        <f>L1124*G1124</f>
        <v/>
      </c>
      <c r="P1124" s="9" t="n"/>
    </row>
    <row r="1125">
      <c r="A1125" s="11" t="inlineStr">
        <is>
          <t>Glamermite</t>
        </is>
      </c>
      <c r="B1125" s="11" t="inlineStr">
        <is>
          <t>Creature — Faerie Rogue</t>
        </is>
      </c>
      <c r="C1125" s="11" t="inlineStr">
        <is>
          <t>Common</t>
        </is>
      </c>
      <c r="D1125" s="11" t="inlineStr">
        <is>
          <t>Flash. Flying. When this creature enters, choose one — Tap target creature. Untap target creature.</t>
        </is>
      </c>
      <c r="E1125" s="11" t="inlineStr">
        <is>
          <t>{2}{U}</t>
        </is>
      </c>
      <c r="F1125" s="11" t="inlineStr">
        <is>
          <t>Azul</t>
        </is>
      </c>
      <c r="G1125" s="8" t="n">
        <v>0.05</v>
      </c>
      <c r="H1125" s="11" t="inlineStr">
        <is>
          <t>Lorwyn Eclipsed (ECL)</t>
        </is>
      </c>
      <c r="I1125" s="11" t="inlineStr">
        <is>
          <t>Não</t>
        </is>
      </c>
      <c r="J1125" s="11" t="n">
        <v>2026</v>
      </c>
      <c r="K1125" s="10" t="n">
        <v>46055</v>
      </c>
      <c r="L1125" s="11" t="n">
        <v>1</v>
      </c>
      <c r="M1125" s="8">
        <f>L1125*G1125</f>
        <v/>
      </c>
      <c r="P1125" s="9" t="n"/>
    </row>
    <row r="1126">
      <c r="A1126" s="11" t="inlineStr">
        <is>
          <t>Unwelcome Sprite</t>
        </is>
      </c>
      <c r="B1126" s="11" t="inlineStr">
        <is>
          <t>Creature — Faerie Rogue</t>
        </is>
      </c>
      <c r="C1126" s="11" t="inlineStr">
        <is>
          <t>Uncommon</t>
        </is>
      </c>
      <c r="D1126" s="11" t="inlineStr">
        <is>
          <t>Flying. Whenever you cast a spell during an opponent's turn, surveil 2. (Look at the top two cards of your library. You may put any number of them into your graveyard and the rest on top of your library in any order.)</t>
        </is>
      </c>
      <c r="E1126" s="11" t="inlineStr">
        <is>
          <t>{1}{U}</t>
        </is>
      </c>
      <c r="F1126" s="11" t="inlineStr">
        <is>
          <t>Azul</t>
        </is>
      </c>
      <c r="G1126" s="8" t="n">
        <v>0.09</v>
      </c>
      <c r="H1126" s="11" t="inlineStr">
        <is>
          <t>Lorwyn Eclipsed (ECL)</t>
        </is>
      </c>
      <c r="I1126" s="11" t="inlineStr">
        <is>
          <t>Não</t>
        </is>
      </c>
      <c r="J1126" s="11" t="n">
        <v>2026</v>
      </c>
      <c r="K1126" s="10" t="n">
        <v>46024</v>
      </c>
      <c r="L1126" s="11" t="n">
        <v>2</v>
      </c>
      <c r="M1126" s="8">
        <f>L1126*G1126</f>
        <v/>
      </c>
      <c r="P1126" s="9" t="n"/>
    </row>
    <row r="1127">
      <c r="A1127" s="11" t="inlineStr">
        <is>
          <t>Aquitect's Defenses</t>
        </is>
      </c>
      <c r="B1127" s="11" t="inlineStr">
        <is>
          <t>Enchantment — Aura</t>
        </is>
      </c>
      <c r="C1127" s="11" t="inlineStr">
        <is>
          <t>Common</t>
        </is>
      </c>
      <c r="D1127" s="11" t="inlineStr">
        <is>
          <t>Flash. Enchant creature you control. When this Aura enters, enchanted creature gains hexproof until end of turn. (It can't be the target of spells or abilities your opponents control.) Enchanted creature gets +1/+2.</t>
        </is>
      </c>
      <c r="E1127" s="11" t="inlineStr">
        <is>
          <t>{1}{U}</t>
        </is>
      </c>
      <c r="F1127" s="11" t="inlineStr">
        <is>
          <t>Azul</t>
        </is>
      </c>
      <c r="G1127" s="8" t="n">
        <v>0.1</v>
      </c>
      <c r="H1127" s="11" t="inlineStr">
        <is>
          <t>Lorwyn Eclipsed (ECL)</t>
        </is>
      </c>
      <c r="I1127" s="11" t="inlineStr">
        <is>
          <t>Não</t>
        </is>
      </c>
      <c r="J1127" s="11" t="n">
        <v>2026</v>
      </c>
      <c r="L1127" s="11" t="n">
        <v>1</v>
      </c>
      <c r="M1127" s="8">
        <f>L1127*G1127</f>
        <v/>
      </c>
      <c r="P1127" s="9" t="n"/>
    </row>
    <row r="1128">
      <c r="A1128" s="11" t="inlineStr">
        <is>
          <t>Stratosoarer</t>
        </is>
      </c>
      <c r="B1128" s="11" t="inlineStr">
        <is>
          <t>Creature — Elemental</t>
        </is>
      </c>
      <c r="C1128" s="11" t="inlineStr">
        <is>
          <t>Common</t>
        </is>
      </c>
      <c r="D1128" s="11" t="inlineStr">
        <is>
          <t>Flying. When this creature enters, target creature gains flying until end of turn. Basic landcycling {1}{U} ({1}{U}, Discard this card: Search your library for a basic land card, reveal it, put it into your hand, then shuffle.)</t>
        </is>
      </c>
      <c r="E1128" s="11" t="inlineStr">
        <is>
          <t>{4}{U}</t>
        </is>
      </c>
      <c r="F1128" s="11" t="inlineStr">
        <is>
          <t>Azul</t>
        </is>
      </c>
      <c r="G1128" s="8" t="n">
        <v>0.1</v>
      </c>
      <c r="H1128" s="11" t="inlineStr">
        <is>
          <t>Lorwyn Eclipsed (ECL)</t>
        </is>
      </c>
      <c r="I1128" s="11" t="inlineStr">
        <is>
          <t>Não</t>
        </is>
      </c>
      <c r="J1128" s="11" t="n">
        <v>2026</v>
      </c>
      <c r="K1128" s="10" t="n">
        <v>46145</v>
      </c>
      <c r="L1128" s="11" t="n">
        <v>1</v>
      </c>
      <c r="M1128" s="8">
        <f>L1128*G1128</f>
        <v/>
      </c>
      <c r="P1128" s="9" t="n"/>
    </row>
    <row r="1129">
      <c r="A1129" s="11" t="inlineStr">
        <is>
          <t>Número da Broca / Drill Bit</t>
        </is>
      </c>
      <c r="B1129" s="11" t="inlineStr">
        <is>
          <t>Feitiço / Sorcery</t>
        </is>
      </c>
      <c r="C1129" s="11" t="inlineStr">
        <is>
          <t>Incomum / Uncommon</t>
        </is>
      </c>
      <c r="D1129" s="11"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9" s="11" t="inlineStr">
        <is>
          <t>{2}{B}</t>
        </is>
      </c>
      <c r="F1129" s="11" t="inlineStr">
        <is>
          <t>Preto</t>
        </is>
      </c>
      <c r="G1129" s="8" t="n">
        <v>0.08</v>
      </c>
      <c r="H1129" s="11" t="inlineStr">
        <is>
          <t>Ravnica Allegiance (RNA)</t>
        </is>
      </c>
      <c r="I1129" s="11" t="inlineStr">
        <is>
          <t>Não</t>
        </is>
      </c>
      <c r="J1129" s="11" t="n">
        <v>2019</v>
      </c>
      <c r="L1129" s="11" t="n">
        <v>4</v>
      </c>
      <c r="M1129" s="8">
        <f>L1129*G1129</f>
        <v/>
      </c>
      <c r="P1129" s="9" t="n"/>
    </row>
    <row r="1130">
      <c r="A1130" s="11" t="inlineStr">
        <is>
          <t>Grito do Carnarium / Cry of the Carnarium</t>
        </is>
      </c>
      <c r="B1130" s="11" t="inlineStr">
        <is>
          <t>Feitiço / Sorcery</t>
        </is>
      </c>
      <c r="C1130" s="11" t="inlineStr">
        <is>
          <t>Incomum / Uncommon</t>
        </is>
      </c>
      <c r="D1130" s="11"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30" s="11" t="inlineStr">
        <is>
          <t>{1}{B}{B}</t>
        </is>
      </c>
      <c r="F1130" s="11" t="inlineStr">
        <is>
          <t>Preto</t>
        </is>
      </c>
      <c r="G1130" s="8" t="n">
        <v>0.09</v>
      </c>
      <c r="H1130" s="11" t="inlineStr">
        <is>
          <t>Ravnica Allegiance (RNA)</t>
        </is>
      </c>
      <c r="I1130" s="11" t="inlineStr">
        <is>
          <t>Não</t>
        </is>
      </c>
      <c r="J1130" s="11" t="n">
        <v>2019</v>
      </c>
      <c r="L1130" s="11" t="n">
        <v>3</v>
      </c>
      <c r="M1130" s="8">
        <f>L1130*G1130</f>
        <v/>
      </c>
      <c r="P1130" s="9" t="n"/>
    </row>
    <row r="1131">
      <c r="A1131" s="11" t="inlineStr">
        <is>
          <t>Vampiro de Guul Draz</t>
        </is>
      </c>
      <c r="B1131" s="11" t="inlineStr">
        <is>
          <t>Criatura — Vampiro Ladino</t>
        </is>
      </c>
      <c r="C1131" s="11" t="inlineStr">
        <is>
          <t>Comum</t>
        </is>
      </c>
      <c r="D1131" s="11" t="inlineStr">
        <is>
          <t>Enquanto um oponente tiver 10 ou menos pontos de vida, Vampiro de Guul Draz receberá +2/+1 e terá intimidar. (Ele só pode ser bloqueado por criaturas artefato e/ou criaturas que compartilhem uma cor com ele.)</t>
        </is>
      </c>
      <c r="E1131" s="11" t="inlineStr">
        <is>
          <t>{B}</t>
        </is>
      </c>
      <c r="F1131" s="11" t="inlineStr">
        <is>
          <t>Preto</t>
        </is>
      </c>
      <c r="G1131" s="8" t="n">
        <v>0.45</v>
      </c>
      <c r="H1131" s="11" t="inlineStr">
        <is>
          <t>WWK</t>
        </is>
      </c>
      <c r="I1131" s="11" t="inlineStr">
        <is>
          <t>Não</t>
        </is>
      </c>
      <c r="J1131" s="11" t="n">
        <v>2010</v>
      </c>
      <c r="K1131" s="10" t="n">
        <v>46023</v>
      </c>
      <c r="L1131" s="11" t="n">
        <v>3</v>
      </c>
      <c r="M1131" s="8">
        <f>L1131*G1131</f>
        <v/>
      </c>
      <c r="P1131" s="9" t="n"/>
    </row>
    <row r="1132">
      <c r="A1132" s="11" t="inlineStr">
        <is>
          <t>Fada Macabra / Faerie Macabre</t>
        </is>
      </c>
      <c r="B1132" s="11" t="inlineStr">
        <is>
          <t>Criatura — Fada Ladino / Creature — Faerie Rogue</t>
        </is>
      </c>
      <c r="C1132" s="11" t="inlineStr">
        <is>
          <t>Comum / Common</t>
        </is>
      </c>
      <c r="D1132" s="11" t="inlineStr">
        <is>
          <t>Voar. Descarte Fada Macabra: Remova do jogo até dois cards alvo em cemitérios. / Flying. Discard Faerie Macabre: Exile up to two target cards from graveyards.</t>
        </is>
      </c>
      <c r="E1132" s="11" t="inlineStr">
        <is>
          <t>{1}{B}{B}</t>
        </is>
      </c>
      <c r="F1132" s="11" t="inlineStr">
        <is>
          <t>Preto</t>
        </is>
      </c>
      <c r="G1132" s="8" t="n">
        <v>41.9</v>
      </c>
      <c r="H1132" s="11" t="inlineStr">
        <is>
          <t>Eventide (EVE)</t>
        </is>
      </c>
      <c r="I1132" s="11" t="inlineStr">
        <is>
          <t>Não</t>
        </is>
      </c>
      <c r="J1132" s="11" t="n">
        <v>2008</v>
      </c>
      <c r="K1132" s="10" t="n">
        <v>46055</v>
      </c>
      <c r="L1132" s="11" t="n">
        <v>1</v>
      </c>
      <c r="M1132" s="8">
        <f>L1132*G1132</f>
        <v/>
      </c>
      <c r="P1132" s="9" t="n"/>
    </row>
    <row r="1133">
      <c r="A1133" s="11" t="inlineStr">
        <is>
          <t>Aphetto Dredging</t>
        </is>
      </c>
      <c r="B1133" s="11" t="inlineStr">
        <is>
          <t>Sorcery</t>
        </is>
      </c>
      <c r="C1133" s="11" t="inlineStr">
        <is>
          <t>Common</t>
        </is>
      </c>
      <c r="D1133" s="11" t="inlineStr">
        <is>
          <t>Return up to three target creature cards of the creature type of your choice from your graveyard to your hand.</t>
        </is>
      </c>
      <c r="E1133" s="11" t="inlineStr">
        <is>
          <t>{3}{B}</t>
        </is>
      </c>
      <c r="F1133" s="11" t="inlineStr">
        <is>
          <t>Preto</t>
        </is>
      </c>
      <c r="G1133" s="8" t="n">
        <v>5.85</v>
      </c>
      <c r="H1133" s="8" t="inlineStr">
        <is>
          <t>Onslaught (ONS)</t>
        </is>
      </c>
      <c r="I1133" s="11" t="inlineStr">
        <is>
          <t>Sim</t>
        </is>
      </c>
      <c r="J1133" s="11" t="n">
        <v>2002</v>
      </c>
      <c r="L1133" s="11" t="n">
        <v>1</v>
      </c>
      <c r="M1133" s="8">
        <f>L1133*G1133</f>
        <v/>
      </c>
      <c r="P1133" s="9" t="n"/>
    </row>
    <row r="1134">
      <c r="A1134" s="11" t="inlineStr">
        <is>
          <t>Arnyn, Deathbloom Botanist</t>
        </is>
      </c>
      <c r="B1134" s="11" t="inlineStr">
        <is>
          <t>Legendary Creature — Vampire Druid</t>
        </is>
      </c>
      <c r="C1134" s="11" t="inlineStr">
        <is>
          <t>Uncommon</t>
        </is>
      </c>
      <c r="D1134" s="11" t="inlineStr">
        <is>
          <t>Deathtouch. Whenever a creature you control with power or toughness 1 or less dies, target opponent loses 2 life and you gain 2 life.</t>
        </is>
      </c>
      <c r="E1134" s="11" t="inlineStr">
        <is>
          <t>{2}{B}</t>
        </is>
      </c>
      <c r="F1134" s="11" t="inlineStr">
        <is>
          <t>Preto</t>
        </is>
      </c>
      <c r="G1134" s="8" t="n">
        <v>0.3</v>
      </c>
      <c r="H1134" s="11" t="inlineStr">
        <is>
          <t>SOS</t>
        </is>
      </c>
      <c r="I1134" s="11" t="inlineStr">
        <is>
          <t>Não</t>
        </is>
      </c>
      <c r="J1134" s="11" t="n">
        <v>2026</v>
      </c>
      <c r="K1134" s="10" t="n">
        <v>46055</v>
      </c>
      <c r="L1134" s="11" t="n">
        <v>1</v>
      </c>
      <c r="M1134" s="8">
        <f>L1134*G1134</f>
        <v/>
      </c>
      <c r="P1134" s="9" t="n"/>
    </row>
    <row r="1135">
      <c r="A1135" s="11" t="inlineStr">
        <is>
          <t>Alpharael, Stonechosen</t>
        </is>
      </c>
      <c r="B1135" s="11" t="inlineStr">
        <is>
          <t>Legendary Creature — Human Cleric</t>
        </is>
      </c>
      <c r="C1135" s="11" t="inlineStr">
        <is>
          <t>Mythic</t>
        </is>
      </c>
      <c r="D1135" s="11" t="inlineStr">
        <is>
          <t>Ward—Discard a card at random. Void — Whenever Alpharael attacks, if a nonland permanent left the battlefield this turn or a spell was warped this turn, defending player loses half their life, rounded up.</t>
        </is>
      </c>
      <c r="E1135" s="11" t="inlineStr">
        <is>
          <t>{3}{B}{B}</t>
        </is>
      </c>
      <c r="F1135" s="11" t="inlineStr">
        <is>
          <t>Preto</t>
        </is>
      </c>
      <c r="G1135" s="8" t="n">
        <v>0.85</v>
      </c>
      <c r="H1135" s="11" t="inlineStr">
        <is>
          <t>EOE</t>
        </is>
      </c>
      <c r="I1135" s="11" t="inlineStr">
        <is>
          <t>Não</t>
        </is>
      </c>
      <c r="J1135" s="11" t="n">
        <v>2025</v>
      </c>
      <c r="K1135" s="10" t="n">
        <v>46084</v>
      </c>
      <c r="L1135" s="11" t="n">
        <v>1</v>
      </c>
      <c r="M1135" s="8">
        <f>L1135*G1135</f>
        <v/>
      </c>
      <c r="P1135" s="9" t="n"/>
    </row>
    <row r="1136">
      <c r="A1136" s="11" t="inlineStr">
        <is>
          <t>Zombie Musher</t>
        </is>
      </c>
      <c r="B1136" s="11" t="inlineStr">
        <is>
          <t>Snow Creature — Zombie</t>
        </is>
      </c>
      <c r="C1136" s="11" t="inlineStr">
        <is>
          <t>Comum / Common</t>
        </is>
      </c>
      <c r="D1136" s="11" t="inlineStr">
        <is>
          <t>Snow landwalk. {S}: Regenerate Zombie Musher. ({S} can be paid with one mana from a snow permanent.)</t>
        </is>
      </c>
      <c r="E1136" s="11" t="inlineStr">
        <is>
          <t>{3}{B}</t>
        </is>
      </c>
      <c r="F1136" s="11" t="inlineStr">
        <is>
          <t>Preto / Black</t>
        </is>
      </c>
      <c r="G1136" s="8" t="n">
        <v>0.09</v>
      </c>
      <c r="H1136" s="11" t="inlineStr">
        <is>
          <t>Coldsnap (CSP)</t>
        </is>
      </c>
      <c r="I1136" s="11" t="inlineStr">
        <is>
          <t>Não</t>
        </is>
      </c>
      <c r="J1136" s="11" t="n">
        <v>2006</v>
      </c>
      <c r="K1136" s="10" t="n">
        <v>46083</v>
      </c>
      <c r="L1136" s="11" t="n">
        <v>3</v>
      </c>
      <c r="M1136" s="8">
        <f>L1136*G1136</f>
        <v/>
      </c>
      <c r="P1136" s="9" t="n"/>
    </row>
    <row r="1137">
      <c r="A1137" s="11" t="inlineStr">
        <is>
          <t>Habitante das Covas Traiçoeiro / Treacherous Pit-Dweller</t>
        </is>
      </c>
      <c r="B1137" s="11" t="inlineStr">
        <is>
          <t>Criatura — Demônio / Creature — Demon</t>
        </is>
      </c>
      <c r="C1137" s="11" t="inlineStr">
        <is>
          <t>Rara / Rare</t>
        </is>
      </c>
      <c r="D1137" s="11"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7" s="11" t="inlineStr">
        <is>
          <t>{B}{B}</t>
        </is>
      </c>
      <c r="F1137" s="11" t="inlineStr">
        <is>
          <t>Preto / Black</t>
        </is>
      </c>
      <c r="G1137" s="8" t="n">
        <v>0.45</v>
      </c>
      <c r="H1137" s="11" t="inlineStr">
        <is>
          <t>Dark Ascension (DKA)</t>
        </is>
      </c>
      <c r="I1137" s="11" t="inlineStr">
        <is>
          <t>Não</t>
        </is>
      </c>
      <c r="J1137" s="11" t="n">
        <v>2012</v>
      </c>
      <c r="K1137" s="10" t="n">
        <v>46085</v>
      </c>
      <c r="L1137" s="11" t="n">
        <v>1</v>
      </c>
      <c r="M1137" s="8">
        <f>L1137*G1137</f>
        <v/>
      </c>
      <c r="P1137" s="9" t="n"/>
    </row>
    <row r="1138">
      <c r="A1138" s="11" t="inlineStr">
        <is>
          <t>Toque de Luvalua / Touch of Moonglove</t>
        </is>
      </c>
      <c r="B1138" s="11" t="inlineStr">
        <is>
          <t>Mágica Instantânea / Instant</t>
        </is>
      </c>
      <c r="C1138" s="11" t="inlineStr">
        <is>
          <t>Comum / Common</t>
        </is>
      </c>
      <c r="D1138" s="11"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8" s="11" t="inlineStr">
        <is>
          <t>{B}</t>
        </is>
      </c>
      <c r="F1138" s="11" t="inlineStr">
        <is>
          <t>Preto / Black</t>
        </is>
      </c>
      <c r="G1138" s="8" t="n">
        <v>0.08</v>
      </c>
      <c r="H1138" s="11" t="inlineStr">
        <is>
          <t>Magic Origins (ORI)</t>
        </is>
      </c>
      <c r="I1138" s="11" t="inlineStr">
        <is>
          <t>Não</t>
        </is>
      </c>
      <c r="J1138" s="11" t="n">
        <v>2015</v>
      </c>
      <c r="L1138" s="11" t="n">
        <v>3</v>
      </c>
      <c r="M1138" s="8">
        <f>L1138*G1138</f>
        <v/>
      </c>
      <c r="P1138" s="9" t="n"/>
    </row>
    <row r="1139">
      <c r="A1139" s="11" t="inlineStr">
        <is>
          <t>Talho das Sombras / Deadly Derision</t>
        </is>
      </c>
      <c r="B1139" s="11" t="inlineStr">
        <is>
          <t>Mágica Instantânea / Instant</t>
        </is>
      </c>
      <c r="C1139" s="11" t="inlineStr">
        <is>
          <t>Comum / Common</t>
        </is>
      </c>
      <c r="D1139" s="11" t="inlineStr">
        <is>
          <t>Esta mágica não pode ser anulada. A criatura alvo recebe -X/-X até o final do turno. / This spell can't be countered. Target creature gets -X/-X until end of turn.</t>
        </is>
      </c>
      <c r="E1139" s="11" t="inlineStr">
        <is>
          <t>{X}{B}</t>
        </is>
      </c>
      <c r="F1139" s="11" t="inlineStr">
        <is>
          <t>Preto / Black</t>
        </is>
      </c>
      <c r="G1139" s="8" t="n">
        <v>0.4</v>
      </c>
      <c r="H1139" s="11" t="inlineStr">
        <is>
          <t>Murders at Karlov Manor (MKM)</t>
        </is>
      </c>
      <c r="I1139" s="11" t="inlineStr">
        <is>
          <t>Não</t>
        </is>
      </c>
      <c r="J1139" s="11" t="n">
        <v>2024</v>
      </c>
      <c r="L1139" s="11" t="n">
        <v>1</v>
      </c>
      <c r="M1139" s="8">
        <f>L1139*G1139</f>
        <v/>
      </c>
      <c r="P1139" s="9" t="n"/>
    </row>
    <row r="1140">
      <c r="A1140" s="11" t="inlineStr">
        <is>
          <t>Dusk Legion Zealot</t>
        </is>
      </c>
      <c r="B1140" s="11" t="inlineStr">
        <is>
          <t>Creature — Vampire Soldier</t>
        </is>
      </c>
      <c r="C1140" s="11" t="inlineStr">
        <is>
          <t>Common</t>
        </is>
      </c>
      <c r="D1140" s="11" t="inlineStr">
        <is>
          <t>When Dusk Legion Zealot enters the battlefield, you draw a card and you lose 1 life.</t>
        </is>
      </c>
      <c r="E1140" s="11" t="inlineStr">
        <is>
          <t>{1}{B}</t>
        </is>
      </c>
      <c r="F1140" s="11" t="inlineStr">
        <is>
          <t>Black</t>
        </is>
      </c>
      <c r="G1140" s="8" t="n">
        <v>0.24</v>
      </c>
      <c r="H1140" s="11" t="inlineStr">
        <is>
          <t>Masters 25 (A25)</t>
        </is>
      </c>
      <c r="I1140" s="11" t="inlineStr">
        <is>
          <t>No</t>
        </is>
      </c>
      <c r="J1140" s="11" t="n">
        <v>2018</v>
      </c>
      <c r="K1140" s="10" t="n">
        <v>46023</v>
      </c>
      <c r="L1140" s="11" t="n">
        <v>2</v>
      </c>
      <c r="M1140" s="8">
        <f>L1140*G1140</f>
        <v/>
      </c>
      <c r="P1140" s="9" t="n"/>
    </row>
    <row r="1141">
      <c r="A1141" s="11" t="inlineStr">
        <is>
          <t>Leia os Ossos / Read the Bones</t>
        </is>
      </c>
      <c r="B1141" s="11" t="inlineStr">
        <is>
          <t>Feitiço / Sorcery</t>
        </is>
      </c>
      <c r="C1141" s="11" t="inlineStr">
        <is>
          <t>Comum / Common</t>
        </is>
      </c>
      <c r="D1141" s="11"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41" s="11" t="inlineStr">
        <is>
          <t>{2}{B}</t>
        </is>
      </c>
      <c r="F1141" s="11" t="inlineStr">
        <is>
          <t>Preto / Black</t>
        </is>
      </c>
      <c r="G1141" s="8" t="n">
        <v>0.32</v>
      </c>
      <c r="H1141" s="11" t="inlineStr">
        <is>
          <t>Magic Origins (ORI)</t>
        </is>
      </c>
      <c r="I1141" s="11" t="inlineStr">
        <is>
          <t>Não</t>
        </is>
      </c>
      <c r="J1141" s="11" t="n">
        <v>2015</v>
      </c>
      <c r="L1141" s="11" t="n">
        <v>3</v>
      </c>
      <c r="M1141" s="8">
        <f>L1141*G1141</f>
        <v/>
      </c>
      <c r="P1141" s="9" t="n"/>
    </row>
    <row r="1142">
      <c r="A1142" s="11" t="inlineStr">
        <is>
          <t>Murder</t>
        </is>
      </c>
      <c r="B1142" s="11" t="inlineStr">
        <is>
          <t>Instant</t>
        </is>
      </c>
      <c r="C1142" s="11" t="inlineStr">
        <is>
          <t>Common</t>
        </is>
      </c>
      <c r="D1142" s="11" t="inlineStr">
        <is>
          <t>Destroy target creature.</t>
        </is>
      </c>
      <c r="E1142" s="11" t="inlineStr">
        <is>
          <t>{1}{B}{B}</t>
        </is>
      </c>
      <c r="F1142" s="11" t="inlineStr">
        <is>
          <t>Black</t>
        </is>
      </c>
      <c r="G1142" s="8" t="n">
        <v>0.1</v>
      </c>
      <c r="H1142" s="11" t="inlineStr">
        <is>
          <t>Masters 25 (A25)</t>
        </is>
      </c>
      <c r="I1142" s="11" t="inlineStr">
        <is>
          <t>No</t>
        </is>
      </c>
      <c r="J1142" s="11" t="n">
        <v>2018</v>
      </c>
      <c r="L1142" s="11" t="n">
        <v>2</v>
      </c>
      <c r="M1142" s="8">
        <f>L1142*G1142</f>
        <v/>
      </c>
      <c r="P1142" s="9" t="n"/>
    </row>
    <row r="1143">
      <c r="A1143" s="11" t="inlineStr">
        <is>
          <t>Murder</t>
        </is>
      </c>
      <c r="B1143" s="11" t="inlineStr">
        <is>
          <t>Instant</t>
        </is>
      </c>
      <c r="C1143" s="11" t="inlineStr">
        <is>
          <t>Common</t>
        </is>
      </c>
      <c r="D1143" s="11" t="inlineStr">
        <is>
          <t>Destroy target creature.</t>
        </is>
      </c>
      <c r="E1143" s="11" t="inlineStr">
        <is>
          <t>{1}{B}{B}</t>
        </is>
      </c>
      <c r="F1143" s="11" t="inlineStr">
        <is>
          <t>Black</t>
        </is>
      </c>
      <c r="G1143" s="8" t="n">
        <v>0.4</v>
      </c>
      <c r="H1143" s="11" t="inlineStr">
        <is>
          <t>Masters 25 (A25)</t>
        </is>
      </c>
      <c r="I1143" s="11" t="inlineStr">
        <is>
          <t>Sim</t>
        </is>
      </c>
      <c r="J1143" s="11" t="n">
        <v>2018</v>
      </c>
      <c r="L1143" s="11" t="n">
        <v>1</v>
      </c>
      <c r="M1143" s="8">
        <f>L1143*G1143</f>
        <v/>
      </c>
      <c r="P1143" s="9" t="n"/>
    </row>
    <row r="1144">
      <c r="A1144" s="11" t="inlineStr">
        <is>
          <t>Distress</t>
        </is>
      </c>
      <c r="B1144" s="11" t="inlineStr">
        <is>
          <t>Sorcery</t>
        </is>
      </c>
      <c r="C1144" s="11" t="inlineStr">
        <is>
          <t>Common</t>
        </is>
      </c>
      <c r="D1144" s="11" t="inlineStr">
        <is>
          <t>Target player reveals his or her hand. You choose a nonland card from it. That player discards that card.</t>
        </is>
      </c>
      <c r="E1144" s="11" t="inlineStr">
        <is>
          <t>{B}{B}</t>
        </is>
      </c>
      <c r="F1144" s="11" t="inlineStr">
        <is>
          <t>Black</t>
        </is>
      </c>
      <c r="G1144" s="8" t="n">
        <v>0.1</v>
      </c>
      <c r="H1144" s="8" t="inlineStr">
        <is>
          <t>Champions of Kamigawa (CHK)</t>
        </is>
      </c>
      <c r="I1144" s="11" t="inlineStr">
        <is>
          <t>Não</t>
        </is>
      </c>
      <c r="J1144" s="11" t="n">
        <v>2004</v>
      </c>
      <c r="L1144" s="11" t="n">
        <v>4</v>
      </c>
      <c r="M1144" s="8">
        <f>L1144*G1144</f>
        <v/>
      </c>
      <c r="P1144" s="9" t="n"/>
    </row>
    <row r="1145">
      <c r="A1145" s="11" t="inlineStr">
        <is>
          <t>Roubar um Pedaço / Thief of Blood</t>
        </is>
      </c>
      <c r="B1145" s="11" t="inlineStr">
        <is>
          <t>Feitiço Tribal — Ladino / Tribal Sorcery — Rogue</t>
        </is>
      </c>
      <c r="C1145" s="11" t="inlineStr">
        <is>
          <t>Comum / Common</t>
        </is>
      </c>
      <c r="D1145" s="11"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5" s="11" t="inlineStr">
        <is>
          <t>{2}{B}</t>
        </is>
      </c>
      <c r="F1145" s="11" t="inlineStr">
        <is>
          <t>Preto / Black</t>
        </is>
      </c>
      <c r="G1145" s="8" t="n">
        <v>0.19</v>
      </c>
      <c r="H1145" s="11" t="inlineStr">
        <is>
          <t>Magic Origins (ORI)</t>
        </is>
      </c>
      <c r="I1145" s="11" t="inlineStr">
        <is>
          <t>Não</t>
        </is>
      </c>
      <c r="J1145" s="11" t="n">
        <v>2015</v>
      </c>
      <c r="L1145" s="11" t="n">
        <v>4</v>
      </c>
      <c r="M1145" s="8">
        <f>L1145*G1145</f>
        <v/>
      </c>
      <c r="P1145" s="9" t="n"/>
    </row>
    <row r="1146">
      <c r="A1146" s="11" t="inlineStr">
        <is>
          <t>Mal Imortal / Undying Evil</t>
        </is>
      </c>
      <c r="B1146" s="11" t="inlineStr">
        <is>
          <t>Mágica Instantânea / Instant</t>
        </is>
      </c>
      <c r="C1146" s="11" t="inlineStr">
        <is>
          <t>Comum / Common</t>
        </is>
      </c>
      <c r="D1146" s="11"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6" s="11" t="inlineStr">
        <is>
          <t>{B}</t>
        </is>
      </c>
      <c r="F1146" s="11" t="inlineStr">
        <is>
          <t>Preto / Black</t>
        </is>
      </c>
      <c r="G1146" s="8" t="n">
        <v>0.55</v>
      </c>
      <c r="H1146" s="11" t="inlineStr">
        <is>
          <t>Dark Ascension (DKA)</t>
        </is>
      </c>
      <c r="I1146" s="11" t="inlineStr">
        <is>
          <t>Não</t>
        </is>
      </c>
      <c r="J1146" s="11" t="n">
        <v>2012</v>
      </c>
      <c r="L1146" s="11" t="n">
        <v>3</v>
      </c>
      <c r="M1146" s="8">
        <f>L1146*G1146</f>
        <v/>
      </c>
      <c r="P1146" s="9" t="n"/>
    </row>
    <row r="1147">
      <c r="A1147" s="11" t="inlineStr">
        <is>
          <t>Cura de Fárica / Pharika's Cure</t>
        </is>
      </c>
      <c r="B1147" s="11" t="inlineStr">
        <is>
          <t>Mágica Instantânea / Instant</t>
        </is>
      </c>
      <c r="C1147" s="11" t="inlineStr">
        <is>
          <t>Comum / Common</t>
        </is>
      </c>
      <c r="D1147" s="11" t="inlineStr">
        <is>
          <t>Cura de Fárica causa 2 pontos de dano à criatura alvo e você ganha 2 pontos de vida. / Pharika's Cure deals 2 damage to target creature and you gain 2 life.</t>
        </is>
      </c>
      <c r="E1147" s="11" t="inlineStr">
        <is>
          <t>{B}{B}</t>
        </is>
      </c>
      <c r="F1147" s="11" t="inlineStr">
        <is>
          <t>Preto / Black</t>
        </is>
      </c>
      <c r="G1147" s="8" t="n">
        <v>0.05</v>
      </c>
      <c r="H1147" s="11" t="inlineStr">
        <is>
          <t>Theros (THS)</t>
        </is>
      </c>
      <c r="I1147" s="11" t="inlineStr">
        <is>
          <t>Não</t>
        </is>
      </c>
      <c r="J1147" s="11" t="n">
        <v>2013</v>
      </c>
      <c r="L1147" s="11" t="n">
        <v>4</v>
      </c>
      <c r="M1147" s="8">
        <f>L1147*G1147</f>
        <v/>
      </c>
      <c r="P1147" s="9" t="n"/>
    </row>
    <row r="1148">
      <c r="A1148" s="11" t="inlineStr">
        <is>
          <t>Tonel-mãe Phyrexiano / Phyrexian Vatmother</t>
        </is>
      </c>
      <c r="B1148" s="11" t="inlineStr">
        <is>
          <t>Criatura — Horror / Creature — Horror</t>
        </is>
      </c>
      <c r="C1148" s="11" t="inlineStr">
        <is>
          <t>Rara / Rare</t>
        </is>
      </c>
      <c r="D1148" s="11"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8" s="11" t="inlineStr">
        <is>
          <t>{2}{B}{B}</t>
        </is>
      </c>
      <c r="F1148" s="11" t="inlineStr">
        <is>
          <t>Preto / Black</t>
        </is>
      </c>
      <c r="G1148" s="8" t="n">
        <v>0.8</v>
      </c>
      <c r="H1148" s="11" t="inlineStr">
        <is>
          <t>Mirrodin Besieged (MBS)</t>
        </is>
      </c>
      <c r="I1148" s="11" t="inlineStr">
        <is>
          <t>Não</t>
        </is>
      </c>
      <c r="J1148" s="11" t="n">
        <v>2011</v>
      </c>
      <c r="K1148" s="10" t="n">
        <v>46146</v>
      </c>
      <c r="L1148" s="11" t="n">
        <v>1</v>
      </c>
      <c r="M1148" s="8">
        <f>L1148*G1148</f>
        <v/>
      </c>
      <c r="P1148" s="9" t="n"/>
    </row>
    <row r="1149">
      <c r="A1149" s="11" t="inlineStr">
        <is>
          <t>Ajuda Improvável / Unlikely Aid</t>
        </is>
      </c>
      <c r="B1149" s="11" t="inlineStr">
        <is>
          <t>Mágica Instantânea / Instant</t>
        </is>
      </c>
      <c r="C1149" s="11" t="inlineStr">
        <is>
          <t>Comum / Common</t>
        </is>
      </c>
      <c r="D1149" s="11" t="inlineStr">
        <is>
          <t>A criatura alvo recebe +2/+0 e ganha indestrutível até o final do turno. (O dano e os efeitos que dizem "destrua" não a destroem.) / Target creature gets +2/+0 and gains indestructible until end of turn. (Damage and effects that say "destroy" don't destroy it.)</t>
        </is>
      </c>
      <c r="E1149" s="11" t="inlineStr">
        <is>
          <t>{1}{B}</t>
        </is>
      </c>
      <c r="F1149" s="11" t="inlineStr">
        <is>
          <t>Preto / Black</t>
        </is>
      </c>
      <c r="G1149" s="8" t="n">
        <v>0.06</v>
      </c>
      <c r="H1149" s="11" t="inlineStr">
        <is>
          <t>War of the Spark (WAR)</t>
        </is>
      </c>
      <c r="I1149" s="11" t="inlineStr">
        <is>
          <t>Não</t>
        </is>
      </c>
      <c r="J1149" s="11" t="n">
        <v>2019</v>
      </c>
      <c r="L1149" s="11" t="n">
        <v>4</v>
      </c>
      <c r="M1149" s="8">
        <f>L1149*G1149</f>
        <v/>
      </c>
      <c r="P1149" s="9" t="n"/>
    </row>
    <row r="1150">
      <c r="A1150" s="11" t="inlineStr">
        <is>
          <t>Vigia do Mercado Noturno / Night Market Lookout</t>
        </is>
      </c>
      <c r="B1150" s="11" t="inlineStr">
        <is>
          <t>Criatura — Humano Ladino / Creature — Human Rogue</t>
        </is>
      </c>
      <c r="C1150" s="11" t="inlineStr">
        <is>
          <t>Comum / Common</t>
        </is>
      </c>
      <c r="D1150" s="11" t="inlineStr">
        <is>
          <t>Toda vez que Vigia do Mercado Noturno é virado, cada oponente perde 1 ponto de vida e você ganha 1 ponto de vida. / Whenever Night Market Lookout becomes tapped, each opponent loses 1 life and you gain 1 life.</t>
        </is>
      </c>
      <c r="E1150" s="11" t="inlineStr">
        <is>
          <t>{B}</t>
        </is>
      </c>
      <c r="F1150" s="11" t="inlineStr">
        <is>
          <t>Preto / Black</t>
        </is>
      </c>
      <c r="G1150" s="8" t="n">
        <v>0.15</v>
      </c>
      <c r="H1150" s="11" t="inlineStr">
        <is>
          <t>Kaladesh (KLD)</t>
        </is>
      </c>
      <c r="I1150" s="11" t="inlineStr">
        <is>
          <t>Não</t>
        </is>
      </c>
      <c r="J1150" s="11" t="n">
        <v>2016</v>
      </c>
      <c r="K1150" s="10" t="n">
        <v>46023</v>
      </c>
      <c r="L1150" s="11" t="n">
        <v>4</v>
      </c>
      <c r="M1150" s="8">
        <f>L1150*G1150</f>
        <v/>
      </c>
      <c r="P1150" s="9" t="n"/>
    </row>
    <row r="1151">
      <c r="A1151" s="11" t="inlineStr">
        <is>
          <t>De Volta da Extinção / Return from Extinction</t>
        </is>
      </c>
      <c r="B1151" s="11" t="inlineStr">
        <is>
          <t>Feitiço / Sorcery</t>
        </is>
      </c>
      <c r="C1151" s="11" t="inlineStr">
        <is>
          <t>Comum / Common</t>
        </is>
      </c>
      <c r="D1151" s="11"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51" s="11" t="inlineStr">
        <is>
          <t>{1}{B}</t>
        </is>
      </c>
      <c r="F1151" s="11" t="inlineStr">
        <is>
          <t>Preto / Black</t>
        </is>
      </c>
      <c r="G1151" s="8" t="n">
        <v>0.09</v>
      </c>
      <c r="H1151" s="11" t="inlineStr">
        <is>
          <t>Modern Horizons (MH1)</t>
        </is>
      </c>
      <c r="I1151" s="11" t="inlineStr">
        <is>
          <t>Não</t>
        </is>
      </c>
      <c r="J1151" s="11" t="n">
        <v>2019</v>
      </c>
      <c r="L1151" s="11" t="n">
        <v>4</v>
      </c>
      <c r="M1151" s="8">
        <f>L1151*G1151</f>
        <v/>
      </c>
      <c r="P1151" s="9" t="n"/>
    </row>
    <row r="1152">
      <c r="A1152" s="11" t="inlineStr">
        <is>
          <t>Victim of Night</t>
        </is>
      </c>
      <c r="B1152" s="11" t="inlineStr">
        <is>
          <t>Instant</t>
        </is>
      </c>
      <c r="C1152" s="11" t="inlineStr">
        <is>
          <t>Common</t>
        </is>
      </c>
      <c r="D1152" s="11" t="inlineStr">
        <is>
          <t>Destroy target non-Vampire, non-Werewolf, non-Zombie creature.</t>
        </is>
      </c>
      <c r="E1152" s="11" t="inlineStr">
        <is>
          <t>{B}{B}</t>
        </is>
      </c>
      <c r="F1152" s="11" t="inlineStr">
        <is>
          <t>Black</t>
        </is>
      </c>
      <c r="G1152" s="8" t="n">
        <v>0.47</v>
      </c>
      <c r="H1152" s="11" t="inlineStr">
        <is>
          <t>Duel Decks: Blessed vs. Cursed (DDG)</t>
        </is>
      </c>
      <c r="I1152" s="11" t="inlineStr">
        <is>
          <t>No</t>
        </is>
      </c>
      <c r="J1152" s="11" t="n">
        <v>2016</v>
      </c>
      <c r="L1152" s="11" t="n">
        <v>2</v>
      </c>
      <c r="M1152" s="8">
        <f>L1152*G1152</f>
        <v/>
      </c>
      <c r="P1152" s="9" t="n"/>
    </row>
    <row r="1153">
      <c r="A1153" s="11" t="inlineStr">
        <is>
          <t>Vampiro de Sengir / Sengir Vampire</t>
        </is>
      </c>
      <c r="B1153" s="11" t="inlineStr">
        <is>
          <t>Criatura — Vampiro / Creature — Vampire</t>
        </is>
      </c>
      <c r="C1153" s="11" t="inlineStr">
        <is>
          <t>Incomum / Uncommon</t>
        </is>
      </c>
      <c r="D1153" s="11"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3" s="11" t="inlineStr">
        <is>
          <t>{3}{B}{B}</t>
        </is>
      </c>
      <c r="F1153" s="11" t="inlineStr">
        <is>
          <t>Preto / Black</t>
        </is>
      </c>
      <c r="G1153" s="8" t="n">
        <v>0.1</v>
      </c>
      <c r="H1153" s="11" t="inlineStr">
        <is>
          <t xml:space="preserve">Welcome Deck 2016 </t>
        </is>
      </c>
      <c r="I1153" s="11" t="inlineStr">
        <is>
          <t>Não</t>
        </is>
      </c>
      <c r="J1153" s="11" t="n">
        <v>2011</v>
      </c>
      <c r="K1153" s="10" t="n">
        <v>46116</v>
      </c>
      <c r="L1153" s="11" t="n">
        <v>1</v>
      </c>
      <c r="M1153" s="8">
        <f>L1153*G1153</f>
        <v/>
      </c>
      <c r="P1153" s="9" t="n"/>
    </row>
    <row r="1154">
      <c r="A1154" s="11" t="inlineStr">
        <is>
          <t>Vampiro de Sengir / Sengir Vampire</t>
        </is>
      </c>
      <c r="B1154" s="11" t="inlineStr">
        <is>
          <t>Criatura — Vampiro / Creature — Vampire</t>
        </is>
      </c>
      <c r="C1154" s="11" t="inlineStr">
        <is>
          <t>Incomum / Uncommon</t>
        </is>
      </c>
      <c r="D1154" s="11"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4" s="11" t="inlineStr">
        <is>
          <t>{3}{B}{B}</t>
        </is>
      </c>
      <c r="F1154" s="11" t="inlineStr">
        <is>
          <t>Preto / Black</t>
        </is>
      </c>
      <c r="G1154" s="8" t="n">
        <v>0.19</v>
      </c>
      <c r="H1154" s="11" t="inlineStr">
        <is>
          <t>Magic Origins (ORI)</t>
        </is>
      </c>
      <c r="I1154" s="11" t="inlineStr">
        <is>
          <t>Não</t>
        </is>
      </c>
      <c r="J1154" s="11" t="n">
        <v>2015</v>
      </c>
      <c r="K1154" s="10" t="n">
        <v>46116</v>
      </c>
      <c r="L1154" s="11" t="n">
        <v>3</v>
      </c>
      <c r="M1154" s="8">
        <f>L1154*G1154</f>
        <v/>
      </c>
      <c r="P1154" s="9" t="n"/>
    </row>
    <row r="1155">
      <c r="A1155" s="11" t="inlineStr">
        <is>
          <t>Sanitarium Skeleton</t>
        </is>
      </c>
      <c r="B1155" s="11" t="inlineStr">
        <is>
          <t>Creature — Skeleton</t>
        </is>
      </c>
      <c r="C1155" s="11" t="inlineStr">
        <is>
          <t>Common</t>
        </is>
      </c>
      <c r="D1155" s="11" t="inlineStr">
        <is>
          <t>{2}{B}: Return Sanitarium Skeleton from your graveyard to your hand.</t>
        </is>
      </c>
      <c r="E1155" s="11" t="inlineStr">
        <is>
          <t>{B}</t>
        </is>
      </c>
      <c r="F1155" s="11" t="inlineStr">
        <is>
          <t>Black</t>
        </is>
      </c>
      <c r="G1155" s="8" t="n">
        <v>0.03</v>
      </c>
      <c r="H1155" s="11" t="inlineStr">
        <is>
          <t>Ultimate Masters (UMA)</t>
        </is>
      </c>
      <c r="I1155" s="11" t="inlineStr">
        <is>
          <t>No</t>
        </is>
      </c>
      <c r="J1155" s="11" t="n">
        <v>2018</v>
      </c>
      <c r="K1155" s="10" t="n">
        <v>46054</v>
      </c>
      <c r="L1155" s="11" t="n">
        <v>4</v>
      </c>
      <c r="M1155" s="8">
        <f>L1155*G1155</f>
        <v/>
      </c>
      <c r="P1155" s="9" t="n"/>
    </row>
    <row r="1156">
      <c r="A1156" s="11" t="inlineStr">
        <is>
          <t>Coagir / Duress</t>
        </is>
      </c>
      <c r="B1156" s="11" t="inlineStr">
        <is>
          <t>Feitiço / Sorcery</t>
        </is>
      </c>
      <c r="C1156" s="11" t="inlineStr">
        <is>
          <t>Comum / Common</t>
        </is>
      </c>
      <c r="D1156"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6" s="11" t="inlineStr">
        <is>
          <t>{B}</t>
        </is>
      </c>
      <c r="F1156" s="11" t="inlineStr">
        <is>
          <t>Preto / Black</t>
        </is>
      </c>
      <c r="G1156" s="8" t="n">
        <v>0.09</v>
      </c>
      <c r="H1156" s="11" t="inlineStr">
        <is>
          <t>Core Set 2020 (M20)</t>
        </is>
      </c>
      <c r="I1156" s="11" t="inlineStr">
        <is>
          <t>Não</t>
        </is>
      </c>
      <c r="J1156" s="11" t="n">
        <v>2019</v>
      </c>
      <c r="L1156" s="11" t="n">
        <v>1</v>
      </c>
      <c r="M1156" s="8">
        <f>L1156*G1156</f>
        <v/>
      </c>
      <c r="P1156" s="9" t="n"/>
    </row>
    <row r="1157">
      <c r="A1157" s="11" t="inlineStr">
        <is>
          <t>Coagir / Duress</t>
        </is>
      </c>
      <c r="B1157" s="11" t="inlineStr">
        <is>
          <t>Feitiço / Sorcery</t>
        </is>
      </c>
      <c r="C1157" s="11" t="inlineStr">
        <is>
          <t>Comum / Common</t>
        </is>
      </c>
      <c r="D1157"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7" s="11" t="inlineStr">
        <is>
          <t>{B}</t>
        </is>
      </c>
      <c r="F1157" s="11" t="inlineStr">
        <is>
          <t>Preto / Black</t>
        </is>
      </c>
      <c r="G1157" s="8" t="n">
        <v>0.1</v>
      </c>
      <c r="H1157" s="11" t="inlineStr">
        <is>
          <t>Core Set 2014 (M14)</t>
        </is>
      </c>
      <c r="I1157" s="11" t="inlineStr">
        <is>
          <t>Não</t>
        </is>
      </c>
      <c r="J1157" s="11" t="n">
        <v>2013</v>
      </c>
      <c r="L1157" s="11" t="n">
        <v>1</v>
      </c>
      <c r="M1157" s="8">
        <f>L1157*G1157</f>
        <v/>
      </c>
      <c r="P1157" s="9" t="n"/>
    </row>
    <row r="1158">
      <c r="A1158" s="11" t="inlineStr">
        <is>
          <t>Coagir / Duress</t>
        </is>
      </c>
      <c r="B1158" s="11" t="inlineStr">
        <is>
          <t>Feitiço / Sorcery</t>
        </is>
      </c>
      <c r="C1158" s="11" t="inlineStr">
        <is>
          <t>Comum / Common</t>
        </is>
      </c>
      <c r="D1158" s="11"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8" s="11" t="inlineStr">
        <is>
          <t>{B}</t>
        </is>
      </c>
      <c r="F1158" s="11" t="inlineStr">
        <is>
          <t>Preto / Black</t>
        </is>
      </c>
      <c r="G1158" s="8" t="n">
        <v>0.08</v>
      </c>
      <c r="H1158" s="11" t="inlineStr">
        <is>
          <t>Core Set 2013 (M13)</t>
        </is>
      </c>
      <c r="I1158" s="11" t="inlineStr">
        <is>
          <t>Não</t>
        </is>
      </c>
      <c r="J1158" s="11" t="n">
        <v>2012</v>
      </c>
      <c r="L1158" s="11" t="n">
        <v>3</v>
      </c>
      <c r="M1158" s="8">
        <f>L1158*G1158</f>
        <v/>
      </c>
      <c r="P1158" s="9" t="n"/>
    </row>
    <row r="1159">
      <c r="A1159" s="11" t="inlineStr">
        <is>
          <t>Gato Preto / Black Cat</t>
        </is>
      </c>
      <c r="B1159" s="11" t="inlineStr">
        <is>
          <t>Criatura — Zumbi Felino / Creature — Zombie Cat</t>
        </is>
      </c>
      <c r="C1159" s="11" t="inlineStr">
        <is>
          <t>Comum / Common</t>
        </is>
      </c>
      <c r="D1159" s="11" t="inlineStr">
        <is>
          <t>Quando Gato Preto morre, o oponente alvo descarta um card aleatoriamente. / When Black Cat dies, target opponent discards a card at random.</t>
        </is>
      </c>
      <c r="E1159" s="11" t="inlineStr">
        <is>
          <t>{1}{B}</t>
        </is>
      </c>
      <c r="F1159" s="11" t="inlineStr">
        <is>
          <t>Preto / Black</t>
        </is>
      </c>
      <c r="G1159" s="8" t="n">
        <v>0.11</v>
      </c>
      <c r="H1159" s="11" t="inlineStr">
        <is>
          <t>Dark Ascension (DKA)</t>
        </is>
      </c>
      <c r="I1159" s="11" t="inlineStr">
        <is>
          <t>Não</t>
        </is>
      </c>
      <c r="J1159" s="11" t="n">
        <v>2012</v>
      </c>
      <c r="K1159" s="10" t="n">
        <v>46023</v>
      </c>
      <c r="L1159" s="11" t="n">
        <v>4</v>
      </c>
      <c r="M1159" s="8">
        <f>L1159*G1159</f>
        <v/>
      </c>
      <c r="P1159" s="9" t="n"/>
    </row>
    <row r="1160">
      <c r="A1160" s="11" t="inlineStr">
        <is>
          <t>Familiar de Nightscape / Nightscape Familiar</t>
        </is>
      </c>
      <c r="B1160" s="11" t="inlineStr">
        <is>
          <t>Criatura — Zumbi / Creature — Zombie</t>
        </is>
      </c>
      <c r="C1160" s="11" t="inlineStr">
        <is>
          <t>Comum / Common</t>
        </is>
      </c>
      <c r="D1160" s="11"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60" s="11" t="inlineStr">
        <is>
          <t>{1}{B}</t>
        </is>
      </c>
      <c r="F1160" s="11" t="inlineStr">
        <is>
          <t>Preto / Black</t>
        </is>
      </c>
      <c r="G1160" s="8" t="n">
        <v>1.19</v>
      </c>
      <c r="H1160" s="11" t="inlineStr">
        <is>
          <t>Dominaria Remastered (DMR)</t>
        </is>
      </c>
      <c r="I1160" s="11" t="inlineStr">
        <is>
          <t>Não</t>
        </is>
      </c>
      <c r="J1160" s="11" t="n">
        <v>2023</v>
      </c>
      <c r="K1160" s="10" t="n">
        <v>46023</v>
      </c>
      <c r="L1160" s="11" t="n">
        <v>3</v>
      </c>
      <c r="M1160" s="8">
        <f>L1160*G1160</f>
        <v/>
      </c>
      <c r="P1160" s="9" t="n"/>
    </row>
    <row r="1161">
      <c r="A1161" s="11" t="inlineStr">
        <is>
          <t>Familiar de Nightscape / Nightscape Familiar</t>
        </is>
      </c>
      <c r="B1161" s="11" t="inlineStr">
        <is>
          <t>Creature — Zombie</t>
        </is>
      </c>
      <c r="C1161" s="11" t="inlineStr">
        <is>
          <t>Common</t>
        </is>
      </c>
      <c r="D1161" s="11" t="inlineStr">
        <is>
          <t>Blue spells and red spells you cast cost {1} less to cast. {1}{B}: Regenerate Nightscape Familiar.</t>
        </is>
      </c>
      <c r="E1161" s="11" t="inlineStr">
        <is>
          <t>{1}{B}</t>
        </is>
      </c>
      <c r="F1161" s="11" t="inlineStr">
        <is>
          <t>Black</t>
        </is>
      </c>
      <c r="G1161" s="8" t="n">
        <v>1.4</v>
      </c>
      <c r="H1161" s="11" t="inlineStr">
        <is>
          <t>Duel Decks: Ajani vs. Nicol Bolas</t>
        </is>
      </c>
      <c r="I1161" s="11" t="inlineStr">
        <is>
          <t>No</t>
        </is>
      </c>
      <c r="J1161" s="11" t="n">
        <v>2011</v>
      </c>
      <c r="K1161" s="10" t="n">
        <v>46023</v>
      </c>
      <c r="L1161" s="11" t="n">
        <v>1</v>
      </c>
      <c r="M1161" s="8">
        <f>L1161*G1161</f>
        <v/>
      </c>
      <c r="P1161" s="9" t="n"/>
    </row>
    <row r="1162">
      <c r="A1162" s="11" t="inlineStr">
        <is>
          <t>Esqueleto do Casarão / Manor Skeleton</t>
        </is>
      </c>
      <c r="B1162" s="11" t="inlineStr">
        <is>
          <t>Criatura — Esqueleto / Creature — Skeleton</t>
        </is>
      </c>
      <c r="C1162" s="11" t="inlineStr">
        <is>
          <t>Comum / Common</t>
        </is>
      </c>
      <c r="D1162" s="11" t="inlineStr">
        <is>
          <t>Ímpeto {1}{B}: Regenere Esqueleto do Casarão. / Haste {1}{B}: Regenerate Manor Skeleton.</t>
        </is>
      </c>
      <c r="E1162" s="11" t="inlineStr">
        <is>
          <t>{1}{B}</t>
        </is>
      </c>
      <c r="F1162" s="11" t="inlineStr">
        <is>
          <t>Preto / Black</t>
        </is>
      </c>
      <c r="G1162" s="8" t="n">
        <v>0.06</v>
      </c>
      <c r="H1162" s="11" t="inlineStr">
        <is>
          <t>Innistrad (ISD)</t>
        </is>
      </c>
      <c r="I1162" s="11" t="inlineStr">
        <is>
          <t>Não</t>
        </is>
      </c>
      <c r="J1162" s="11" t="n">
        <v>2011</v>
      </c>
      <c r="K1162" s="10" t="n">
        <v>46023</v>
      </c>
      <c r="L1162" s="11" t="n">
        <v>4</v>
      </c>
      <c r="M1162" s="8">
        <f>L1162*G1162</f>
        <v/>
      </c>
      <c r="P1162" s="9" t="n"/>
    </row>
    <row r="1163">
      <c r="A1163" s="11" t="inlineStr">
        <is>
          <t>Gnawing Zombie</t>
        </is>
      </c>
      <c r="B1163" s="11" t="inlineStr">
        <is>
          <t>Creature — Zombie</t>
        </is>
      </c>
      <c r="C1163" s="11" t="inlineStr">
        <is>
          <t>Common</t>
        </is>
      </c>
      <c r="D1163" s="11" t="inlineStr">
        <is>
          <t>{1}{B}, Sacrifice a creature: Target player loses 1 life and you gain 1 life.</t>
        </is>
      </c>
      <c r="E1163" s="11" t="inlineStr">
        <is>
          <t>{1}{B}</t>
        </is>
      </c>
      <c r="F1163" s="11" t="inlineStr">
        <is>
          <t>Black</t>
        </is>
      </c>
      <c r="G1163" s="8" t="n">
        <v>0.05</v>
      </c>
      <c r="H1163" s="11" t="inlineStr">
        <is>
          <t>Magic 2014 (M14)</t>
        </is>
      </c>
      <c r="I1163" s="11" t="inlineStr">
        <is>
          <t>No</t>
        </is>
      </c>
      <c r="J1163" s="11" t="n">
        <v>2013</v>
      </c>
      <c r="K1163" s="10" t="n">
        <v>46082</v>
      </c>
      <c r="L1163" s="11" t="n">
        <v>4</v>
      </c>
      <c r="M1163" s="8">
        <f>L1163*G1163</f>
        <v/>
      </c>
      <c r="P1163" s="9" t="n"/>
    </row>
    <row r="1164">
      <c r="A1164" s="11" t="inlineStr">
        <is>
          <t>Mark of the Vampire</t>
        </is>
      </c>
      <c r="B1164" s="11" t="inlineStr">
        <is>
          <t>Enchantment — Aura</t>
        </is>
      </c>
      <c r="C1164" s="11" t="inlineStr">
        <is>
          <t>Common</t>
        </is>
      </c>
      <c r="D1164" s="11" t="inlineStr">
        <is>
          <t>Enchant creature. Enchanted creature gets +2/+2 and has lifelink.</t>
        </is>
      </c>
      <c r="E1164" s="11" t="inlineStr">
        <is>
          <t>{3}{B}</t>
        </is>
      </c>
      <c r="F1164" s="11" t="inlineStr">
        <is>
          <t>Black</t>
        </is>
      </c>
      <c r="G1164" s="8" t="n">
        <v>0.03</v>
      </c>
      <c r="H1164" s="11" t="inlineStr">
        <is>
          <t>Ultimate Masters (UMA)</t>
        </is>
      </c>
      <c r="I1164" s="11" t="inlineStr">
        <is>
          <t>No</t>
        </is>
      </c>
      <c r="J1164" s="11" t="n">
        <v>2018</v>
      </c>
      <c r="L1164" s="11" t="n">
        <v>4</v>
      </c>
      <c r="M1164" s="8">
        <f>L1164*G1164</f>
        <v/>
      </c>
      <c r="P1164" s="9" t="n"/>
    </row>
    <row r="1165">
      <c r="A1165" s="11" t="inlineStr">
        <is>
          <t>Diplomacia ao Fio da Espada / Sword-Point Diplomacy</t>
        </is>
      </c>
      <c r="B1165" s="11" t="inlineStr">
        <is>
          <t>Feitiço / Sorcery</t>
        </is>
      </c>
      <c r="C1165" s="11" t="inlineStr">
        <is>
          <t>Rara / Rare</t>
        </is>
      </c>
      <c r="D1165" s="11"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5" s="11" t="inlineStr">
        <is>
          <t>{2}{B}</t>
        </is>
      </c>
      <c r="F1165" s="11" t="inlineStr">
        <is>
          <t>Preto / Black</t>
        </is>
      </c>
      <c r="G1165" s="8" t="n">
        <v>0.37</v>
      </c>
      <c r="H1165" s="11" t="inlineStr">
        <is>
          <t>Ixalan (XLN)</t>
        </is>
      </c>
      <c r="I1165" s="11" t="inlineStr">
        <is>
          <t>Não</t>
        </is>
      </c>
      <c r="J1165" s="11" t="n">
        <v>2017</v>
      </c>
      <c r="L1165" s="11" t="n">
        <v>1</v>
      </c>
      <c r="M1165" s="8">
        <f>L1165*G1165</f>
        <v/>
      </c>
      <c r="P1165" s="9" t="n"/>
    </row>
    <row r="1166">
      <c r="A1166" s="11" t="inlineStr">
        <is>
          <t>Memoricídio / Memoricide</t>
        </is>
      </c>
      <c r="B1166" s="11" t="inlineStr">
        <is>
          <t>Feitiço / Sorcery</t>
        </is>
      </c>
      <c r="C1166" s="11" t="inlineStr">
        <is>
          <t>Rara / Rare</t>
        </is>
      </c>
      <c r="D1166" s="11"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6" s="11" t="inlineStr">
        <is>
          <t>{3}{B}</t>
        </is>
      </c>
      <c r="F1166" s="11" t="inlineStr">
        <is>
          <t>Preto / Black</t>
        </is>
      </c>
      <c r="G1166" s="8" t="n">
        <v>0.4</v>
      </c>
      <c r="H1166" s="11" t="inlineStr">
        <is>
          <t>Scars of Mirrodin (SOM)</t>
        </is>
      </c>
      <c r="I1166" s="11" t="inlineStr">
        <is>
          <t>Não</t>
        </is>
      </c>
      <c r="J1166" s="11" t="n">
        <v>2010</v>
      </c>
      <c r="L1166" s="11" t="n">
        <v>1</v>
      </c>
      <c r="M1166" s="8">
        <f>L1166*G1166</f>
        <v/>
      </c>
      <c r="P1166" s="9" t="n"/>
    </row>
    <row r="1167">
      <c r="A1167" s="11" t="inlineStr">
        <is>
          <t>Gonti, Senhor da Opulência / Gonti, Lord of Luxury</t>
        </is>
      </c>
      <c r="B1167" s="11" t="inlineStr">
        <is>
          <t>Criatura Lendária — Etergênito Ladino / Legendary Creature — Aetherborn Rogue</t>
        </is>
      </c>
      <c r="C1167" s="11" t="inlineStr">
        <is>
          <t>Rara / Rare</t>
        </is>
      </c>
      <c r="D1167" s="11"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7" s="11" t="inlineStr">
        <is>
          <t>{2}{B}{B}</t>
        </is>
      </c>
      <c r="F1167" s="11" t="inlineStr">
        <is>
          <t>Preto / Black</t>
        </is>
      </c>
      <c r="G1167" s="8" t="n">
        <v>0.38</v>
      </c>
      <c r="H1167" s="11" t="inlineStr">
        <is>
          <t>Adventures in the Forgotten Realms Commander (AFC)</t>
        </is>
      </c>
      <c r="I1167" s="11" t="inlineStr">
        <is>
          <t>Não</t>
        </is>
      </c>
      <c r="J1167" s="11" t="n">
        <v>2021</v>
      </c>
      <c r="K1167" s="10" t="n">
        <v>46083</v>
      </c>
      <c r="L1167" s="11" t="n">
        <v>1</v>
      </c>
      <c r="M1167" s="8">
        <f>L1167*G1167</f>
        <v/>
      </c>
      <c r="P1167" s="9" t="n"/>
    </row>
    <row r="1168">
      <c r="A1168" s="11" t="inlineStr">
        <is>
          <t>King Macar, the Gold-Cursed / Macar, Rei do Toque Maldito</t>
        </is>
      </c>
      <c r="B1168" s="11" t="inlineStr">
        <is>
          <t>Legendary Creature — Human Noble / Criatura Lendária — Humano</t>
        </is>
      </c>
      <c r="C1168" s="11" t="inlineStr">
        <is>
          <t>Rare / Rara</t>
        </is>
      </c>
      <c r="D1168" s="11" t="inlineStr">
        <is>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is>
      </c>
      <c r="E1168" s="11" t="inlineStr">
        <is>
          <t>{2}{B}{B}</t>
        </is>
      </c>
      <c r="F1168" s="11" t="inlineStr">
        <is>
          <t>Preto</t>
        </is>
      </c>
      <c r="G1168" s="8" t="n">
        <v>0.45</v>
      </c>
      <c r="H1168" s="11" t="inlineStr">
        <is>
          <t>Journey into Nyx (JOU)</t>
        </is>
      </c>
      <c r="I1168" s="11" t="inlineStr">
        <is>
          <t>Não</t>
        </is>
      </c>
      <c r="J1168" s="11" t="n">
        <v>2014</v>
      </c>
      <c r="K1168" s="10" t="n">
        <v>46083</v>
      </c>
      <c r="L1168" s="11" t="n">
        <v>2</v>
      </c>
      <c r="M1168" s="8">
        <f>L1168*G1168</f>
        <v/>
      </c>
      <c r="P1168" s="9" t="n"/>
    </row>
    <row r="1169">
      <c r="A1169" s="11" t="inlineStr">
        <is>
          <t>Torgaar, Penúria Incarnada / Torgaar, Famine Incarnate</t>
        </is>
      </c>
      <c r="B1169" s="11" t="inlineStr">
        <is>
          <t>Criatura Lendária — Avatar / Legendary Creature — Avatar</t>
        </is>
      </c>
      <c r="C1169" s="11" t="inlineStr">
        <is>
          <t>Rara / Rare</t>
        </is>
      </c>
      <c r="D1169" s="11"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9" s="11" t="inlineStr">
        <is>
          <t>{6}{B}{B}</t>
        </is>
      </c>
      <c r="F1169" s="11" t="inlineStr">
        <is>
          <t>Preto / Black</t>
        </is>
      </c>
      <c r="G1169" s="8" t="n">
        <v>0.39</v>
      </c>
      <c r="H1169" s="11" t="inlineStr">
        <is>
          <t>Dominaria (DOM)</t>
        </is>
      </c>
      <c r="I1169" s="11" t="inlineStr">
        <is>
          <t>Não</t>
        </is>
      </c>
      <c r="J1169" s="11" t="n">
        <v>2018</v>
      </c>
      <c r="K1169" s="10" t="n">
        <v>46180</v>
      </c>
      <c r="L1169" s="11" t="n">
        <v>1</v>
      </c>
      <c r="M1169" s="8">
        <f>L1169*G1169</f>
        <v/>
      </c>
      <c r="P1169" s="9" t="n"/>
    </row>
    <row r="1170">
      <c r="A1170" s="11" t="inlineStr">
        <is>
          <t>Village Rites</t>
        </is>
      </c>
      <c r="B1170" s="11" t="inlineStr">
        <is>
          <t>Instant</t>
        </is>
      </c>
      <c r="C1170" s="11" t="inlineStr">
        <is>
          <t>Common</t>
        </is>
      </c>
      <c r="D1170" s="11" t="inlineStr">
        <is>
          <t>As an additional cost to cast this spell, sacrifice a creature. Draw two cards.</t>
        </is>
      </c>
      <c r="E1170" s="11" t="inlineStr">
        <is>
          <t>{B}</t>
        </is>
      </c>
      <c r="F1170" s="11" t="inlineStr">
        <is>
          <t>Black</t>
        </is>
      </c>
      <c r="G1170" s="8" t="n">
        <v>4</v>
      </c>
      <c r="H1170" s="11" t="inlineStr">
        <is>
          <t>Innistrad Remastered (INR)</t>
        </is>
      </c>
      <c r="I1170" s="11" t="inlineStr">
        <is>
          <t>Sim</t>
        </is>
      </c>
      <c r="J1170" s="11" t="n">
        <v>2025</v>
      </c>
      <c r="L1170" s="11" t="n">
        <v>1</v>
      </c>
      <c r="M1170" s="8">
        <f>L1170*G1170</f>
        <v/>
      </c>
      <c r="P1170" s="9" t="n"/>
    </row>
    <row r="1171">
      <c r="A1171" s="11" t="inlineStr">
        <is>
          <t>Exsanguinate</t>
        </is>
      </c>
      <c r="B1171" s="11" t="inlineStr">
        <is>
          <t>Sorcery</t>
        </is>
      </c>
      <c r="C1171" s="11" t="inlineStr">
        <is>
          <t>Uncommon</t>
        </is>
      </c>
      <c r="D1171" s="11" t="inlineStr">
        <is>
          <t>Each opponent loses X life. You gain life equal to the life lost this way.</t>
        </is>
      </c>
      <c r="E1171" s="11" t="inlineStr">
        <is>
          <t>{X}{B}{B}</t>
        </is>
      </c>
      <c r="F1171" s="11" t="inlineStr">
        <is>
          <t>Black</t>
        </is>
      </c>
      <c r="G1171" s="8" t="n">
        <v>3.41</v>
      </c>
      <c r="H1171" s="11" t="inlineStr">
        <is>
          <t>Foundations (FDN)</t>
        </is>
      </c>
      <c r="I1171" s="11" t="inlineStr">
        <is>
          <t>No</t>
        </is>
      </c>
      <c r="J1171" s="11" t="n">
        <v>2024</v>
      </c>
      <c r="L1171" s="11" t="n">
        <v>1</v>
      </c>
      <c r="M1171" s="8">
        <f>L1171*G1171</f>
        <v/>
      </c>
      <c r="P1171" s="9" t="n"/>
    </row>
    <row r="1172">
      <c r="A1172" s="11" t="inlineStr">
        <is>
          <t>Summit Sentinel</t>
        </is>
      </c>
      <c r="B1172" s="11" t="inlineStr">
        <is>
          <t>Creature — Elemental Soldier</t>
        </is>
      </c>
      <c r="C1172" s="11" t="inlineStr">
        <is>
          <t>Common</t>
        </is>
      </c>
      <c r="D1172" s="11" t="inlineStr">
        <is>
          <t>When this creature dies, draw a card.</t>
        </is>
      </c>
      <c r="E1172" s="11" t="inlineStr">
        <is>
          <t>{1}{U}</t>
        </is>
      </c>
      <c r="F1172" s="11" t="inlineStr">
        <is>
          <t>Blue</t>
        </is>
      </c>
      <c r="G1172" s="8" t="n">
        <v>0.1</v>
      </c>
      <c r="H1172" s="11" t="inlineStr">
        <is>
          <t>Lorwyn Eclipsed (ECL)</t>
        </is>
      </c>
      <c r="I1172" s="11" t="inlineStr">
        <is>
          <t>No</t>
        </is>
      </c>
      <c r="J1172" s="11" t="n">
        <v>2026</v>
      </c>
      <c r="K1172" s="10" t="n">
        <v>46082</v>
      </c>
      <c r="L1172" s="11" t="n">
        <v>1</v>
      </c>
      <c r="M1172" s="8">
        <f>L1172*G1172</f>
        <v/>
      </c>
      <c r="P1172" s="9" t="n"/>
    </row>
    <row r="1173">
      <c r="A1173" s="11" t="inlineStr">
        <is>
          <t>Temporal Cleansing / Limpeza Temporal</t>
        </is>
      </c>
      <c r="B1173" s="11" t="inlineStr">
        <is>
          <t>Feitiço / Sorcery</t>
        </is>
      </c>
      <c r="C1173" s="11" t="inlineStr">
        <is>
          <t>Comum / Common</t>
        </is>
      </c>
      <c r="D1173" s="11"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73" s="11" t="inlineStr">
        <is>
          <t>{3}{U}</t>
        </is>
      </c>
      <c r="F1173" s="11" t="inlineStr">
        <is>
          <t>Azul / Blue</t>
        </is>
      </c>
      <c r="G1173" s="8" t="n">
        <v>0.05</v>
      </c>
      <c r="H1173" s="11" t="inlineStr">
        <is>
          <t>Lorwyn Eclipsed (ECL)</t>
        </is>
      </c>
      <c r="I1173" s="11" t="inlineStr">
        <is>
          <t>Não</t>
        </is>
      </c>
      <c r="J1173" s="11" t="n">
        <v>2026</v>
      </c>
      <c r="L1173" s="11" t="n">
        <v>2</v>
      </c>
      <c r="M1173" s="8">
        <f>L1173*G1173</f>
        <v/>
      </c>
      <c r="P1173" s="9" t="n"/>
    </row>
    <row r="1174">
      <c r="A1174" s="11" t="inlineStr">
        <is>
          <t>Blossombind</t>
        </is>
      </c>
      <c r="B1174" s="11" t="inlineStr">
        <is>
          <t>Enchantment — Aura</t>
        </is>
      </c>
      <c r="C1174" s="11" t="inlineStr">
        <is>
          <t>Common</t>
        </is>
      </c>
      <c r="D1174" s="11" t="inlineStr">
        <is>
          <t>Enchant creature. When this Aura enters, tap enchanted creature. Enchanted creature can't become untapped and can't have counters put on it.</t>
        </is>
      </c>
      <c r="E1174" s="11" t="inlineStr">
        <is>
          <t>{1}{U}</t>
        </is>
      </c>
      <c r="F1174" s="11" t="inlineStr">
        <is>
          <t>Blue</t>
        </is>
      </c>
      <c r="G1174" s="8" t="n">
        <v>0.15</v>
      </c>
      <c r="H1174" s="11" t="inlineStr">
        <is>
          <t>Lorwyn Eclipsed (ECL)</t>
        </is>
      </c>
      <c r="I1174" s="11" t="inlineStr">
        <is>
          <t>No</t>
        </is>
      </c>
      <c r="J1174" s="11" t="n">
        <v>2026</v>
      </c>
      <c r="L1174" s="11" t="n">
        <v>1</v>
      </c>
      <c r="M1174" s="8">
        <f>L1174*G1174</f>
        <v/>
      </c>
      <c r="P1174" s="9" t="n"/>
    </row>
    <row r="1175">
      <c r="A1175" s="11" t="inlineStr">
        <is>
          <t>Thirst for Identity</t>
        </is>
      </c>
      <c r="B1175" s="11" t="inlineStr">
        <is>
          <t>Instant</t>
        </is>
      </c>
      <c r="C1175" s="11" t="inlineStr">
        <is>
          <t>Uncommon</t>
        </is>
      </c>
      <c r="D1175" s="11" t="inlineStr">
        <is>
          <t>Draw three cards. Then discard two cards unless you discard a creature card.</t>
        </is>
      </c>
      <c r="E1175" s="11" t="inlineStr">
        <is>
          <t>{2}{U}</t>
        </is>
      </c>
      <c r="F1175" s="11" t="inlineStr">
        <is>
          <t>Blue</t>
        </is>
      </c>
      <c r="G1175" s="8" t="n">
        <v>0.09</v>
      </c>
      <c r="H1175" s="11" t="inlineStr">
        <is>
          <t>Lorwyn Eclipsed (ECL)</t>
        </is>
      </c>
      <c r="I1175" s="11" t="inlineStr">
        <is>
          <t>No</t>
        </is>
      </c>
      <c r="J1175" s="11" t="n">
        <v>2026</v>
      </c>
      <c r="L1175" s="11" t="n">
        <v>1</v>
      </c>
      <c r="M1175" s="8">
        <f>L1175*G1175</f>
        <v/>
      </c>
      <c r="P1175" s="9" t="n"/>
    </row>
    <row r="1176">
      <c r="A1176" s="11" t="inlineStr">
        <is>
          <t>Wanderbrine Preacher</t>
        </is>
      </c>
      <c r="B1176" s="11" t="inlineStr">
        <is>
          <t>Creature — Merfolk Cleric</t>
        </is>
      </c>
      <c r="C1176" s="11" t="inlineStr">
        <is>
          <t>Common</t>
        </is>
      </c>
      <c r="D1176" s="11" t="inlineStr">
        <is>
          <t>Whenever this creature becomes tapped, you gain 2 life.</t>
        </is>
      </c>
      <c r="E1176" s="11" t="inlineStr">
        <is>
          <t>{1}{W}</t>
        </is>
      </c>
      <c r="F1176" s="11" t="inlineStr">
        <is>
          <t>White</t>
        </is>
      </c>
      <c r="G1176" s="8" t="n">
        <v>0.09</v>
      </c>
      <c r="H1176" s="11" t="inlineStr">
        <is>
          <t>Lorwyn Eclipsed (ECL)</t>
        </is>
      </c>
      <c r="I1176" s="11" t="inlineStr">
        <is>
          <t>No</t>
        </is>
      </c>
      <c r="J1176" s="11" t="n">
        <v>2026</v>
      </c>
      <c r="K1176" s="10" t="n">
        <v>46055</v>
      </c>
      <c r="L1176" s="11" t="n">
        <v>2</v>
      </c>
      <c r="M1176" s="8">
        <f>L1176*G1176</f>
        <v/>
      </c>
      <c r="P1176" s="9" t="n"/>
    </row>
    <row r="1177">
      <c r="A1177" s="11" t="inlineStr">
        <is>
          <t>Tributary Vaulter</t>
        </is>
      </c>
      <c r="B1177" s="11" t="inlineStr">
        <is>
          <t>Creature — Merfolk Warrior</t>
        </is>
      </c>
      <c r="C1177" s="11" t="inlineStr">
        <is>
          <t>Common</t>
        </is>
      </c>
      <c r="D1177" s="11" t="inlineStr">
        <is>
          <t>Flying. Whenever this creature becomes tapped, another target Merfolk you control gets +2/+0 until end of turn.</t>
        </is>
      </c>
      <c r="E1177" s="11" t="inlineStr">
        <is>
          <t>{2}{W}</t>
        </is>
      </c>
      <c r="F1177" s="11" t="inlineStr">
        <is>
          <t>White</t>
        </is>
      </c>
      <c r="G1177" s="8" t="n">
        <v>0.2</v>
      </c>
      <c r="H1177" s="11" t="inlineStr">
        <is>
          <t>Lorwyn Eclipsed (ECL)</t>
        </is>
      </c>
      <c r="I1177" s="11" t="inlineStr">
        <is>
          <t>Sim</t>
        </is>
      </c>
      <c r="J1177" s="11" t="n">
        <v>2026</v>
      </c>
      <c r="K1177" s="10" t="n">
        <v>46082</v>
      </c>
      <c r="L1177" s="11" t="n">
        <v>1</v>
      </c>
      <c r="M1177" s="8">
        <f>L1177*G1177</f>
        <v/>
      </c>
      <c r="P1177" s="9" t="n"/>
    </row>
    <row r="1178">
      <c r="A1178" s="11" t="inlineStr">
        <is>
          <t>Chitinous Graspling</t>
        </is>
      </c>
      <c r="B1178" s="11" t="inlineStr">
        <is>
          <t>Creature — Shapeshifter</t>
        </is>
      </c>
      <c r="C1178" s="11" t="inlineStr">
        <is>
          <t>Common</t>
        </is>
      </c>
      <c r="D1178" s="11" t="inlineStr">
        <is>
          <t>Changeling (This card is every creature type.) Reach.</t>
        </is>
      </c>
      <c r="E1178" s="11" t="inlineStr">
        <is>
          <t>{3}{G/U}</t>
        </is>
      </c>
      <c r="F1178" s="11" t="inlineStr">
        <is>
          <t>Green/Blue</t>
        </is>
      </c>
      <c r="G1178" s="8" t="n">
        <v>0.1</v>
      </c>
      <c r="H1178" s="11" t="inlineStr">
        <is>
          <t>Lorwyn Eclipsed (ECL)</t>
        </is>
      </c>
      <c r="I1178" s="11" t="inlineStr">
        <is>
          <t>No</t>
        </is>
      </c>
      <c r="J1178" s="11" t="n">
        <v>2026</v>
      </c>
      <c r="K1178" s="10" t="n">
        <v>46115</v>
      </c>
      <c r="L1178" s="11" t="n">
        <v>3</v>
      </c>
      <c r="M1178" s="8">
        <f>L1178*G1178</f>
        <v/>
      </c>
      <c r="P1178" s="9" t="n"/>
    </row>
    <row r="1179">
      <c r="A1179" s="11" t="inlineStr">
        <is>
          <t>Reckless Ransacking</t>
        </is>
      </c>
      <c r="B1179" s="11" t="inlineStr">
        <is>
          <t>Instant</t>
        </is>
      </c>
      <c r="C1179" s="11" t="inlineStr">
        <is>
          <t>Common</t>
        </is>
      </c>
      <c r="D1179" s="11" t="inlineStr">
        <is>
          <t>Target creature gets +3/+2 until end of turn. Create a Treasure token. (It's an artifact with "{T}, Sacrifice this token: Add one mana of any color.")</t>
        </is>
      </c>
      <c r="E1179" s="11" t="inlineStr">
        <is>
          <t>{1}{R}</t>
        </is>
      </c>
      <c r="F1179" s="11" t="inlineStr">
        <is>
          <t>Red</t>
        </is>
      </c>
      <c r="G1179" s="8" t="n">
        <v>0.1</v>
      </c>
      <c r="H1179" s="11" t="inlineStr">
        <is>
          <t>Lorwyn Eclipsed (ECL)</t>
        </is>
      </c>
      <c r="I1179" s="11" t="inlineStr">
        <is>
          <t>No</t>
        </is>
      </c>
      <c r="J1179" s="11" t="n">
        <v>2026</v>
      </c>
      <c r="L1179" s="11" t="n">
        <v>1</v>
      </c>
      <c r="M1179" s="8">
        <f>L1179*G1179</f>
        <v/>
      </c>
      <c r="P1179" s="9" t="n"/>
    </row>
    <row r="1180">
      <c r="A1180" s="11" t="inlineStr">
        <is>
          <t>Lasting Tarfire</t>
        </is>
      </c>
      <c r="B1180" s="11" t="inlineStr">
        <is>
          <t>Enchantment</t>
        </is>
      </c>
      <c r="C1180" s="11" t="inlineStr">
        <is>
          <t>Uncommon</t>
        </is>
      </c>
      <c r="D1180" s="11" t="inlineStr">
        <is>
          <t>At the beginning of each end step, if you put a counter on a creature this turn, this enchantment deals 2 damage to each opponent.</t>
        </is>
      </c>
      <c r="E1180" s="11" t="inlineStr">
        <is>
          <t>{1}{R}</t>
        </is>
      </c>
      <c r="F1180" s="11" t="inlineStr">
        <is>
          <t>Red</t>
        </is>
      </c>
      <c r="G1180" s="8" t="n">
        <v>0.15</v>
      </c>
      <c r="H1180" s="11" t="inlineStr">
        <is>
          <t>Lorwyn Eclipsed (ECL)</t>
        </is>
      </c>
      <c r="I1180" s="11" t="inlineStr">
        <is>
          <t>No</t>
        </is>
      </c>
      <c r="J1180" s="11" t="n">
        <v>2026</v>
      </c>
      <c r="L1180" s="11" t="n">
        <v>1</v>
      </c>
      <c r="M1180" s="8">
        <f>L1180*G1180</f>
        <v/>
      </c>
      <c r="P1180" s="9" t="n"/>
    </row>
    <row r="1181">
      <c r="A1181" s="11" t="inlineStr">
        <is>
          <t>Soulbright Seeker</t>
        </is>
      </c>
      <c r="B1181" s="11" t="inlineStr">
        <is>
          <t>Creature — Elemental Sorcerer</t>
        </is>
      </c>
      <c r="C1181" s="11" t="inlineStr">
        <is>
          <t>Uncommon / Incomum</t>
        </is>
      </c>
      <c r="D1181" s="11"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81" s="11" t="inlineStr">
        <is>
          <t>{R}</t>
        </is>
      </c>
      <c r="F1181" s="11" t="inlineStr">
        <is>
          <t>Vermelho</t>
        </is>
      </c>
      <c r="G1181" s="8" t="n">
        <v>0.19</v>
      </c>
      <c r="H1181" s="11" t="inlineStr">
        <is>
          <t>Lorwyn Eclipsed (ECL)</t>
        </is>
      </c>
      <c r="I1181" s="11" t="inlineStr">
        <is>
          <t>Não</t>
        </is>
      </c>
      <c r="J1181" s="11" t="n">
        <v>2026</v>
      </c>
      <c r="K1181" s="10" t="n">
        <v>46024</v>
      </c>
      <c r="L1181" s="11" t="n">
        <v>1</v>
      </c>
      <c r="M1181" s="8">
        <f>L1181*G1181</f>
        <v/>
      </c>
      <c r="P1181" s="9" t="n"/>
    </row>
    <row r="1182">
      <c r="A1182" s="11" t="inlineStr">
        <is>
          <t>Kulrath Zealot</t>
        </is>
      </c>
      <c r="B1182" s="11" t="inlineStr">
        <is>
          <t>Creature — Elemental Warrior</t>
        </is>
      </c>
      <c r="C1182" s="11" t="inlineStr">
        <is>
          <t>Common</t>
        </is>
      </c>
      <c r="D1182" s="11" t="inlineStr">
        <is>
          <t>When this creature enters, exile the top card of your library. Until the end of your next turn, you may play that card. Basic landcycling {1}{R} ({1}{R}, Discard this card: Search your library for a basic land card, reveal it, put it into your hand, then shuffle.)</t>
        </is>
      </c>
      <c r="E1182" s="11" t="inlineStr">
        <is>
          <t>{5}{R}</t>
        </is>
      </c>
      <c r="F1182" s="11" t="inlineStr">
        <is>
          <t>Red</t>
        </is>
      </c>
      <c r="G1182" s="8" t="n">
        <v>0.09</v>
      </c>
      <c r="H1182" s="11" t="inlineStr">
        <is>
          <t>Lorwyn Eclipsed (ECL)</t>
        </is>
      </c>
      <c r="I1182" s="11" t="inlineStr">
        <is>
          <t>No</t>
        </is>
      </c>
      <c r="J1182" s="11" t="n">
        <v>2026</v>
      </c>
      <c r="K1182" s="10" t="n">
        <v>46148</v>
      </c>
      <c r="L1182" s="11" t="n">
        <v>1</v>
      </c>
      <c r="M1182" s="8">
        <f>L1182*G1182</f>
        <v/>
      </c>
      <c r="P1182" s="9" t="n"/>
    </row>
    <row r="1183">
      <c r="A1183" s="11" t="inlineStr">
        <is>
          <t>Feed the Flames</t>
        </is>
      </c>
      <c r="B1183" s="11" t="inlineStr">
        <is>
          <t>Instant</t>
        </is>
      </c>
      <c r="C1183" s="11" t="inlineStr">
        <is>
          <t>Common</t>
        </is>
      </c>
      <c r="D1183" s="11" t="inlineStr">
        <is>
          <t>Feed the Flames deals 5 damage to target creature. If that creature would die this turn, exile it instead.</t>
        </is>
      </c>
      <c r="E1183" s="11" t="inlineStr">
        <is>
          <t>{3}{R}</t>
        </is>
      </c>
      <c r="F1183" s="11" t="inlineStr">
        <is>
          <t>Red</t>
        </is>
      </c>
      <c r="G1183" s="8" t="n">
        <v>0.05</v>
      </c>
      <c r="H1183" s="11" t="inlineStr">
        <is>
          <t>Lorwyn Eclipsed (ECL)</t>
        </is>
      </c>
      <c r="I1183" s="11" t="inlineStr">
        <is>
          <t>No</t>
        </is>
      </c>
      <c r="J1183" s="11" t="n">
        <v>2026</v>
      </c>
      <c r="L1183" s="11" t="n">
        <v>1</v>
      </c>
      <c r="M1183" s="8">
        <f>L1183*G1183</f>
        <v/>
      </c>
      <c r="P1183" s="9" t="n"/>
    </row>
    <row r="1184">
      <c r="A1184" s="11" t="inlineStr">
        <is>
          <t>Flame-Chain Mauler</t>
        </is>
      </c>
      <c r="B1184" s="11" t="inlineStr">
        <is>
          <t>Creature — Elemental Warrior</t>
        </is>
      </c>
      <c r="C1184" s="11" t="inlineStr">
        <is>
          <t>Common</t>
        </is>
      </c>
      <c r="D1184" s="11" t="inlineStr">
        <is>
          <t>{1}{R}: This creature gets +1/+0 and gains menace until end of turn. (It can't be blocked except by two or more creatures.)</t>
        </is>
      </c>
      <c r="E1184" s="11" t="inlineStr">
        <is>
          <t>{1}{R}</t>
        </is>
      </c>
      <c r="F1184" s="11" t="inlineStr">
        <is>
          <t>Red</t>
        </is>
      </c>
      <c r="G1184" s="8" t="n">
        <v>0.2</v>
      </c>
      <c r="H1184" s="11" t="inlineStr">
        <is>
          <t>Lorwyn Eclipsed (ECL)</t>
        </is>
      </c>
      <c r="I1184" s="11" t="inlineStr">
        <is>
          <t>Sim</t>
        </is>
      </c>
      <c r="J1184" s="11" t="n">
        <v>2026</v>
      </c>
      <c r="K1184" s="10" t="n">
        <v>46055</v>
      </c>
      <c r="L1184" s="11" t="n">
        <v>1</v>
      </c>
      <c r="M1184" s="8">
        <f>L1184*G1184</f>
        <v/>
      </c>
      <c r="P1184" s="9" t="n"/>
    </row>
    <row r="1185">
      <c r="A1185" s="11" t="inlineStr">
        <is>
          <t>Flame-Chain Mauler</t>
        </is>
      </c>
      <c r="B1185" s="11" t="inlineStr">
        <is>
          <t>Creature — Elemental Warrior</t>
        </is>
      </c>
      <c r="C1185" s="11" t="inlineStr">
        <is>
          <t>Common</t>
        </is>
      </c>
      <c r="D1185" s="11" t="inlineStr">
        <is>
          <t>{1}{R}: This creature gets +1/+0 and gains menace until end of turn. (It can't be blocked except by two or more creatures.)</t>
        </is>
      </c>
      <c r="E1185" s="11" t="inlineStr">
        <is>
          <t>{1}{R}</t>
        </is>
      </c>
      <c r="F1185" s="11" t="inlineStr">
        <is>
          <t>Red</t>
        </is>
      </c>
      <c r="G1185" s="8" t="n">
        <v>0.1</v>
      </c>
      <c r="H1185" s="11" t="inlineStr">
        <is>
          <t>Lorwyn Eclipsed (ECL)</t>
        </is>
      </c>
      <c r="I1185" s="11" t="inlineStr">
        <is>
          <t>No</t>
        </is>
      </c>
      <c r="J1185" s="11" t="n">
        <v>2026</v>
      </c>
      <c r="K1185" s="10" t="n">
        <v>46055</v>
      </c>
      <c r="L1185" s="11" t="n">
        <v>1</v>
      </c>
      <c r="M1185" s="8">
        <f>L1185*G1185</f>
        <v/>
      </c>
      <c r="P1185" s="9" t="n"/>
    </row>
    <row r="1186">
      <c r="A1186" s="11" t="inlineStr">
        <is>
          <t>Boneclub Berserker</t>
        </is>
      </c>
      <c r="B1186" s="11" t="inlineStr">
        <is>
          <t>Creature — Goblin Berserker</t>
        </is>
      </c>
      <c r="C1186" s="11" t="inlineStr">
        <is>
          <t>Common / Comum</t>
        </is>
      </c>
      <c r="D1186" s="11" t="inlineStr">
        <is>
          <t>This creature gets +2/+0 for each other Goblin you control.</t>
        </is>
      </c>
      <c r="E1186" s="11" t="inlineStr">
        <is>
          <t>{3}{R}</t>
        </is>
      </c>
      <c r="F1186" s="11" t="inlineStr">
        <is>
          <t>Vermelho</t>
        </is>
      </c>
      <c r="G1186" s="8" t="n">
        <v>0.1</v>
      </c>
      <c r="H1186" s="11" t="inlineStr">
        <is>
          <t>Lorwyn Eclipsed (ECL)</t>
        </is>
      </c>
      <c r="I1186" s="11" t="inlineStr">
        <is>
          <t>Não</t>
        </is>
      </c>
      <c r="J1186" s="11" t="n">
        <v>2026</v>
      </c>
      <c r="K1186" s="10" t="n">
        <v>46114</v>
      </c>
      <c r="L1186" s="11" t="n">
        <v>1</v>
      </c>
      <c r="M1186" s="8">
        <f>L1186*G1186</f>
        <v/>
      </c>
      <c r="P1186" s="9" t="n"/>
    </row>
    <row r="1187">
      <c r="A1187" s="11" t="inlineStr">
        <is>
          <t>Goblin Heelcutter / Goblin Corta-calcanhar</t>
        </is>
      </c>
      <c r="B1187" s="11" t="inlineStr">
        <is>
          <t>Creature — Goblin Berserker / Criatura — Goblin Amoque</t>
        </is>
      </c>
      <c r="C1187" s="11" t="inlineStr">
        <is>
          <t>Common / Comum</t>
        </is>
      </c>
      <c r="D1187" s="11"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7" s="11" t="inlineStr">
        <is>
          <t>{3}{R}</t>
        </is>
      </c>
      <c r="F1187" s="11" t="inlineStr">
        <is>
          <t>Vermelho</t>
        </is>
      </c>
      <c r="G1187" s="8" t="n">
        <v>0.08</v>
      </c>
      <c r="H1187" s="11" t="inlineStr">
        <is>
          <t>Fate Reforged (FRF)</t>
        </is>
      </c>
      <c r="I1187" s="11" t="inlineStr">
        <is>
          <t>Não</t>
        </is>
      </c>
      <c r="J1187" s="11" t="n">
        <v>2015</v>
      </c>
      <c r="K1187" s="10" t="n">
        <v>46056</v>
      </c>
      <c r="L1187" s="11" t="n">
        <v>1</v>
      </c>
      <c r="M1187" s="8">
        <f>L1187*G1187</f>
        <v/>
      </c>
      <c r="P1187" s="9" t="n"/>
    </row>
    <row r="1188">
      <c r="A1188" s="11" t="inlineStr">
        <is>
          <t>Elder Auntie</t>
        </is>
      </c>
      <c r="B1188" s="11" t="inlineStr">
        <is>
          <t>Creature — Goblin Warlock</t>
        </is>
      </c>
      <c r="C1188" s="11" t="inlineStr">
        <is>
          <t>Common / Comum</t>
        </is>
      </c>
      <c r="D1188" s="11" t="inlineStr">
        <is>
          <t>When this creature enters, create a 1/1 black and red Goblin creature token.</t>
        </is>
      </c>
      <c r="E1188" s="11" t="inlineStr">
        <is>
          <t>{2}{R}</t>
        </is>
      </c>
      <c r="F1188" s="11" t="inlineStr">
        <is>
          <t>Vermelho</t>
        </is>
      </c>
      <c r="G1188" s="8" t="n">
        <v>0.1</v>
      </c>
      <c r="H1188" s="11" t="inlineStr">
        <is>
          <t>Lorwyn Eclipsed (ECL)</t>
        </is>
      </c>
      <c r="I1188" s="11" t="inlineStr">
        <is>
          <t>Não</t>
        </is>
      </c>
      <c r="J1188" s="11" t="n">
        <v>2026</v>
      </c>
      <c r="K1188" s="10" t="n">
        <v>46055</v>
      </c>
      <c r="L1188" s="11" t="n">
        <v>1</v>
      </c>
      <c r="M1188" s="8">
        <f>L1188*G1188</f>
        <v/>
      </c>
      <c r="P1188" s="9" t="n"/>
    </row>
    <row r="1189">
      <c r="A1189" s="11" t="inlineStr">
        <is>
          <t>Elder Auntie</t>
        </is>
      </c>
      <c r="B1189" s="11" t="inlineStr">
        <is>
          <t>Creature — Goblin Warlock</t>
        </is>
      </c>
      <c r="C1189" s="11" t="inlineStr">
        <is>
          <t>Common / Comum</t>
        </is>
      </c>
      <c r="D1189" s="11" t="inlineStr">
        <is>
          <t>When this creature enters, create a 1/1 black and red Goblin creature token.</t>
        </is>
      </c>
      <c r="E1189" s="11" t="inlineStr">
        <is>
          <t>{2}{R}</t>
        </is>
      </c>
      <c r="F1189" s="11" t="inlineStr">
        <is>
          <t>Vermelho</t>
        </is>
      </c>
      <c r="G1189" s="8" t="n">
        <v>0.25</v>
      </c>
      <c r="H1189" s="11" t="inlineStr">
        <is>
          <t>Lorwyn Eclipsed (ECL)</t>
        </is>
      </c>
      <c r="I1189" s="11" t="inlineStr">
        <is>
          <t>Sim</t>
        </is>
      </c>
      <c r="J1189" s="11" t="n">
        <v>2026</v>
      </c>
      <c r="K1189" s="10" t="n">
        <v>46055</v>
      </c>
      <c r="L1189" s="11" t="n">
        <v>1</v>
      </c>
      <c r="M1189" s="8">
        <f>L1189*G1189</f>
        <v/>
      </c>
      <c r="P1189" s="9" t="n"/>
    </row>
    <row r="1190">
      <c r="A1190" s="11" t="inlineStr">
        <is>
          <t>Flamekin Gildweaver</t>
        </is>
      </c>
      <c r="B1190" s="11" t="inlineStr">
        <is>
          <t>Creature — Elemental Sorcerer</t>
        </is>
      </c>
      <c r="C1190" s="11" t="inlineStr">
        <is>
          <t>Common / Comum</t>
        </is>
      </c>
      <c r="D1190" s="11" t="inlineStr">
        <is>
          <t>Trample When this creature enters, create a Treasure token. (It's an artifact with "{T}, Sacrifice this token: Add one mana of any color.")</t>
        </is>
      </c>
      <c r="E1190" s="11" t="inlineStr">
        <is>
          <t>{3}{R}</t>
        </is>
      </c>
      <c r="F1190" s="11" t="inlineStr">
        <is>
          <t>Vermelho</t>
        </is>
      </c>
      <c r="G1190" s="8" t="n">
        <v>0.11</v>
      </c>
      <c r="H1190" s="11" t="inlineStr">
        <is>
          <t>Lorwyn Eclipsed (ECL)</t>
        </is>
      </c>
      <c r="I1190" s="11" t="inlineStr">
        <is>
          <t>Não</t>
        </is>
      </c>
      <c r="J1190" s="11" t="n">
        <v>2026</v>
      </c>
      <c r="K1190" s="10" t="n">
        <v>46085</v>
      </c>
      <c r="L1190" s="11" t="n">
        <v>1</v>
      </c>
      <c r="M1190" s="8">
        <f>L1190*G1190</f>
        <v/>
      </c>
      <c r="P1190" s="9" t="n"/>
    </row>
    <row r="1191">
      <c r="A1191" s="11" t="inlineStr">
        <is>
          <t>Gristle Glutton</t>
        </is>
      </c>
      <c r="B1191" s="11" t="inlineStr">
        <is>
          <t>Creature — Goblin Scout</t>
        </is>
      </c>
      <c r="C1191" s="11" t="inlineStr">
        <is>
          <t>Common / Comum</t>
        </is>
      </c>
      <c r="D1191" s="11" t="inlineStr">
        <is>
          <t>{T}, Blight 1: Discard a card. If you do, draw a card. (To blight 1, put a -1/-1 counter on a creature you control.)</t>
        </is>
      </c>
      <c r="E1191" s="11" t="inlineStr">
        <is>
          <t>{1}{R}</t>
        </is>
      </c>
      <c r="F1191" s="11" t="inlineStr">
        <is>
          <t>Vermelho</t>
        </is>
      </c>
      <c r="G1191" s="8" t="n">
        <v>0.1</v>
      </c>
      <c r="H1191" s="11" t="inlineStr">
        <is>
          <t>Lorwyn Eclipsed (ECL)</t>
        </is>
      </c>
      <c r="I1191" s="11" t="inlineStr">
        <is>
          <t>Não</t>
        </is>
      </c>
      <c r="J1191" s="11" t="n">
        <v>2026</v>
      </c>
      <c r="K1191" s="10" t="n">
        <v>46082</v>
      </c>
      <c r="L1191" s="11" t="n">
        <v>2</v>
      </c>
      <c r="M1191" s="8">
        <f>L1191*G1191</f>
        <v/>
      </c>
      <c r="P1191" s="9" t="n"/>
    </row>
    <row r="1192">
      <c r="A1192" s="11" t="inlineStr">
        <is>
          <t>Impolite Entrance</t>
        </is>
      </c>
      <c r="B1192" s="11" t="inlineStr">
        <is>
          <t>Sorcery</t>
        </is>
      </c>
      <c r="C1192" s="11" t="inlineStr">
        <is>
          <t>Uncommon</t>
        </is>
      </c>
      <c r="D1192" s="11" t="inlineStr">
        <is>
          <t>Target creature gains trample and haste until end of turn. Draw a card.</t>
        </is>
      </c>
      <c r="E1192" s="11" t="inlineStr">
        <is>
          <t>{R}</t>
        </is>
      </c>
      <c r="F1192" s="11" t="inlineStr">
        <is>
          <t>Vermelho</t>
        </is>
      </c>
      <c r="G1192" s="8" t="n">
        <v>0.1</v>
      </c>
      <c r="H1192" s="11" t="inlineStr">
        <is>
          <t>Lorwyn Eclipsed (ECL)</t>
        </is>
      </c>
      <c r="I1192" s="11" t="inlineStr">
        <is>
          <t>No</t>
        </is>
      </c>
      <c r="J1192" s="11" t="n">
        <v>2026</v>
      </c>
      <c r="L1192" s="11" t="n">
        <v>2</v>
      </c>
      <c r="M1192" s="8">
        <f>L1192*G1192</f>
        <v/>
      </c>
      <c r="P1192" s="9" t="n"/>
    </row>
    <row r="1193">
      <c r="A1193" s="11" t="inlineStr">
        <is>
          <t>Sizzling Changeling</t>
        </is>
      </c>
      <c r="B1193" s="11" t="inlineStr">
        <is>
          <t>Creature — Shapeshifter</t>
        </is>
      </c>
      <c r="C1193" s="11" t="inlineStr">
        <is>
          <t>Uncommon</t>
        </is>
      </c>
      <c r="D1193" s="11" t="inlineStr">
        <is>
          <t>Changeling (This card is every creature type.) When this creature dies, exile the top card of your library. Until the end of your next turn, you may play that card.</t>
        </is>
      </c>
      <c r="E1193" s="11" t="inlineStr">
        <is>
          <t>{2}{R}</t>
        </is>
      </c>
      <c r="F1193" s="11" t="inlineStr">
        <is>
          <t>Vermelho</t>
        </is>
      </c>
      <c r="G1193" s="8" t="n">
        <v>0.08</v>
      </c>
      <c r="H1193" s="11" t="inlineStr">
        <is>
          <t>Lorwyn Eclipsed (ECL)</t>
        </is>
      </c>
      <c r="I1193" s="11" t="inlineStr">
        <is>
          <t>No</t>
        </is>
      </c>
      <c r="J1193" s="11" t="n">
        <v>2026</v>
      </c>
      <c r="K1193" s="10" t="n">
        <v>46056</v>
      </c>
      <c r="L1193" s="11" t="n">
        <v>1</v>
      </c>
      <c r="M1193" s="8">
        <f>L1193*G1193</f>
        <v/>
      </c>
      <c r="P1193" s="9" t="n"/>
    </row>
    <row r="1194">
      <c r="A1194" s="11" t="inlineStr">
        <is>
          <t>Brigid's Command</t>
        </is>
      </c>
      <c r="B1194" s="11" t="inlineStr">
        <is>
          <t>Kindred Sorcery — Kithkin</t>
        </is>
      </c>
      <c r="C1194" s="11" t="inlineStr">
        <is>
          <t>Rare / Rara</t>
        </is>
      </c>
      <c r="D1194" s="11"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94" s="11" t="inlineStr">
        <is>
          <t>{1}{G}{W}</t>
        </is>
      </c>
      <c r="F1194" s="11" t="inlineStr">
        <is>
          <t>Verde, Branco</t>
        </is>
      </c>
      <c r="G1194" s="8" t="n">
        <v>0.37</v>
      </c>
      <c r="H1194" s="11" t="inlineStr">
        <is>
          <t>Lorwyn Eclipsed (ECL)</t>
        </is>
      </c>
      <c r="I1194" s="11" t="inlineStr">
        <is>
          <t>Não</t>
        </is>
      </c>
      <c r="J1194" s="11" t="n">
        <v>2026</v>
      </c>
      <c r="L1194" s="11" t="n">
        <v>1</v>
      </c>
      <c r="M1194" s="8">
        <f>L1194*G1194</f>
        <v/>
      </c>
      <c r="P1194" s="9" t="n"/>
    </row>
    <row r="1195">
      <c r="A1195" s="11" t="inlineStr">
        <is>
          <t>Fanatical Firebrand / Instigador Fanático</t>
        </is>
      </c>
      <c r="B1195" s="11" t="inlineStr">
        <is>
          <t>Creature — Goblin Pirate / Criatura — Goblin Pirata</t>
        </is>
      </c>
      <c r="C1195" s="11" t="inlineStr">
        <is>
          <t>Common / Comum</t>
        </is>
      </c>
      <c r="D1195" s="11" t="inlineStr">
        <is>
          <t>Haste (This creature can attack and {T} as soon as it comes under your control.) {T}, Sacrifice this creature: It deals 1 damage to any target. / Ímpeto {T}, sacrifique Instigador Fanático: Ele causa 1 ponto de dano à criatura ou ao jogador alvo.</t>
        </is>
      </c>
      <c r="E1195" s="11" t="inlineStr">
        <is>
          <t>{R}</t>
        </is>
      </c>
      <c r="F1195" s="11" t="inlineStr">
        <is>
          <t>Vermelho</t>
        </is>
      </c>
      <c r="G1195" s="8" t="n">
        <v>0.06</v>
      </c>
      <c r="H1195" s="11" t="inlineStr">
        <is>
          <t>Rivals of Ixalan (RIX)</t>
        </is>
      </c>
      <c r="I1195" s="11" t="inlineStr">
        <is>
          <t>Não</t>
        </is>
      </c>
      <c r="J1195" s="11" t="n">
        <v>2018</v>
      </c>
      <c r="K1195" s="10" t="n">
        <v>46023</v>
      </c>
      <c r="L1195" s="11" t="n">
        <v>3</v>
      </c>
      <c r="M1195" s="8">
        <f>L1195*G1195</f>
        <v/>
      </c>
      <c r="P1195" s="9" t="n"/>
    </row>
    <row r="1196">
      <c r="A1196" s="11" t="inlineStr">
        <is>
          <t>Boggart Cursecrafter</t>
        </is>
      </c>
      <c r="B1196" s="11" t="inlineStr">
        <is>
          <t>Creature — Goblin Warlock</t>
        </is>
      </c>
      <c r="C1196" s="11" t="inlineStr">
        <is>
          <t>Uncommon / Incomum</t>
        </is>
      </c>
      <c r="D1196" s="11" t="inlineStr">
        <is>
          <t>Deathtouch Whenever another Goblin you control dies, this creature deals 1 damage to each opponent.</t>
        </is>
      </c>
      <c r="E1196" s="11" t="inlineStr">
        <is>
          <t>{B}{R}</t>
        </is>
      </c>
      <c r="F1196" s="11" t="inlineStr">
        <is>
          <t>Preto, Vermelho</t>
        </is>
      </c>
      <c r="G1196" s="8" t="n">
        <v>0.25</v>
      </c>
      <c r="H1196" s="11" t="inlineStr">
        <is>
          <t>Lorwyn Eclipsed (ECL)</t>
        </is>
      </c>
      <c r="I1196" s="11" t="inlineStr">
        <is>
          <t>Não</t>
        </is>
      </c>
      <c r="J1196" s="11" t="n">
        <v>2026</v>
      </c>
      <c r="K1196" s="10" t="n">
        <v>46083</v>
      </c>
      <c r="L1196" s="11" t="n">
        <v>1</v>
      </c>
      <c r="M1196" s="8">
        <f>L1196*G1196</f>
        <v/>
      </c>
      <c r="P1196" s="9" t="n"/>
    </row>
    <row r="1197">
      <c r="A1197" s="11" t="inlineStr">
        <is>
          <t>Chaos Spewer</t>
        </is>
      </c>
      <c r="B1197" s="11" t="inlineStr">
        <is>
          <t>Creature — Goblin Warlock</t>
        </is>
      </c>
      <c r="C1197" s="11" t="inlineStr">
        <is>
          <t>Common / Comum</t>
        </is>
      </c>
      <c r="D1197" s="11" t="inlineStr">
        <is>
          <t>When this creature enters, you may pay {2}. If you don't, blight 2. (To blight 2, put two -1/-1 counters on a creature you control.)</t>
        </is>
      </c>
      <c r="E1197" s="11" t="inlineStr">
        <is>
          <t>{2}{B/R}</t>
        </is>
      </c>
      <c r="F1197" s="11" t="inlineStr">
        <is>
          <t>Preto, Vermelho</t>
        </is>
      </c>
      <c r="G1197" s="8" t="n">
        <v>0.11</v>
      </c>
      <c r="H1197" s="11" t="inlineStr">
        <is>
          <t>Lorwyn Eclipsed (ECL)</t>
        </is>
      </c>
      <c r="I1197" s="11" t="inlineStr">
        <is>
          <t>Não</t>
        </is>
      </c>
      <c r="J1197" s="11" t="n">
        <v>2026</v>
      </c>
      <c r="K1197" s="10" t="n">
        <v>46117</v>
      </c>
      <c r="L1197" s="11" t="n">
        <v>1</v>
      </c>
      <c r="M1197" s="8">
        <f>L1197*G1197</f>
        <v/>
      </c>
      <c r="P1197" s="9" t="n"/>
    </row>
    <row r="1198">
      <c r="A1198" s="11" t="inlineStr">
        <is>
          <t>Wildvine Pummeler</t>
        </is>
      </c>
      <c r="B1198" s="11" t="inlineStr">
        <is>
          <t>Creature — Giant Berserker</t>
        </is>
      </c>
      <c r="C1198" s="11" t="inlineStr">
        <is>
          <t>Common / Comum</t>
        </is>
      </c>
      <c r="D1198" s="11" t="inlineStr">
        <is>
          <t>Vivid — This spell costs {1} less to cast for each color among permanents you control. Reach, trample</t>
        </is>
      </c>
      <c r="E1198" s="11" t="inlineStr">
        <is>
          <t>{6}{G}</t>
        </is>
      </c>
      <c r="F1198" s="11" t="inlineStr">
        <is>
          <t>Verde</t>
        </is>
      </c>
      <c r="G1198" s="8" t="n">
        <v>0.1</v>
      </c>
      <c r="H1198" s="11" t="inlineStr">
        <is>
          <t>Lorwyn Eclipsed (ECL)</t>
        </is>
      </c>
      <c r="I1198" s="11" t="inlineStr">
        <is>
          <t>Não</t>
        </is>
      </c>
      <c r="J1198" s="11" t="n">
        <v>2026</v>
      </c>
      <c r="K1198" s="10" t="n">
        <v>46148</v>
      </c>
      <c r="L1198" s="11" t="n">
        <v>1</v>
      </c>
      <c r="M1198" s="8">
        <f>L1198*G1198</f>
        <v/>
      </c>
      <c r="P1198" s="9" t="n"/>
    </row>
    <row r="1199">
      <c r="A1199" s="11" t="inlineStr">
        <is>
          <t>Unforgiving Aim</t>
        </is>
      </c>
      <c r="B1199" s="11" t="inlineStr">
        <is>
          <t>Instant</t>
        </is>
      </c>
      <c r="C1199" s="11" t="inlineStr">
        <is>
          <t>Common / Comum</t>
        </is>
      </c>
      <c r="D1199" s="11" t="inlineStr">
        <is>
          <t>Choose one — • Destroy target creature with flying. • Destroy target enchantment. • Create a 2/2 black and green Elf creature token.</t>
        </is>
      </c>
      <c r="E1199" s="11" t="inlineStr">
        <is>
          <t>{2}{G}</t>
        </is>
      </c>
      <c r="F1199" s="11" t="inlineStr">
        <is>
          <t>Verde</t>
        </is>
      </c>
      <c r="G1199" s="8" t="n">
        <v>0.1</v>
      </c>
      <c r="H1199" s="11" t="inlineStr">
        <is>
          <t>Lorwyn Eclipsed (ECL)</t>
        </is>
      </c>
      <c r="I1199" s="11" t="inlineStr">
        <is>
          <t>Não</t>
        </is>
      </c>
      <c r="J1199" s="11" t="n">
        <v>2026</v>
      </c>
      <c r="L1199" s="11" t="n">
        <v>1</v>
      </c>
      <c r="M1199" s="8">
        <f>L1199*G1199</f>
        <v/>
      </c>
      <c r="P1199" s="9" t="n"/>
    </row>
    <row r="1200">
      <c r="A1200" s="11" t="inlineStr">
        <is>
          <t>Reluctant Dounguard</t>
        </is>
      </c>
      <c r="B1200" s="11" t="inlineStr">
        <is>
          <t>Creature — Kithkin Soldier</t>
        </is>
      </c>
      <c r="C1200" s="11" t="inlineStr">
        <is>
          <t>Common / Comum</t>
        </is>
      </c>
      <c r="D1200" s="11" t="inlineStr">
        <is>
          <t>This creature enters with two -1/-1 counters on it. Whenever another creature you control enters while this creature has a -1/-1 counter on it, remove a -1/-1 counter from this creature.</t>
        </is>
      </c>
      <c r="E1200" s="11" t="inlineStr">
        <is>
          <t>{2}{W}</t>
        </is>
      </c>
      <c r="F1200" s="11" t="inlineStr">
        <is>
          <t>Branco</t>
        </is>
      </c>
      <c r="G1200" s="8" t="n">
        <v>0.09</v>
      </c>
      <c r="H1200" s="11" t="inlineStr">
        <is>
          <t>Lorwyn Eclipsed (ECL)</t>
        </is>
      </c>
      <c r="I1200" s="11" t="inlineStr">
        <is>
          <t>Não</t>
        </is>
      </c>
      <c r="J1200" s="11" t="n">
        <v>2026</v>
      </c>
      <c r="K1200" s="10" t="n">
        <v>46116</v>
      </c>
      <c r="L1200" s="11" t="n">
        <v>4</v>
      </c>
      <c r="M1200" s="8">
        <f>L1200*G1200</f>
        <v/>
      </c>
      <c r="P1200" s="9" t="n"/>
    </row>
    <row r="1201">
      <c r="A1201" s="11" t="inlineStr">
        <is>
          <t>Protective Response</t>
        </is>
      </c>
      <c r="B1201" s="11" t="inlineStr">
        <is>
          <t>Instant</t>
        </is>
      </c>
      <c r="C1201" s="11" t="inlineStr">
        <is>
          <t>Uncommon / Incomum</t>
        </is>
      </c>
      <c r="D1201" s="11" t="inlineStr">
        <is>
          <t>Convoke (Your creatures can help cast this spell. Each creature you tap while casting this spell pays for {1} or one mana of that creature's color.) Destroy target attacking or blocking creature.</t>
        </is>
      </c>
      <c r="E1201" s="11" t="inlineStr">
        <is>
          <t>{2}{W}</t>
        </is>
      </c>
      <c r="F1201" s="11" t="inlineStr">
        <is>
          <t>Branco</t>
        </is>
      </c>
      <c r="G1201" s="8" t="n">
        <v>0.06</v>
      </c>
      <c r="H1201" s="11" t="inlineStr">
        <is>
          <t>Lorwyn Eclipsed (ECL)</t>
        </is>
      </c>
      <c r="I1201" s="11" t="inlineStr">
        <is>
          <t>Não</t>
        </is>
      </c>
      <c r="J1201" s="11" t="n">
        <v>2026</v>
      </c>
      <c r="L1201" s="11" t="n">
        <v>1</v>
      </c>
      <c r="M1201" s="8">
        <f>L1201*G1201</f>
        <v/>
      </c>
      <c r="P1201" s="9" t="n"/>
    </row>
    <row r="1202">
      <c r="A1202" s="11" t="inlineStr">
        <is>
          <t>Pyrrhic Strike</t>
        </is>
      </c>
      <c r="B1202" s="11" t="inlineStr">
        <is>
          <t>Instant</t>
        </is>
      </c>
      <c r="C1202" s="11" t="inlineStr">
        <is>
          <t>Uncommon / Incomum</t>
        </is>
      </c>
      <c r="D1202" s="11"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202" s="11" t="inlineStr">
        <is>
          <t>{2}{W}</t>
        </is>
      </c>
      <c r="F1202" s="11" t="inlineStr">
        <is>
          <t>Branco</t>
        </is>
      </c>
      <c r="G1202" s="8" t="n">
        <v>0.19</v>
      </c>
      <c r="H1202" s="11" t="inlineStr">
        <is>
          <t>Lorwyn Eclipsed (ECL)</t>
        </is>
      </c>
      <c r="I1202" s="11" t="inlineStr">
        <is>
          <t>Não</t>
        </is>
      </c>
      <c r="J1202" s="11" t="n">
        <v>2026</v>
      </c>
      <c r="L1202" s="11" t="n">
        <v>1</v>
      </c>
      <c r="M1202" s="8">
        <f>L1202*G1202</f>
        <v/>
      </c>
      <c r="P1202" s="9" t="n"/>
    </row>
    <row r="1203">
      <c r="A1203" s="11" t="inlineStr">
        <is>
          <t>Personify</t>
        </is>
      </c>
      <c r="B1203" s="11" t="inlineStr">
        <is>
          <t>Instant</t>
        </is>
      </c>
      <c r="C1203" s="11" t="inlineStr">
        <is>
          <t>Uncommon / Incomum</t>
        </is>
      </c>
      <c r="D1203" s="11" t="inlineStr">
        <is>
          <t>Exile target creature you control, then return that card to the battlefield under its owner's control. Create a 1/1 colorless Shapeshifter creature token with changeling. (It's every creature type.)</t>
        </is>
      </c>
      <c r="E1203" s="11" t="inlineStr">
        <is>
          <t>{1}{W}</t>
        </is>
      </c>
      <c r="F1203" s="11" t="inlineStr">
        <is>
          <t>Branco</t>
        </is>
      </c>
      <c r="G1203" s="8" t="n">
        <v>0.07000000000000001</v>
      </c>
      <c r="H1203" s="11" t="inlineStr">
        <is>
          <t>Lorwyn Eclipsed (ECL)</t>
        </is>
      </c>
      <c r="I1203" s="11" t="inlineStr">
        <is>
          <t>Não</t>
        </is>
      </c>
      <c r="J1203" s="11" t="n">
        <v>2026</v>
      </c>
      <c r="L1203" s="11" t="n">
        <v>1</v>
      </c>
      <c r="M1203" s="8">
        <f>L1203*G1203</f>
        <v/>
      </c>
      <c r="P1203" s="9" t="n"/>
    </row>
    <row r="1204">
      <c r="A1204" s="11" t="inlineStr">
        <is>
          <t>Moonlit Lamenter</t>
        </is>
      </c>
      <c r="B1204" s="11" t="inlineStr">
        <is>
          <t>Creature — Treefolk Cleric</t>
        </is>
      </c>
      <c r="C1204" s="11" t="inlineStr">
        <is>
          <t>Uncommon / Incomum</t>
        </is>
      </c>
      <c r="D1204" s="11" t="inlineStr">
        <is>
          <t>This creature enters with a -1/-1 counter on it. {1}{W}, Remove a counter from this creature: Draw a card. Activate only as a sorcery.</t>
        </is>
      </c>
      <c r="E1204" s="11" t="inlineStr">
        <is>
          <t>{2}{W}</t>
        </is>
      </c>
      <c r="F1204" s="11" t="inlineStr">
        <is>
          <t>Branco</t>
        </is>
      </c>
      <c r="G1204" s="8" t="n">
        <v>0.05</v>
      </c>
      <c r="H1204" s="11" t="inlineStr">
        <is>
          <t>Lorwyn Eclipsed (ECL)</t>
        </is>
      </c>
      <c r="I1204" s="11" t="inlineStr">
        <is>
          <t>Não</t>
        </is>
      </c>
      <c r="J1204" s="11" t="n">
        <v>2026</v>
      </c>
      <c r="K1204" s="10" t="n">
        <v>46144</v>
      </c>
      <c r="L1204" s="11" t="n">
        <v>1</v>
      </c>
      <c r="M1204" s="8">
        <f>L1204*G1204</f>
        <v/>
      </c>
      <c r="P1204" s="9" t="n"/>
    </row>
    <row r="1205">
      <c r="A1205" s="11" t="inlineStr">
        <is>
          <t>Kinsbaile Aspirant</t>
        </is>
      </c>
      <c r="B1205" s="11" t="inlineStr">
        <is>
          <t>Creature — Kithkin Citizen</t>
        </is>
      </c>
      <c r="C1205" s="11" t="inlineStr">
        <is>
          <t>Uncommon / Incomum</t>
        </is>
      </c>
      <c r="D1205" s="11" t="inlineStr">
        <is>
          <t>As an additional cost to cast this spell, behold a Kithkin or pay {2}. (To behold a Kithkin, choose a Kithkin you control or reveal a Kithkin card from your hand.) Whenever another creature you control enters, this creature gets +1/+1 until end of turn.</t>
        </is>
      </c>
      <c r="E1205" s="11" t="inlineStr">
        <is>
          <t>{W}</t>
        </is>
      </c>
      <c r="F1205" s="11" t="inlineStr">
        <is>
          <t>Branco</t>
        </is>
      </c>
      <c r="G1205" s="8" t="n">
        <v>0.2</v>
      </c>
      <c r="H1205" s="11" t="inlineStr">
        <is>
          <t>Lorwyn Eclipsed (ECL)</t>
        </is>
      </c>
      <c r="I1205" s="11" t="inlineStr">
        <is>
          <t>Não</t>
        </is>
      </c>
      <c r="J1205" s="11" t="n">
        <v>2026</v>
      </c>
      <c r="K1205" s="10" t="n">
        <v>46024</v>
      </c>
      <c r="L1205" s="11" t="n">
        <v>1</v>
      </c>
      <c r="M1205" s="8">
        <f>L1205*G1205</f>
        <v/>
      </c>
      <c r="P1205" s="9" t="n"/>
    </row>
    <row r="1206">
      <c r="A1206" s="11" t="inlineStr">
        <is>
          <t>Gallant Fowlknight</t>
        </is>
      </c>
      <c r="B1206" s="11" t="inlineStr">
        <is>
          <t>Creature — Kithkin Knight</t>
        </is>
      </c>
      <c r="C1206" s="11" t="inlineStr">
        <is>
          <t>Common / Comum</t>
        </is>
      </c>
      <c r="D1206" s="11" t="inlineStr">
        <is>
          <t>When this creature enters, creatures you control get +1/+0 until end of turn. Kithkin creatures you control also gain first strike until end of turn.</t>
        </is>
      </c>
      <c r="E1206" s="11" t="inlineStr">
        <is>
          <t>{3}{W}</t>
        </is>
      </c>
      <c r="F1206" s="11" t="inlineStr">
        <is>
          <t>Branco</t>
        </is>
      </c>
      <c r="G1206" s="8" t="n">
        <v>0.1</v>
      </c>
      <c r="H1206" s="11" t="inlineStr">
        <is>
          <t>Lorwyn Eclipsed (ECL)</t>
        </is>
      </c>
      <c r="I1206" s="11" t="inlineStr">
        <is>
          <t>Não</t>
        </is>
      </c>
      <c r="J1206" s="11" t="n">
        <v>2026</v>
      </c>
      <c r="K1206" s="10" t="n">
        <v>46115</v>
      </c>
      <c r="L1206" s="11" t="n">
        <v>2</v>
      </c>
      <c r="M1206" s="8">
        <f>L1206*G1206</f>
        <v/>
      </c>
      <c r="P1206" s="9" t="n"/>
    </row>
    <row r="1207">
      <c r="A1207" s="11" t="inlineStr">
        <is>
          <t>Crib Swap / Troca de Berço</t>
        </is>
      </c>
      <c r="B1207" s="11" t="inlineStr">
        <is>
          <t>Kindred Instant — Shapeshifter / Mágica Instantânea Tribal — Metamorfo</t>
        </is>
      </c>
      <c r="C1207" s="11" t="inlineStr">
        <is>
          <t>Uncommon / Incomum</t>
        </is>
      </c>
      <c r="D1207" s="11"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7" s="11" t="inlineStr">
        <is>
          <t>{2}{W}</t>
        </is>
      </c>
      <c r="F1207" s="11" t="inlineStr">
        <is>
          <t>Branco</t>
        </is>
      </c>
      <c r="G1207" s="8" t="n">
        <v>0.15</v>
      </c>
      <c r="H1207" s="11" t="inlineStr">
        <is>
          <t>Lorwyn Eclipsed (ECL)</t>
        </is>
      </c>
      <c r="I1207" s="11" t="inlineStr">
        <is>
          <t>Não</t>
        </is>
      </c>
      <c r="J1207" s="11" t="n">
        <v>2026</v>
      </c>
      <c r="L1207" s="11" t="n">
        <v>1</v>
      </c>
      <c r="M1207" s="8">
        <f>L1207*G1207</f>
        <v/>
      </c>
      <c r="P1207" s="9" t="n"/>
    </row>
    <row r="1208">
      <c r="A1208" s="11" t="inlineStr">
        <is>
          <t>Encumbered Reejerey</t>
        </is>
      </c>
      <c r="B1208" s="11" t="inlineStr">
        <is>
          <t>Creature — Merfolk Soldier</t>
        </is>
      </c>
      <c r="C1208" s="11" t="inlineStr">
        <is>
          <t>Uncommon / Incomum</t>
        </is>
      </c>
      <c r="D1208" s="11" t="inlineStr">
        <is>
          <t>This creature enters with three -1/-1 counters on it. Whenever this creature becomes tapped while it has a -1/-1 counter on it, remove a -1/-1 counter from it.</t>
        </is>
      </c>
      <c r="E1208" s="11" t="inlineStr">
        <is>
          <t>{1}{W}</t>
        </is>
      </c>
      <c r="F1208" s="11" t="inlineStr">
        <is>
          <t>Branco</t>
        </is>
      </c>
      <c r="G1208" s="8" t="n">
        <v>0.05</v>
      </c>
      <c r="H1208" s="11" t="inlineStr">
        <is>
          <t>Lorwyn Eclipsed (ECL)</t>
        </is>
      </c>
      <c r="I1208" s="11" t="inlineStr">
        <is>
          <t>Não</t>
        </is>
      </c>
      <c r="J1208" s="11" t="n">
        <v>2026</v>
      </c>
      <c r="K1208" s="10" t="n">
        <v>46117</v>
      </c>
      <c r="L1208" s="11" t="n">
        <v>1</v>
      </c>
      <c r="M1208" s="8">
        <f>L1208*G1208</f>
        <v/>
      </c>
      <c r="P1208" s="9" t="n"/>
    </row>
    <row r="1209">
      <c r="A1209" s="11" t="inlineStr">
        <is>
          <t>Appeal to Eirdu</t>
        </is>
      </c>
      <c r="B1209" s="11" t="inlineStr">
        <is>
          <t>Instant</t>
        </is>
      </c>
      <c r="C1209" s="11" t="inlineStr">
        <is>
          <t>Common / Comum</t>
        </is>
      </c>
      <c r="D1209" s="11" t="inlineStr">
        <is>
          <t>Convoke (Your creatures can help cast this spell. Each creature you tap while casting this spell pays for {1} or one mana of that creature's color.) One or two target creatures each get +2/+1 until end of turn.</t>
        </is>
      </c>
      <c r="E1209" s="11" t="inlineStr">
        <is>
          <t>{3}{W}</t>
        </is>
      </c>
      <c r="F1209" s="11" t="inlineStr">
        <is>
          <t>Branco</t>
        </is>
      </c>
      <c r="G1209" s="8" t="n">
        <v>0.05</v>
      </c>
      <c r="H1209" s="11" t="inlineStr">
        <is>
          <t>Lorwyn Eclipsed (ECL)</t>
        </is>
      </c>
      <c r="I1209" s="11" t="inlineStr">
        <is>
          <t>Não</t>
        </is>
      </c>
      <c r="J1209" s="11" t="n">
        <v>2026</v>
      </c>
      <c r="L1209" s="11" t="n">
        <v>1</v>
      </c>
      <c r="M1209" s="8">
        <f>L1209*G1209</f>
        <v/>
      </c>
      <c r="P1209" s="9" t="n"/>
    </row>
    <row r="1210">
      <c r="A1210" s="11" t="inlineStr">
        <is>
          <t>Chitinous Graspling</t>
        </is>
      </c>
      <c r="B1210" s="11" t="inlineStr">
        <is>
          <t>Creature — Shapeshifter</t>
        </is>
      </c>
      <c r="C1210" s="11" t="inlineStr">
        <is>
          <t>Common / Comum</t>
        </is>
      </c>
      <c r="D1210" s="11" t="inlineStr">
        <is>
          <t>Changeling (This card is every creature type.) Reach</t>
        </is>
      </c>
      <c r="E1210" s="11" t="inlineStr">
        <is>
          <t>{3}{G/U}</t>
        </is>
      </c>
      <c r="F1210" s="11" t="inlineStr">
        <is>
          <t>Verde, Azul</t>
        </is>
      </c>
      <c r="G1210" s="8" t="n">
        <v>0.1</v>
      </c>
      <c r="H1210" s="11" t="inlineStr">
        <is>
          <t>Lorwyn Eclipsed (ECL)</t>
        </is>
      </c>
      <c r="I1210" s="11" t="inlineStr">
        <is>
          <t>Não</t>
        </is>
      </c>
      <c r="J1210" s="11" t="n">
        <v>2026</v>
      </c>
      <c r="K1210" s="10" t="n">
        <v>46115</v>
      </c>
      <c r="L1210" s="11" t="n">
        <v>1</v>
      </c>
      <c r="M1210" s="8">
        <f>L1210*G1210</f>
        <v/>
      </c>
      <c r="P1210" s="9" t="n"/>
    </row>
    <row r="1211">
      <c r="A1211" s="11" t="inlineStr">
        <is>
          <t>Thoughtweft Imbuer</t>
        </is>
      </c>
      <c r="B1211" s="11" t="inlineStr">
        <is>
          <t>Creature — Kithkin Advisor</t>
        </is>
      </c>
      <c r="C1211" s="11" t="inlineStr">
        <is>
          <t>Uncommon / Incomum</t>
        </is>
      </c>
      <c r="D1211" s="11" t="inlineStr">
        <is>
          <t>Whenever a creature you control attacks alone, it gets +X/+X until end of turn, where X is the number of Kithkin you control.</t>
        </is>
      </c>
      <c r="E1211" s="11" t="inlineStr">
        <is>
          <t>{3}{W}</t>
        </is>
      </c>
      <c r="F1211" s="11" t="inlineStr">
        <is>
          <t>Branco</t>
        </is>
      </c>
      <c r="G1211" s="8" t="n">
        <v>0.07000000000000001</v>
      </c>
      <c r="H1211" s="11" t="inlineStr">
        <is>
          <t>Lorwyn Eclipsed (ECL)</t>
        </is>
      </c>
      <c r="I1211" s="11" t="inlineStr">
        <is>
          <t>Não</t>
        </is>
      </c>
      <c r="J1211" s="11" t="n">
        <v>2026</v>
      </c>
      <c r="K1211" s="11" t="inlineStr">
        <is>
          <t>0/5</t>
        </is>
      </c>
      <c r="L1211" s="11" t="n">
        <v>1</v>
      </c>
      <c r="M1211" s="8">
        <f>L1211*G1211</f>
        <v/>
      </c>
      <c r="P1211" s="9" t="n"/>
    </row>
    <row r="1212">
      <c r="A1212" s="11" t="inlineStr">
        <is>
          <t>Shore Lurker</t>
        </is>
      </c>
      <c r="B1212" s="11" t="inlineStr">
        <is>
          <t>Creature — Merfolk Scout</t>
        </is>
      </c>
      <c r="C1212" s="11" t="inlineStr">
        <is>
          <t>Common / Comum</t>
        </is>
      </c>
      <c r="D1212" s="11" t="inlineStr">
        <is>
          <t>Flying When this creature enters, surveil 1. (Look at the top card of your library. You may put it into your graveyard.)</t>
        </is>
      </c>
      <c r="E1212" s="11" t="inlineStr">
        <is>
          <t>{3}{W}</t>
        </is>
      </c>
      <c r="F1212" s="11" t="inlineStr">
        <is>
          <t>Branco</t>
        </is>
      </c>
      <c r="G1212" s="8" t="n">
        <v>0.1</v>
      </c>
      <c r="H1212" s="11" t="inlineStr">
        <is>
          <t>Lorwyn Eclipsed (ECL)</t>
        </is>
      </c>
      <c r="I1212" s="11" t="inlineStr">
        <is>
          <t>Não</t>
        </is>
      </c>
      <c r="J1212" s="11" t="n">
        <v>2026</v>
      </c>
      <c r="K1212" s="10" t="n">
        <v>46084</v>
      </c>
      <c r="L1212" s="11" t="n">
        <v>2</v>
      </c>
      <c r="M1212" s="8">
        <f>L1212*G1212</f>
        <v/>
      </c>
      <c r="P1212" s="9" t="n"/>
    </row>
    <row r="1213">
      <c r="A1213" s="11" t="inlineStr">
        <is>
          <t>Dawn-Blessed Pennant</t>
        </is>
      </c>
      <c r="B1213" s="11" t="inlineStr">
        <is>
          <t>Artifact</t>
        </is>
      </c>
      <c r="C1213" s="11" t="inlineStr">
        <is>
          <t>Uncommon / Incomum</t>
        </is>
      </c>
      <c r="D1213" s="11"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13" s="11" t="inlineStr">
        <is>
          <t>{1}</t>
        </is>
      </c>
      <c r="F1213" s="11" t="inlineStr">
        <is>
          <t>Incolor</t>
        </is>
      </c>
      <c r="G1213" s="8" t="n">
        <v>0.23</v>
      </c>
      <c r="H1213" s="11" t="inlineStr">
        <is>
          <t>Lorwyn Eclipsed (ECL)</t>
        </is>
      </c>
      <c r="I1213" s="11" t="inlineStr">
        <is>
          <t>Não</t>
        </is>
      </c>
      <c r="J1213" s="11" t="n">
        <v>2026</v>
      </c>
      <c r="L1213" s="11" t="n">
        <v>1</v>
      </c>
      <c r="M1213" s="8">
        <f>L1213*G1213</f>
        <v/>
      </c>
      <c r="P1213" s="9" t="n"/>
    </row>
    <row r="1214">
      <c r="A1214" s="11" t="inlineStr">
        <is>
          <t>Stalactite Dagger</t>
        </is>
      </c>
      <c r="B1214" s="11" t="inlineStr">
        <is>
          <t>Artifact — Equipment</t>
        </is>
      </c>
      <c r="C1214" s="11" t="inlineStr">
        <is>
          <t>Common / Comum</t>
        </is>
      </c>
      <c r="D1214" s="11" t="inlineStr">
        <is>
          <t>When this Equipment enters, create a 1/1 colorless Shapeshifter creature token with changeling. (It's every creature type.) Equipped creature gets +1/+1 and is all creature types. Equip {2} ({2}: Attach to target creature you control. Equip only as a sorcery.)</t>
        </is>
      </c>
      <c r="E1214" s="11" t="inlineStr">
        <is>
          <t>{2}</t>
        </is>
      </c>
      <c r="F1214" s="11" t="inlineStr">
        <is>
          <t>Incolor</t>
        </is>
      </c>
      <c r="G1214" s="8" t="n">
        <v>0.1</v>
      </c>
      <c r="H1214" s="11" t="inlineStr">
        <is>
          <t>Lorwyn Eclipsed (ECL)</t>
        </is>
      </c>
      <c r="I1214" s="11" t="inlineStr">
        <is>
          <t>Não</t>
        </is>
      </c>
      <c r="J1214" s="11" t="n">
        <v>2026</v>
      </c>
      <c r="L1214" s="11" t="n">
        <v>1</v>
      </c>
      <c r="M1214" s="8">
        <f>L1214*G1214</f>
        <v/>
      </c>
      <c r="P1214" s="9" t="n"/>
    </row>
    <row r="1215">
      <c r="A1215" s="11" t="inlineStr">
        <is>
          <t>Puca's Eye</t>
        </is>
      </c>
      <c r="B1215" s="11" t="inlineStr">
        <is>
          <t>Artifact</t>
        </is>
      </c>
      <c r="C1215" s="11" t="inlineStr">
        <is>
          <t>Uncommon / Incomum</t>
        </is>
      </c>
      <c r="D1215" s="11" t="inlineStr">
        <is>
          <t>When this artifact enters, draw a card, then choose a color. This artifact becomes the chosen color. {3}, {T}: Draw a card. Activate only if there are five colors among permanents you control.</t>
        </is>
      </c>
      <c r="E1215" s="11" t="inlineStr">
        <is>
          <t>{2}</t>
        </is>
      </c>
      <c r="F1215" s="11" t="inlineStr">
        <is>
          <t>Incolor</t>
        </is>
      </c>
      <c r="G1215" s="8" t="n">
        <v>0.3</v>
      </c>
      <c r="H1215" s="11" t="inlineStr">
        <is>
          <t>Lorwyn Eclipsed (ECL)</t>
        </is>
      </c>
      <c r="I1215" s="11" t="inlineStr">
        <is>
          <t>Sim</t>
        </is>
      </c>
      <c r="J1215" s="11" t="n">
        <v>2026</v>
      </c>
      <c r="L1215" s="11" t="n">
        <v>1</v>
      </c>
      <c r="M1215" s="8">
        <f>L1215*G1215</f>
        <v/>
      </c>
      <c r="P1215" s="9" t="n"/>
    </row>
    <row r="1216">
      <c r="A1216" s="11" t="inlineStr">
        <is>
          <t>Puca's Eye</t>
        </is>
      </c>
      <c r="B1216" s="11" t="inlineStr">
        <is>
          <t>Artifact</t>
        </is>
      </c>
      <c r="C1216" s="11" t="inlineStr">
        <is>
          <t>Uncommon / Incomum</t>
        </is>
      </c>
      <c r="D1216" s="11" t="inlineStr">
        <is>
          <t>When this artifact enters, draw a card, then choose a color. This artifact becomes the chosen color. {3}, {T}: Draw a card. Activate only if there are five colors among permanents you control.</t>
        </is>
      </c>
      <c r="E1216" s="11" t="inlineStr">
        <is>
          <t>{2}</t>
        </is>
      </c>
      <c r="F1216" s="11" t="inlineStr">
        <is>
          <t>Incolor</t>
        </is>
      </c>
      <c r="G1216" s="8" t="n">
        <v>0.2</v>
      </c>
      <c r="H1216" s="11" t="inlineStr">
        <is>
          <t>Lorwyn Eclipsed (ECL)</t>
        </is>
      </c>
      <c r="I1216" s="11" t="inlineStr">
        <is>
          <t>Não</t>
        </is>
      </c>
      <c r="J1216" s="11" t="n">
        <v>2026</v>
      </c>
      <c r="L1216" s="11" t="n">
        <v>1</v>
      </c>
      <c r="M1216" s="8">
        <f>L1216*G1216</f>
        <v/>
      </c>
      <c r="P1216" s="9" t="n"/>
    </row>
    <row r="1217">
      <c r="A1217" s="11" t="inlineStr">
        <is>
          <t>Wary Farmer</t>
        </is>
      </c>
      <c r="B1217" s="11" t="inlineStr">
        <is>
          <t>Creature — Kithkin Citizen</t>
        </is>
      </c>
      <c r="C1217" s="11" t="inlineStr">
        <is>
          <t>Common / Comum</t>
        </is>
      </c>
      <c r="D1217" s="11" t="inlineStr">
        <is>
          <t>At the beginning of your end step, if another creature entered the battlefield under your control this turn, surveil 1. (Look at the top card of your library. You may put it into your graveyard.)</t>
        </is>
      </c>
      <c r="E1217" s="11" t="inlineStr">
        <is>
          <t>{1}{G/W}{G/W}</t>
        </is>
      </c>
      <c r="F1217" s="11" t="inlineStr">
        <is>
          <t>Verde, Branco</t>
        </is>
      </c>
      <c r="G1217" s="8" t="n">
        <v>0.1</v>
      </c>
      <c r="H1217" s="11" t="inlineStr">
        <is>
          <t>Lorwyn Eclipsed (ECL)</t>
        </is>
      </c>
      <c r="I1217" s="11" t="inlineStr">
        <is>
          <t>Não</t>
        </is>
      </c>
      <c r="J1217" s="11" t="n">
        <v>2026</v>
      </c>
      <c r="K1217" s="10" t="n">
        <v>46084</v>
      </c>
      <c r="L1217" s="11" t="n">
        <v>1</v>
      </c>
      <c r="M1217" s="8">
        <f>L1217*G1217</f>
        <v/>
      </c>
      <c r="P1217" s="9" t="n"/>
    </row>
    <row r="1218">
      <c r="A1218" s="11" t="inlineStr">
        <is>
          <t>Voracious Tome-Skimmer</t>
        </is>
      </c>
      <c r="B1218" s="11" t="inlineStr">
        <is>
          <t>Creature — Faerie Rogue</t>
        </is>
      </c>
      <c r="C1218" s="11" t="inlineStr">
        <is>
          <t>Uncommon / Incomum</t>
        </is>
      </c>
      <c r="D1218" s="11" t="inlineStr">
        <is>
          <t>Flying Whenever you cast a spell during an opponent's turn, you may pay 1 life. If you do, draw a card.</t>
        </is>
      </c>
      <c r="E1218" s="11" t="inlineStr">
        <is>
          <t>{U/B}{U/B}{U/B}</t>
        </is>
      </c>
      <c r="F1218" s="11" t="inlineStr">
        <is>
          <t>Preto, Azul</t>
        </is>
      </c>
      <c r="G1218" s="8" t="n">
        <v>0.2</v>
      </c>
      <c r="H1218" s="11" t="inlineStr">
        <is>
          <t>Lorwyn Eclipsed (ECL)</t>
        </is>
      </c>
      <c r="I1218" s="11" t="inlineStr">
        <is>
          <t>Não</t>
        </is>
      </c>
      <c r="J1218" s="11" t="n">
        <v>2026</v>
      </c>
      <c r="K1218" s="10" t="n">
        <v>46083</v>
      </c>
      <c r="L1218" s="11" t="n">
        <v>1</v>
      </c>
      <c r="M1218" s="8">
        <f>L1218*G1218</f>
        <v/>
      </c>
      <c r="P1218" s="9" t="n"/>
    </row>
    <row r="1219">
      <c r="A1219" s="11" t="inlineStr">
        <is>
          <t>Thoughtweft Lieutenant</t>
        </is>
      </c>
      <c r="B1219" s="11" t="inlineStr">
        <is>
          <t>Creature — Kithkin Soldier</t>
        </is>
      </c>
      <c r="C1219" s="11" t="inlineStr">
        <is>
          <t>Uncommon / Incomum</t>
        </is>
      </c>
      <c r="D1219" s="11" t="inlineStr">
        <is>
          <t>Whenever this creature or another Kithkin you control enters, target creature you control gets +1/+1 and gains trample until end of turn.</t>
        </is>
      </c>
      <c r="E1219" s="11" t="inlineStr">
        <is>
          <t>{G}{W}</t>
        </is>
      </c>
      <c r="F1219" s="11" t="inlineStr">
        <is>
          <t>Verde, Branco</t>
        </is>
      </c>
      <c r="G1219" s="8" t="n">
        <v>0.2</v>
      </c>
      <c r="H1219" s="11" t="inlineStr">
        <is>
          <t>Lorwyn Eclipsed (ECL)</t>
        </is>
      </c>
      <c r="I1219" s="11" t="inlineStr">
        <is>
          <t>Não</t>
        </is>
      </c>
      <c r="J1219" s="11" t="n">
        <v>2026</v>
      </c>
      <c r="K1219" s="10" t="n">
        <v>46055</v>
      </c>
      <c r="L1219" s="11" t="n">
        <v>1</v>
      </c>
      <c r="M1219" s="8">
        <f>L1219*G1219</f>
        <v/>
      </c>
      <c r="P1219" s="9" t="n"/>
    </row>
    <row r="1220">
      <c r="A1220" s="11" t="inlineStr">
        <is>
          <t>Foundry Street Denizen / Habitante da Rua da Fundição</t>
        </is>
      </c>
      <c r="B1220" s="11" t="inlineStr">
        <is>
          <t>Creature — Goblin Warrior / Criatura — Goblin Guerreiro</t>
        </is>
      </c>
      <c r="C1220" s="11" t="inlineStr">
        <is>
          <t>Common / Comum</t>
        </is>
      </c>
      <c r="D1220" s="11" t="inlineStr">
        <is>
          <t>Whenever another red creature you control enters, this creature gets +1/+0 until end of turn. / Toda vez que outra criatura vermelha entra no campo de batalha sob o seu controle, Habitante da Rua da Fundição recebe +1/+0 até o final do turno.</t>
        </is>
      </c>
      <c r="E1220" s="11" t="inlineStr">
        <is>
          <t>{R}</t>
        </is>
      </c>
      <c r="F1220" s="11" t="inlineStr">
        <is>
          <t>Vermelho</t>
        </is>
      </c>
      <c r="G1220" s="8" t="n">
        <v>0.09</v>
      </c>
      <c r="H1220" s="11" t="inlineStr">
        <is>
          <t>Gatecrash (GTC)</t>
        </is>
      </c>
      <c r="I1220" s="11" t="inlineStr">
        <is>
          <t>Não</t>
        </is>
      </c>
      <c r="J1220" s="11" t="n">
        <v>2013</v>
      </c>
      <c r="K1220" s="10" t="n">
        <v>46023</v>
      </c>
      <c r="L1220" s="11" t="n">
        <v>1</v>
      </c>
      <c r="M1220" s="8">
        <f>L1220*G1220</f>
        <v/>
      </c>
      <c r="P1220" s="9" t="n"/>
    </row>
    <row r="1221">
      <c r="A1221" s="11" t="inlineStr">
        <is>
          <t>Prideful Feastling</t>
        </is>
      </c>
      <c r="B1221" s="11" t="inlineStr">
        <is>
          <t>Creature — Shapeshifter</t>
        </is>
      </c>
      <c r="C1221" s="11" t="inlineStr">
        <is>
          <t>Common / Comum</t>
        </is>
      </c>
      <c r="D1221" s="11" t="inlineStr">
        <is>
          <t>Changeling (This card is every creature type.) Lifelink</t>
        </is>
      </c>
      <c r="E1221" s="11" t="inlineStr">
        <is>
          <t>{2}{W/B}</t>
        </is>
      </c>
      <c r="F1221" s="11" t="inlineStr">
        <is>
          <t>Preto, Branco</t>
        </is>
      </c>
      <c r="G1221" s="8" t="n">
        <v>0.1</v>
      </c>
      <c r="H1221" s="11" t="inlineStr">
        <is>
          <t>Lorwyn Eclipsed (ECL)</t>
        </is>
      </c>
      <c r="I1221" s="11" t="inlineStr">
        <is>
          <t>Não</t>
        </is>
      </c>
      <c r="J1221" s="11" t="n">
        <v>2026</v>
      </c>
      <c r="K1221" s="10" t="n">
        <v>46083</v>
      </c>
      <c r="L1221" s="11" t="n">
        <v>1</v>
      </c>
      <c r="M1221" s="8">
        <f>L1221*G1221</f>
        <v/>
      </c>
      <c r="P1221" s="9" t="n"/>
    </row>
    <row r="1222">
      <c r="A1222" s="11" t="inlineStr">
        <is>
          <t>Morcant's Loyalist</t>
        </is>
      </c>
      <c r="B1222" s="11" t="inlineStr">
        <is>
          <t>Creature — Elf Warrior</t>
        </is>
      </c>
      <c r="C1222" s="11" t="inlineStr">
        <is>
          <t>Uncommon / Incomum</t>
        </is>
      </c>
      <c r="D1222" s="11" t="inlineStr">
        <is>
          <t>Other Elves you control get +1/+1. When this creature dies, return another target Elf card from your graveyard to your hand.</t>
        </is>
      </c>
      <c r="E1222" s="11" t="inlineStr">
        <is>
          <t>{1}{B}{G}</t>
        </is>
      </c>
      <c r="F1222" s="11" t="inlineStr">
        <is>
          <t>Preto, Verde</t>
        </is>
      </c>
      <c r="G1222" s="8" t="n">
        <v>0.25</v>
      </c>
      <c r="H1222" s="11" t="inlineStr">
        <is>
          <t>Lorwyn Eclipsed (ECL)</t>
        </is>
      </c>
      <c r="I1222" s="11" t="inlineStr">
        <is>
          <t>Não</t>
        </is>
      </c>
      <c r="J1222" s="11" t="n">
        <v>2026</v>
      </c>
      <c r="K1222" s="10" t="n">
        <v>46056</v>
      </c>
      <c r="L1222" s="11" t="n">
        <v>1</v>
      </c>
      <c r="M1222" s="8">
        <f>L1222*G1222</f>
        <v/>
      </c>
      <c r="P1222" s="9" t="n"/>
    </row>
    <row r="1223">
      <c r="A1223" s="11" t="inlineStr">
        <is>
          <t>Merrow Skyswimmer</t>
        </is>
      </c>
      <c r="B1223" s="11" t="inlineStr">
        <is>
          <t>Creature — Merfolk Soldier</t>
        </is>
      </c>
      <c r="C1223" s="11" t="inlineStr">
        <is>
          <t>Common / Comum</t>
        </is>
      </c>
      <c r="D1223" s="11" t="inlineStr">
        <is>
          <t>Convoke (Your creatures can help cast this spell. Each creature you tap while casting this spell pays for {1} or one mana of that creature's color.) Flying, vigilance When this creature enters, create a 1/1 white and blue Merfolk creature token.</t>
        </is>
      </c>
      <c r="E1223" s="11" t="inlineStr">
        <is>
          <t>{3}{W/U}{W/U}</t>
        </is>
      </c>
      <c r="F1223" s="11" t="inlineStr">
        <is>
          <t>Azul, Branco</t>
        </is>
      </c>
      <c r="G1223" s="8" t="n">
        <v>0.05</v>
      </c>
      <c r="H1223" s="11" t="inlineStr">
        <is>
          <t>Lorwyn Eclipsed (ECL)</t>
        </is>
      </c>
      <c r="I1223" s="11" t="inlineStr">
        <is>
          <t>Não</t>
        </is>
      </c>
      <c r="J1223" s="11" t="n">
        <v>2026</v>
      </c>
      <c r="K1223" s="10" t="n">
        <v>46055</v>
      </c>
      <c r="L1223" s="11" t="n">
        <v>3</v>
      </c>
      <c r="M1223" s="8">
        <f>L1223*G1223</f>
        <v/>
      </c>
      <c r="P1223" s="9" t="n"/>
    </row>
    <row r="1224">
      <c r="A1224" s="11" t="inlineStr">
        <is>
          <t>Hovel Hurler</t>
        </is>
      </c>
      <c r="B1224" s="11" t="inlineStr">
        <is>
          <t>Creature — Giant Warrior</t>
        </is>
      </c>
      <c r="C1224" s="11" t="inlineStr">
        <is>
          <t>Uncommon / Incomum</t>
        </is>
      </c>
      <c r="D1224" s="11" t="inlineStr">
        <is>
          <t>This creature enters with two -1/-1 counters on it. {R/W}{R/W}, Remove a counter from this creature: Another target creature you control gets +1/+0 and gains flying until end of turn. Activate only as a sorcery.</t>
        </is>
      </c>
      <c r="E1224" s="11" t="inlineStr">
        <is>
          <t>{3}{R/W}{R/W}</t>
        </is>
      </c>
      <c r="F1224" s="11" t="inlineStr">
        <is>
          <t>Vermelho, Branco</t>
        </is>
      </c>
      <c r="G1224" s="8" t="n">
        <v>0.11</v>
      </c>
      <c r="H1224" s="11" t="inlineStr">
        <is>
          <t>Lorwyn Eclipsed (ECL)</t>
        </is>
      </c>
      <c r="I1224" s="11" t="inlineStr">
        <is>
          <t>Não</t>
        </is>
      </c>
      <c r="J1224" s="11" t="n">
        <v>2026</v>
      </c>
      <c r="K1224" s="10" t="n">
        <v>46209</v>
      </c>
      <c r="L1224" s="11" t="n">
        <v>1</v>
      </c>
      <c r="M1224" s="8">
        <f>L1224*G1224</f>
        <v/>
      </c>
      <c r="P1224" s="9" t="n"/>
    </row>
    <row r="1225">
      <c r="A1225" s="11" t="inlineStr">
        <is>
          <t>Gangly Stompling</t>
        </is>
      </c>
      <c r="B1225" s="11" t="inlineStr">
        <is>
          <t>Creature — Shapeshifter</t>
        </is>
      </c>
      <c r="C1225" s="11" t="inlineStr">
        <is>
          <t>Common / Comum</t>
        </is>
      </c>
      <c r="D1225" s="11" t="inlineStr">
        <is>
          <t>Changeling (This card is every creature type.) Trample</t>
        </is>
      </c>
      <c r="E1225" s="11" t="inlineStr">
        <is>
          <t>{2}{R/G}</t>
        </is>
      </c>
      <c r="F1225" s="11" t="inlineStr">
        <is>
          <t>Verde, Vermelho</t>
        </is>
      </c>
      <c r="G1225" s="8" t="n">
        <v>0.11</v>
      </c>
      <c r="H1225" s="11" t="inlineStr">
        <is>
          <t>Lorwyn Eclipsed (ECL)</t>
        </is>
      </c>
      <c r="I1225" s="11" t="inlineStr">
        <is>
          <t>Não</t>
        </is>
      </c>
      <c r="J1225" s="11" t="n">
        <v>2026</v>
      </c>
      <c r="K1225" s="10" t="n">
        <v>46057</v>
      </c>
      <c r="L1225" s="11" t="n">
        <v>2</v>
      </c>
      <c r="M1225" s="8">
        <f>L1225*G1225</f>
        <v/>
      </c>
      <c r="P1225" s="9" t="n"/>
    </row>
    <row r="1226">
      <c r="A1226" s="11" t="inlineStr">
        <is>
          <t>Flaring Cinder</t>
        </is>
      </c>
      <c r="B1226" s="11" t="inlineStr">
        <is>
          <t>Creature — Elemental Sorcerer</t>
        </is>
      </c>
      <c r="C1226" s="11" t="inlineStr">
        <is>
          <t>Common / Comum</t>
        </is>
      </c>
      <c r="D1226" s="11" t="inlineStr">
        <is>
          <t>When this creature enters and whenever you cast a spell with mana value 4 or greater, you may discard a card. If you do, draw a card.</t>
        </is>
      </c>
      <c r="E1226" s="11" t="inlineStr">
        <is>
          <t>{1}{U/R}{U/R}</t>
        </is>
      </c>
      <c r="F1226" s="11" t="inlineStr">
        <is>
          <t>Vermelho, Azul</t>
        </is>
      </c>
      <c r="G1226" s="8" t="n">
        <v>0.11</v>
      </c>
      <c r="H1226" s="11" t="inlineStr">
        <is>
          <t>Lorwyn Eclipsed (ECL)</t>
        </is>
      </c>
      <c r="I1226" s="11" t="inlineStr">
        <is>
          <t>Não</t>
        </is>
      </c>
      <c r="J1226" s="11" t="n">
        <v>2026</v>
      </c>
      <c r="K1226" s="10" t="n">
        <v>46056</v>
      </c>
      <c r="L1226" s="11" t="n">
        <v>1</v>
      </c>
      <c r="M1226" s="8">
        <f>L1226*G1226</f>
        <v/>
      </c>
      <c r="P1226" s="9" t="n"/>
    </row>
    <row r="1227">
      <c r="A1227" s="11" t="inlineStr">
        <is>
          <t>Krark-Clan Engineers / Engenheiros do Clã-de-Krark</t>
        </is>
      </c>
      <c r="B1227" s="11" t="inlineStr">
        <is>
          <t>Creature — Goblin Artificer / Criatura — Artesão Goblin</t>
        </is>
      </c>
      <c r="C1227" s="11" t="inlineStr">
        <is>
          <t>Uncommon / Incomum</t>
        </is>
      </c>
      <c r="D1227" s="11" t="inlineStr">
        <is>
          <t>{R}, Sacrifice two artifacts: Destroy target artifact. / {R}, Sacrifique dois artefatos: Destrói o artefato alvo.</t>
        </is>
      </c>
      <c r="E1227" s="11" t="inlineStr">
        <is>
          <t>{3}{R}</t>
        </is>
      </c>
      <c r="F1227" s="11" t="inlineStr">
        <is>
          <t>Vermelho</t>
        </is>
      </c>
      <c r="G1227" s="8" t="n">
        <v>0.13</v>
      </c>
      <c r="H1227" s="11" t="inlineStr">
        <is>
          <t>Fifth Dawn (5DN)</t>
        </is>
      </c>
      <c r="I1227" s="11" t="inlineStr">
        <is>
          <t>Não</t>
        </is>
      </c>
      <c r="J1227" s="11" t="n">
        <v>2004</v>
      </c>
      <c r="K1227" s="10" t="n">
        <v>46055</v>
      </c>
      <c r="L1227" s="11" t="n">
        <v>1</v>
      </c>
      <c r="M1227" s="8">
        <f>L1227*G1227</f>
        <v/>
      </c>
      <c r="P1227" s="9" t="n"/>
    </row>
    <row r="1228">
      <c r="A1228" s="11" t="inlineStr">
        <is>
          <t>Quaketusk Boar</t>
        </is>
      </c>
      <c r="B1228" s="11" t="inlineStr">
        <is>
          <t>Creature — Elemental Boar</t>
        </is>
      </c>
      <c r="C1228" s="11" t="inlineStr">
        <is>
          <t>Uncommon / Incomum</t>
        </is>
      </c>
      <c r="D1228" s="11" t="inlineStr">
        <is>
          <t>Reach, trample, haste</t>
        </is>
      </c>
      <c r="E1228" s="11" t="inlineStr">
        <is>
          <t>{3}{R}{R}</t>
        </is>
      </c>
      <c r="F1228" s="11" t="inlineStr">
        <is>
          <t>Vermelho</t>
        </is>
      </c>
      <c r="G1228" s="8" t="n">
        <v>0.11</v>
      </c>
      <c r="H1228" s="11" t="inlineStr">
        <is>
          <t>Bloomburrow (BLB)</t>
        </is>
      </c>
      <c r="I1228" s="11" t="inlineStr">
        <is>
          <t>Não</t>
        </is>
      </c>
      <c r="J1228" s="11" t="n">
        <v>2024</v>
      </c>
      <c r="K1228" s="10" t="n">
        <v>46147</v>
      </c>
      <c r="L1228" s="11" t="n">
        <v>1</v>
      </c>
      <c r="M1228" s="8">
        <f>L1228*G1228</f>
        <v/>
      </c>
      <c r="P1228" s="9" t="n"/>
    </row>
    <row r="1229">
      <c r="A1229" s="11" t="inlineStr">
        <is>
          <t>War Squeak</t>
        </is>
      </c>
      <c r="B1229" s="11" t="inlineStr">
        <is>
          <t>Enchantment — Aura</t>
        </is>
      </c>
      <c r="C1229" s="11" t="inlineStr">
        <is>
          <t>Common / Comum</t>
        </is>
      </c>
      <c r="D1229" s="11" t="inlineStr">
        <is>
          <t>Enchant creature When this Aura enters, target creature an opponent controls can't block this turn. Enchanted creature gets +1/+1 and has haste.</t>
        </is>
      </c>
      <c r="E1229" s="11" t="inlineStr">
        <is>
          <t>{R}</t>
        </is>
      </c>
      <c r="F1229" s="11" t="inlineStr">
        <is>
          <t>Vermelho</t>
        </is>
      </c>
      <c r="G1229" s="8" t="n">
        <v>0.07000000000000001</v>
      </c>
      <c r="H1229" s="11" t="inlineStr">
        <is>
          <t>Bloomburrow (BLB)</t>
        </is>
      </c>
      <c r="I1229" s="11" t="inlineStr">
        <is>
          <t>Não</t>
        </is>
      </c>
      <c r="J1229" s="11" t="n">
        <v>2024</v>
      </c>
      <c r="L1229" s="11" t="n">
        <v>1</v>
      </c>
      <c r="M1229" s="8">
        <f>L1229*G1229</f>
        <v/>
      </c>
      <c r="P1229" s="9" t="n"/>
    </row>
    <row r="1230">
      <c r="A1230" s="11" t="inlineStr">
        <is>
          <t>Fortune Thief / Ladra de Sorte</t>
        </is>
      </c>
      <c r="B1230" s="11" t="inlineStr">
        <is>
          <t>Creature — Human Rogue / Criatura — Ladino Humano</t>
        </is>
      </c>
      <c r="C1230" s="11" t="inlineStr">
        <is>
          <t>Rare / Rara</t>
        </is>
      </c>
      <c r="D1230" s="11"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30" s="11" t="inlineStr">
        <is>
          <t>{4}{R}</t>
        </is>
      </c>
      <c r="F1230" s="11" t="inlineStr">
        <is>
          <t>Vermelho</t>
        </is>
      </c>
      <c r="G1230" s="8" t="n">
        <v>0.3</v>
      </c>
      <c r="H1230" s="11" t="inlineStr">
        <is>
          <t>Masters 25 (A25)</t>
        </is>
      </c>
      <c r="I1230" s="11" t="inlineStr">
        <is>
          <t>Não</t>
        </is>
      </c>
      <c r="J1230" s="11" t="n">
        <v>2018</v>
      </c>
      <c r="K1230" s="11" t="inlineStr">
        <is>
          <t>0/1</t>
        </is>
      </c>
      <c r="L1230" s="11" t="n">
        <v>1</v>
      </c>
      <c r="M1230" s="8">
        <f>L1230*G1230</f>
        <v/>
      </c>
      <c r="P1230" s="9" t="n"/>
    </row>
    <row r="1231">
      <c r="A1231" s="11" t="inlineStr">
        <is>
          <t>Portent of Betrayal / Presságio de Traição</t>
        </is>
      </c>
      <c r="B1231" s="11" t="inlineStr">
        <is>
          <t>Sorcery / Feitiço</t>
        </is>
      </c>
      <c r="C1231" s="11" t="inlineStr">
        <is>
          <t>Common / Comum</t>
        </is>
      </c>
      <c r="D1231" s="11"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31" s="11" t="inlineStr">
        <is>
          <t>{3}{R}</t>
        </is>
      </c>
      <c r="F1231" s="11" t="inlineStr">
        <is>
          <t>Vermelho</t>
        </is>
      </c>
      <c r="G1231" s="8" t="n">
        <v>0.03</v>
      </c>
      <c r="H1231" s="11" t="inlineStr">
        <is>
          <t>Theros Beyond Death (THB)</t>
        </is>
      </c>
      <c r="I1231" s="11" t="inlineStr">
        <is>
          <t>Não</t>
        </is>
      </c>
      <c r="J1231" s="11" t="n">
        <v>2020</v>
      </c>
      <c r="L1231" s="11" t="n">
        <v>1</v>
      </c>
      <c r="M1231" s="8">
        <f>L1231*G1231</f>
        <v/>
      </c>
      <c r="P1231" s="9" t="n"/>
    </row>
    <row r="1232">
      <c r="A1232" s="11" t="inlineStr">
        <is>
          <t>Volley Veteran / Veterano das Saraivadas</t>
        </is>
      </c>
      <c r="B1232" s="11" t="inlineStr">
        <is>
          <t>Creature — Goblin Warrior / Criatura — Goblin Guerreiro</t>
        </is>
      </c>
      <c r="C1232" s="11" t="inlineStr">
        <is>
          <t>Uncommon / Incomum</t>
        </is>
      </c>
      <c r="D1232" s="11"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32" s="11" t="inlineStr">
        <is>
          <t>{3}{R}</t>
        </is>
      </c>
      <c r="F1232" s="11" t="inlineStr">
        <is>
          <t>Vermelho</t>
        </is>
      </c>
      <c r="G1232" s="8" t="n">
        <v>0.15</v>
      </c>
      <c r="H1232" s="11" t="inlineStr">
        <is>
          <t>Core Set 2019 (M19)</t>
        </is>
      </c>
      <c r="I1232" s="11" t="inlineStr">
        <is>
          <t>Não</t>
        </is>
      </c>
      <c r="J1232" s="11" t="n">
        <v>2018</v>
      </c>
      <c r="K1232" s="10" t="n">
        <v>46057</v>
      </c>
      <c r="L1232" s="11" t="n">
        <v>1</v>
      </c>
      <c r="M1232" s="8">
        <f>L1232*G1232</f>
        <v/>
      </c>
      <c r="P1232" s="9" t="n"/>
    </row>
    <row r="1233">
      <c r="A1233" s="11" t="inlineStr">
        <is>
          <t>Tuktuk Scrapper / Sucateiro Tuktuk</t>
        </is>
      </c>
      <c r="B1233" s="11" t="inlineStr">
        <is>
          <t>Creature — Goblin Artificer Ally / Criatura — Goblin Artesão Aliado</t>
        </is>
      </c>
      <c r="C1233" s="11" t="inlineStr">
        <is>
          <t>Uncommon / Incomum</t>
        </is>
      </c>
      <c r="D1233" s="11"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33" s="11" t="inlineStr">
        <is>
          <t>{3}{R}</t>
        </is>
      </c>
      <c r="F1233" s="11" t="inlineStr">
        <is>
          <t>Vermelho</t>
        </is>
      </c>
      <c r="G1233" s="8" t="n">
        <v>0.2</v>
      </c>
      <c r="H1233" s="11" t="inlineStr">
        <is>
          <t>Worldwake (WWK)</t>
        </is>
      </c>
      <c r="I1233" s="11" t="inlineStr">
        <is>
          <t>Não</t>
        </is>
      </c>
      <c r="J1233" s="11" t="n">
        <v>2010</v>
      </c>
      <c r="K1233" s="10" t="n">
        <v>46055</v>
      </c>
      <c r="L1233" s="11" t="n">
        <v>1</v>
      </c>
      <c r="M1233" s="8">
        <f>L1233*G1233</f>
        <v/>
      </c>
      <c r="P1233" s="9" t="n"/>
    </row>
    <row r="1234">
      <c r="A1234" s="11" t="inlineStr">
        <is>
          <t>Spawn of Thraxes / Prole de Traxes</t>
        </is>
      </c>
      <c r="B1234" s="11" t="inlineStr">
        <is>
          <t>Creature — Dragon / Criatura — Dragão</t>
        </is>
      </c>
      <c r="C1234" s="11" t="inlineStr">
        <is>
          <t>Rare / Rara</t>
        </is>
      </c>
      <c r="D1234" s="11"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34" s="11" t="inlineStr">
        <is>
          <t>{5}{R}{R}</t>
        </is>
      </c>
      <c r="F1234" s="11" t="inlineStr">
        <is>
          <t>Vermelho</t>
        </is>
      </c>
      <c r="G1234" s="8" t="n">
        <v>0.33</v>
      </c>
      <c r="H1234" s="11" t="inlineStr">
        <is>
          <t>Journey into Nyx Promos (PJOU)</t>
        </is>
      </c>
      <c r="I1234" s="11" t="inlineStr">
        <is>
          <t>Sim</t>
        </is>
      </c>
      <c r="J1234" s="11" t="n">
        <v>2014</v>
      </c>
      <c r="K1234" s="10" t="n">
        <v>46147</v>
      </c>
      <c r="L1234" s="11" t="n">
        <v>1</v>
      </c>
      <c r="M1234" s="8">
        <f>L1234*G1234</f>
        <v/>
      </c>
      <c r="P1234" s="9" t="n"/>
    </row>
    <row r="1235">
      <c r="A1235" s="11" t="inlineStr">
        <is>
          <t>Oread of Mountain's Blaze / Oréade da Labareda Montanhesca</t>
        </is>
      </c>
      <c r="B1235" s="11" t="inlineStr">
        <is>
          <t>Enchantment Creature — Nymph / Criatura Encantamento — Ninfa</t>
        </is>
      </c>
      <c r="C1235" s="11" t="inlineStr">
        <is>
          <t>Common / Comum</t>
        </is>
      </c>
      <c r="D1235" s="11" t="inlineStr">
        <is>
          <t>{2}{R}, Discard a card: Draw a card. / {2}{R}, descarte um card: Compre um card.</t>
        </is>
      </c>
      <c r="E1235" s="11" t="inlineStr">
        <is>
          <t>{1}{R}</t>
        </is>
      </c>
      <c r="F1235" s="11" t="inlineStr">
        <is>
          <t>Vermelho</t>
        </is>
      </c>
      <c r="G1235" s="8" t="n">
        <v>0.03</v>
      </c>
      <c r="H1235" s="11" t="inlineStr">
        <is>
          <t>Theros Beyond Death (THB)</t>
        </is>
      </c>
      <c r="I1235" s="11" t="inlineStr">
        <is>
          <t>Não</t>
        </is>
      </c>
      <c r="J1235" s="11" t="n">
        <v>2020</v>
      </c>
      <c r="K1235" s="10" t="n">
        <v>46082</v>
      </c>
      <c r="L1235" s="11" t="n">
        <v>1</v>
      </c>
      <c r="M1235" s="8">
        <f>L1235*G1235</f>
        <v/>
      </c>
      <c r="P1235" s="9" t="n"/>
    </row>
    <row r="1236">
      <c r="A1236" s="11" t="inlineStr">
        <is>
          <t>Akki Ember-Keeper / Akki Custódio das Brasas</t>
        </is>
      </c>
      <c r="B1236" s="11" t="inlineStr">
        <is>
          <t>Enchantment Creature — Goblin Warrior / Criatura Encantamento — Goblin Guerreiro</t>
        </is>
      </c>
      <c r="C1236" s="11" t="inlineStr">
        <is>
          <t>Common / Comum</t>
        </is>
      </c>
      <c r="D1236" s="11"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6" s="11" t="inlineStr">
        <is>
          <t>{1}{R}</t>
        </is>
      </c>
      <c r="F1236" s="11" t="inlineStr">
        <is>
          <t>Vermelho</t>
        </is>
      </c>
      <c r="G1236" s="8" t="n">
        <v>0.1</v>
      </c>
      <c r="H1236" s="11" t="inlineStr">
        <is>
          <t>Kamigawa: Neon Dynasty (NEO)</t>
        </is>
      </c>
      <c r="I1236" s="11" t="inlineStr">
        <is>
          <t>Não</t>
        </is>
      </c>
      <c r="J1236" s="11" t="n">
        <v>2022</v>
      </c>
      <c r="K1236" s="10" t="n">
        <v>46024</v>
      </c>
      <c r="L1236" s="11" t="n">
        <v>1</v>
      </c>
      <c r="M1236" s="8">
        <f>L1236*G1236</f>
        <v/>
      </c>
      <c r="P1236" s="9" t="n"/>
    </row>
    <row r="1237">
      <c r="A1237" s="11" t="inlineStr">
        <is>
          <t>Goblin Kaboomist / Goblin Cabumista</t>
        </is>
      </c>
      <c r="B1237" s="11" t="inlineStr">
        <is>
          <t>Creature — Goblin Warrior / Criatura — Goblin Guerreiro</t>
        </is>
      </c>
      <c r="C1237" s="11" t="inlineStr">
        <is>
          <t>Rare / Rara</t>
        </is>
      </c>
      <c r="D1237" s="11"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7" s="11" t="inlineStr">
        <is>
          <t>{1}{R}</t>
        </is>
      </c>
      <c r="F1237" s="11" t="inlineStr">
        <is>
          <t>Vermelho</t>
        </is>
      </c>
      <c r="G1237" s="8" t="n">
        <v>0.25</v>
      </c>
      <c r="H1237" s="11" t="inlineStr">
        <is>
          <t>Magic 2015 (M15)</t>
        </is>
      </c>
      <c r="I1237" s="11" t="inlineStr">
        <is>
          <t>Não</t>
        </is>
      </c>
      <c r="J1237" s="11" t="n">
        <v>2014</v>
      </c>
      <c r="K1237" s="10" t="n">
        <v>46054</v>
      </c>
      <c r="L1237" s="11" t="n">
        <v>1</v>
      </c>
      <c r="M1237" s="8">
        <f>L1237*G1237</f>
        <v/>
      </c>
      <c r="P1237" s="9" t="n"/>
    </row>
    <row r="1238">
      <c r="A1238" s="11" t="inlineStr">
        <is>
          <t>Lightning Strike / Golpe Relampejante</t>
        </is>
      </c>
      <c r="B1238" s="11" t="inlineStr">
        <is>
          <t>Instant / Mágica Instantânea</t>
        </is>
      </c>
      <c r="C1238" s="11" t="inlineStr">
        <is>
          <t>Uncommon / Incomum</t>
        </is>
      </c>
      <c r="D1238" s="11" t="inlineStr">
        <is>
          <t>Lightning Strike deals 3 damage to any target. / Golpe Relampejante causa 3 pontos de dano à criatura ou ao jogador alvo.</t>
        </is>
      </c>
      <c r="E1238" s="11" t="inlineStr">
        <is>
          <t>{1}{R}</t>
        </is>
      </c>
      <c r="F1238" s="11" t="inlineStr">
        <is>
          <t>Vermelho</t>
        </is>
      </c>
      <c r="G1238" s="8" t="n">
        <v>0.1</v>
      </c>
      <c r="H1238" s="11" t="inlineStr">
        <is>
          <t>Ixalan (XLN)</t>
        </is>
      </c>
      <c r="I1238" s="11" t="inlineStr">
        <is>
          <t>Não</t>
        </is>
      </c>
      <c r="J1238" s="11" t="n">
        <v>2017</v>
      </c>
      <c r="L1238" s="11" t="n">
        <v>2</v>
      </c>
      <c r="M1238" s="8">
        <f>L1238*G1238</f>
        <v/>
      </c>
      <c r="P1238" s="9" t="n"/>
    </row>
    <row r="1239">
      <c r="A1239" s="11" t="inlineStr">
        <is>
          <t>Firebolt / Raio de Fogo</t>
        </is>
      </c>
      <c r="B1239" s="11" t="inlineStr">
        <is>
          <t>Sorcery / Feitiço</t>
        </is>
      </c>
      <c r="C1239" s="11" t="inlineStr">
        <is>
          <t>Common / Comum</t>
        </is>
      </c>
      <c r="D1239" s="11"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9" s="11" t="inlineStr">
        <is>
          <t>{R}</t>
        </is>
      </c>
      <c r="F1239" s="11" t="inlineStr">
        <is>
          <t>Vermelho</t>
        </is>
      </c>
      <c r="G1239" s="8" t="n">
        <v>0.14</v>
      </c>
      <c r="H1239" s="11" t="inlineStr">
        <is>
          <t>Eternal Masters (EMA)</t>
        </is>
      </c>
      <c r="I1239" s="11" t="inlineStr">
        <is>
          <t>Não</t>
        </is>
      </c>
      <c r="J1239" s="11" t="n">
        <v>2016</v>
      </c>
      <c r="L1239" s="11" t="n">
        <v>2</v>
      </c>
      <c r="M1239" s="8">
        <f>L1239*G1239</f>
        <v/>
      </c>
      <c r="P1239" s="9" t="n"/>
    </row>
    <row r="1240">
      <c r="A1240" s="11" t="inlineStr">
        <is>
          <t>Flayer of the Hatebound / Esfolador do Laço de Ódio</t>
        </is>
      </c>
      <c r="B1240" s="11" t="inlineStr">
        <is>
          <t>Creature — Devil / Criatura — Diabo</t>
        </is>
      </c>
      <c r="C1240" s="11" t="inlineStr">
        <is>
          <t>Rare / Rara</t>
        </is>
      </c>
      <c r="D1240" s="11"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40" s="11" t="inlineStr">
        <is>
          <t>{5}{R}</t>
        </is>
      </c>
      <c r="F1240" s="11" t="inlineStr">
        <is>
          <t>Vermelho</t>
        </is>
      </c>
      <c r="G1240" s="8" t="n">
        <v>0.35</v>
      </c>
      <c r="H1240" s="11" t="inlineStr">
        <is>
          <t>Dark Ascension (DKA)</t>
        </is>
      </c>
      <c r="I1240" s="11" t="inlineStr">
        <is>
          <t>Não</t>
        </is>
      </c>
      <c r="J1240" s="11" t="n">
        <v>2012</v>
      </c>
      <c r="K1240" s="10" t="n">
        <v>46057</v>
      </c>
      <c r="L1240" s="11" t="n">
        <v>1</v>
      </c>
      <c r="M1240" s="8">
        <f>L1240*G1240</f>
        <v/>
      </c>
      <c r="P1240" s="9" t="n"/>
    </row>
    <row r="1241">
      <c r="A1241" s="11" t="inlineStr">
        <is>
          <t>Arena Trickster / Trapaceiro da Arena</t>
        </is>
      </c>
      <c r="B1241" s="11" t="inlineStr">
        <is>
          <t>Creature — Human Shaman / Criatura — Humano Xamã</t>
        </is>
      </c>
      <c r="C1241" s="11" t="inlineStr">
        <is>
          <t>Common / Comum</t>
        </is>
      </c>
      <c r="D1241" s="11" t="inlineStr">
        <is>
          <t>Whenever you cast your first spell during each opponent's turn, put a +1/+1 counter on this creature. / Toda vez que você conjurar sua primeira mágica durante o turno de cada oponente, coloque um marcador +1/+1 em Trapaceiro da Arena.</t>
        </is>
      </c>
      <c r="E1241" s="11" t="inlineStr">
        <is>
          <t>{3}{R}</t>
        </is>
      </c>
      <c r="F1241" s="11" t="inlineStr">
        <is>
          <t>Vermelho</t>
        </is>
      </c>
      <c r="G1241" s="8" t="n">
        <v>0.03</v>
      </c>
      <c r="H1241" s="11" t="inlineStr">
        <is>
          <t>Theros Beyond Death (THB)</t>
        </is>
      </c>
      <c r="I1241" s="11" t="inlineStr">
        <is>
          <t>Não</t>
        </is>
      </c>
      <c r="J1241" s="11" t="n">
        <v>2020</v>
      </c>
      <c r="K1241" s="10" t="n">
        <v>46084</v>
      </c>
      <c r="L1241" s="11" t="n">
        <v>1</v>
      </c>
      <c r="M1241" s="8">
        <f>L1241*G1241</f>
        <v/>
      </c>
      <c r="P1241" s="9" t="n"/>
    </row>
    <row r="1242">
      <c r="A1242" s="11" t="inlineStr">
        <is>
          <t>Clawing Torment / Tormento dos Arranhões</t>
        </is>
      </c>
      <c r="B1242" s="11" t="inlineStr">
        <is>
          <t>Enchantment — Aura / Encantamento — Aura</t>
        </is>
      </c>
      <c r="C1242" s="11" t="inlineStr">
        <is>
          <t>Common / Comum</t>
        </is>
      </c>
      <c r="D1242" s="11"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42" s="11" t="inlineStr">
        <is>
          <t>{B}</t>
        </is>
      </c>
      <c r="F1242" s="11" t="inlineStr">
        <is>
          <t>Preto</t>
        </is>
      </c>
      <c r="G1242" s="8" t="n">
        <v>0.2</v>
      </c>
      <c r="H1242" s="11" t="inlineStr">
        <is>
          <t>Kamigawa: Neon Dynasty (NEO)</t>
        </is>
      </c>
      <c r="I1242" s="11" t="inlineStr">
        <is>
          <t>Não</t>
        </is>
      </c>
      <c r="J1242" s="11" t="n">
        <v>2022</v>
      </c>
      <c r="L1242" s="11" t="n">
        <v>1</v>
      </c>
      <c r="M1242" s="8">
        <f>L1242*G1242</f>
        <v/>
      </c>
      <c r="P1242" s="9" t="n"/>
    </row>
    <row r="1243">
      <c r="A1243" s="11" t="inlineStr">
        <is>
          <t>Fade into Antiquity / Desaparecer na Antiguidade</t>
        </is>
      </c>
      <c r="B1243" s="11" t="inlineStr">
        <is>
          <t>Sorcery / Feitiço</t>
        </is>
      </c>
      <c r="C1243" s="11" t="inlineStr">
        <is>
          <t>Common / Comum</t>
        </is>
      </c>
      <c r="D1243" s="11" t="inlineStr">
        <is>
          <t>Exile target artifact or enchantment. / Exile o artefato ou encantamento alvo.</t>
        </is>
      </c>
      <c r="E1243" s="11" t="inlineStr">
        <is>
          <t>{2}{G}</t>
        </is>
      </c>
      <c r="F1243" s="11" t="inlineStr">
        <is>
          <t>Verde</t>
        </is>
      </c>
      <c r="G1243" s="8" t="n">
        <v>0.06</v>
      </c>
      <c r="H1243" s="11" t="inlineStr">
        <is>
          <t>Kamigawa: Neon Dynasty (NEO)</t>
        </is>
      </c>
      <c r="I1243" s="11" t="inlineStr">
        <is>
          <t>Não</t>
        </is>
      </c>
      <c r="J1243" s="11" t="n">
        <v>2022</v>
      </c>
      <c r="L1243" s="11" t="n">
        <v>1</v>
      </c>
      <c r="M1243" s="8">
        <f>L1243*G1243</f>
        <v/>
      </c>
      <c r="P1243" s="9" t="n"/>
    </row>
    <row r="1244">
      <c r="A1244" s="11" t="inlineStr">
        <is>
          <t>Reckoner Shakedown / Extorsão dos Justiceiros</t>
        </is>
      </c>
      <c r="B1244" s="11" t="inlineStr">
        <is>
          <t>Sorcery / Feitiço</t>
        </is>
      </c>
      <c r="C1244" s="11" t="inlineStr">
        <is>
          <t>Common / Comum</t>
        </is>
      </c>
      <c r="D1244" s="11"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44" s="11" t="inlineStr">
        <is>
          <t>{2}{B}</t>
        </is>
      </c>
      <c r="F1244" s="11" t="inlineStr">
        <is>
          <t>Preto</t>
        </is>
      </c>
      <c r="G1244" s="8" t="n">
        <v>0.05</v>
      </c>
      <c r="H1244" s="11" t="inlineStr">
        <is>
          <t>Kamigawa: Neon Dynasty (NEO)</t>
        </is>
      </c>
      <c r="I1244" s="11" t="inlineStr">
        <is>
          <t>Não</t>
        </is>
      </c>
      <c r="J1244" s="11" t="n">
        <v>2022</v>
      </c>
      <c r="L1244" s="11" t="n">
        <v>1</v>
      </c>
      <c r="M1244" s="8">
        <f>L1244*G1244</f>
        <v/>
      </c>
      <c r="P1244" s="9" t="n"/>
    </row>
    <row r="1245">
      <c r="A1245" s="11" t="inlineStr">
        <is>
          <t>Kaito's Pursuit / Perseguição de Kaito</t>
        </is>
      </c>
      <c r="B1245" s="11" t="inlineStr">
        <is>
          <t>Sorcery / Feitiço</t>
        </is>
      </c>
      <c r="C1245" s="11" t="inlineStr">
        <is>
          <t>Common / Comum</t>
        </is>
      </c>
      <c r="D1245" s="11"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5" s="11" t="inlineStr">
        <is>
          <t>{2}{B}</t>
        </is>
      </c>
      <c r="F1245" s="11" t="inlineStr">
        <is>
          <t>Preto</t>
        </is>
      </c>
      <c r="G1245" s="8" t="n">
        <v>0.06</v>
      </c>
      <c r="H1245" s="11" t="inlineStr">
        <is>
          <t>Kamigawa: Neon Dynasty (NEO)</t>
        </is>
      </c>
      <c r="I1245" s="11" t="inlineStr">
        <is>
          <t>Não</t>
        </is>
      </c>
      <c r="J1245" s="11" t="n">
        <v>2022</v>
      </c>
      <c r="L1245" s="11" t="n">
        <v>1</v>
      </c>
      <c r="M1245" s="8">
        <f>L1245*G1245</f>
        <v/>
      </c>
      <c r="P1245" s="9" t="n"/>
    </row>
    <row r="1246">
      <c r="A1246" s="11" t="inlineStr">
        <is>
          <t>Inkrise Infiltrator / Infiltradora Asas de Tinta</t>
        </is>
      </c>
      <c r="B1246" s="11" t="inlineStr">
        <is>
          <t>Creature — Human Ninja / Criatura — Humano Ninja</t>
        </is>
      </c>
      <c r="C1246" s="11" t="inlineStr">
        <is>
          <t>Common / Comum</t>
        </is>
      </c>
      <c r="D1246" s="11" t="inlineStr">
        <is>
          <t>Flying {3}{B}: This creature gets +2/+2 until end of turn. / Voar {3}{B}: Infiltradora Asas de Tinta recebe +2/+2 até o final do turno.</t>
        </is>
      </c>
      <c r="E1246" s="11" t="inlineStr">
        <is>
          <t>{1}{B}</t>
        </is>
      </c>
      <c r="F1246" s="11" t="inlineStr">
        <is>
          <t>Preto</t>
        </is>
      </c>
      <c r="G1246" s="8" t="n">
        <v>0.1</v>
      </c>
      <c r="H1246" s="11" t="inlineStr">
        <is>
          <t>Kamigawa: Neon Dynasty (NEO)</t>
        </is>
      </c>
      <c r="I1246" s="11" t="inlineStr">
        <is>
          <t>Não</t>
        </is>
      </c>
      <c r="J1246" s="11" t="n">
        <v>2022</v>
      </c>
      <c r="K1246" s="10" t="n">
        <v>46054</v>
      </c>
      <c r="L1246" s="11" t="n">
        <v>1</v>
      </c>
      <c r="M1246" s="8">
        <f>L1246*G1246</f>
        <v/>
      </c>
      <c r="P1246" s="9" t="n"/>
    </row>
    <row r="1247">
      <c r="A1247" s="11" t="inlineStr">
        <is>
          <t>Inkrise Infiltrator / Infiltradora Asas de Tinta</t>
        </is>
      </c>
      <c r="B1247" s="11" t="inlineStr">
        <is>
          <t>Creature — Human Ninja / Criatura — Humano Ninja</t>
        </is>
      </c>
      <c r="C1247" s="11" t="inlineStr">
        <is>
          <t>Common / Comum</t>
        </is>
      </c>
      <c r="D1247" s="11" t="inlineStr">
        <is>
          <t>Flying {3}{B}: This creature gets +2/+2 until end of turn. / Voar {3}{B}: Infiltradora Asas de Tinta recebe +2/+2 até o final do turno.</t>
        </is>
      </c>
      <c r="E1247" s="11" t="inlineStr">
        <is>
          <t>{1}{B}</t>
        </is>
      </c>
      <c r="F1247" s="11" t="inlineStr">
        <is>
          <t>Preto</t>
        </is>
      </c>
      <c r="G1247" s="8" t="n">
        <v>0.08</v>
      </c>
      <c r="H1247" s="11" t="inlineStr">
        <is>
          <t>Kamigawa: Neon Dynasty (NEO) V</t>
        </is>
      </c>
      <c r="I1247" s="11" t="inlineStr">
        <is>
          <t>Não</t>
        </is>
      </c>
      <c r="J1247" s="11" t="n">
        <v>2022</v>
      </c>
      <c r="K1247" s="10" t="n">
        <v>46054</v>
      </c>
      <c r="L1247" s="11" t="n">
        <v>1</v>
      </c>
      <c r="M1247" s="8">
        <f>L1247*G1247</f>
        <v/>
      </c>
      <c r="P1247" s="9" t="n"/>
    </row>
    <row r="1248">
      <c r="A1248" s="11" t="inlineStr">
        <is>
          <t>Nezumi Bladeblesser / Benze-espada Nezumi</t>
        </is>
      </c>
      <c r="B1248" s="11" t="inlineStr">
        <is>
          <t>Creature — Rat Samurai / Criatura — Rato Samurai</t>
        </is>
      </c>
      <c r="C1248" s="11" t="inlineStr">
        <is>
          <t>Common / Comum</t>
        </is>
      </c>
      <c r="D1248" s="11"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8" s="11" t="inlineStr">
        <is>
          <t>{2}{B}</t>
        </is>
      </c>
      <c r="F1248" s="11" t="inlineStr">
        <is>
          <t>Preto</t>
        </is>
      </c>
      <c r="G1248" s="8" t="n">
        <v>0.06</v>
      </c>
      <c r="H1248" s="11" t="inlineStr">
        <is>
          <t>Kamigawa: Neon Dynasty (NEO)</t>
        </is>
      </c>
      <c r="I1248" s="11" t="inlineStr">
        <is>
          <t>Não</t>
        </is>
      </c>
      <c r="J1248" s="11" t="n">
        <v>2022</v>
      </c>
      <c r="K1248" s="10" t="n">
        <v>46056</v>
      </c>
      <c r="L1248" s="11" t="n">
        <v>1</v>
      </c>
      <c r="M1248" s="8">
        <f>L1248*G1248</f>
        <v/>
      </c>
      <c r="P1248" s="9" t="n"/>
    </row>
    <row r="1249">
      <c r="A1249" s="11" t="inlineStr">
        <is>
          <t>Kami of Terrible Secrets / Kami dos Segredos Terríveis</t>
        </is>
      </c>
      <c r="B1249" s="11" t="inlineStr">
        <is>
          <t>Creature — Spirit / Criatura — Espírito</t>
        </is>
      </c>
      <c r="C1249" s="11" t="inlineStr">
        <is>
          <t>Common / Comum</t>
        </is>
      </c>
      <c r="D1249" s="11"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9" s="11" t="inlineStr">
        <is>
          <t>{3}{B}</t>
        </is>
      </c>
      <c r="F1249" s="11" t="inlineStr">
        <is>
          <t>Preto</t>
        </is>
      </c>
      <c r="G1249" s="8" t="n">
        <v>0.06</v>
      </c>
      <c r="H1249" s="11" t="inlineStr">
        <is>
          <t>Kamigawa: Neon Dynasty (NEO)</t>
        </is>
      </c>
      <c r="I1249" s="11" t="inlineStr">
        <is>
          <t>Não</t>
        </is>
      </c>
      <c r="J1249" s="11" t="n">
        <v>2022</v>
      </c>
      <c r="K1249" s="10" t="n">
        <v>46115</v>
      </c>
      <c r="L1249" s="11" t="n">
        <v>1</v>
      </c>
      <c r="M1249" s="8">
        <f>L1249*G1249</f>
        <v/>
      </c>
      <c r="P1249" s="9" t="n"/>
    </row>
    <row r="1250">
      <c r="A1250" s="11" t="inlineStr">
        <is>
          <t>Mímico da Noite / Nightshade Schemer</t>
        </is>
      </c>
      <c r="B1250" s="11" t="inlineStr">
        <is>
          <t>Criatura — Metamorfo / Creature — Shapeshifter</t>
        </is>
      </c>
      <c r="C1250" s="11" t="inlineStr">
        <is>
          <t>Incomum / Uncommon</t>
        </is>
      </c>
      <c r="D1250" s="11" t="inlineStr">
        <is>
          <t>Toda vez que você joga uma mágica que é branca e preta, Mímico da Noite torna-se 4/4 e ganha voar até o final do turno. / Whenever you cast a white and black spell, Nightshade Schemer becomes 4/4 and gains flying until end of turn.</t>
        </is>
      </c>
      <c r="E1250" s="11" t="inlineStr">
        <is>
          <t>{1}{W/B}</t>
        </is>
      </c>
      <c r="F1250" s="11" t="inlineStr">
        <is>
          <t>Branco e Preto / White and Black</t>
        </is>
      </c>
      <c r="G1250" s="8" t="n">
        <v>0.18</v>
      </c>
      <c r="H1250" s="11" t="inlineStr">
        <is>
          <t>Eventide (EVE)</t>
        </is>
      </c>
      <c r="I1250" s="11" t="inlineStr">
        <is>
          <t>Não</t>
        </is>
      </c>
      <c r="J1250" s="11" t="n">
        <v>2008</v>
      </c>
      <c r="K1250" s="10" t="n">
        <v>46024</v>
      </c>
      <c r="L1250" s="11" t="n">
        <v>4</v>
      </c>
      <c r="M1250" s="8">
        <f>L1250*G1250</f>
        <v/>
      </c>
      <c r="P1250" s="9" t="n"/>
    </row>
    <row r="1251">
      <c r="A1251" s="11" t="inlineStr">
        <is>
          <t>Old Rutstein / Velho Rutstein</t>
        </is>
      </c>
      <c r="B1251" s="11" t="inlineStr">
        <is>
          <t>Legendary Creature — Human Peasant / Criatura Lendária — Humano Plebeu</t>
        </is>
      </c>
      <c r="C1251" s="11" t="inlineStr">
        <is>
          <t>Rare / Rara</t>
        </is>
      </c>
      <c r="D1251" s="11"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51" s="11" t="inlineStr">
        <is>
          <t>{1}{B}{G}</t>
        </is>
      </c>
      <c r="F1251" s="11" t="inlineStr">
        <is>
          <t>Preto, Verde</t>
        </is>
      </c>
      <c r="G1251" s="8" t="n">
        <v>3.28</v>
      </c>
      <c r="H1251" s="11" t="inlineStr">
        <is>
          <t>Innistrad: Crimson Vow (VOW)</t>
        </is>
      </c>
      <c r="I1251" s="11" t="inlineStr">
        <is>
          <t>Não</t>
        </is>
      </c>
      <c r="J1251" s="11" t="n">
        <v>2021</v>
      </c>
      <c r="K1251" s="10" t="n">
        <v>46113</v>
      </c>
      <c r="L1251" s="11" t="n">
        <v>1</v>
      </c>
      <c r="M1251" s="8">
        <f>L1251*G1251</f>
        <v/>
      </c>
      <c r="P1251" s="9" t="n"/>
    </row>
    <row r="1252">
      <c r="A1252" s="11" t="inlineStr">
        <is>
          <t>Gurmag Swiftwing / Asa-veloz Gurmag</t>
        </is>
      </c>
      <c r="B1252" s="11" t="inlineStr">
        <is>
          <t>Creature — Bat / Criatura — Morcego</t>
        </is>
      </c>
      <c r="C1252" s="11" t="inlineStr">
        <is>
          <t>Uncommon / Incomum</t>
        </is>
      </c>
      <c r="D1252" s="11" t="inlineStr">
        <is>
          <t>Flying, first strike, haste / Voar, iniciativa, ímpeto</t>
        </is>
      </c>
      <c r="E1252" s="11" t="inlineStr">
        <is>
          <t>{1}{B}</t>
        </is>
      </c>
      <c r="F1252" s="11" t="inlineStr">
        <is>
          <t>Preto</t>
        </is>
      </c>
      <c r="G1252" s="8" t="n">
        <v>0.15</v>
      </c>
      <c r="H1252" s="11" t="inlineStr">
        <is>
          <t>Khans of Tarkir (KTK)</t>
        </is>
      </c>
      <c r="I1252" s="11" t="inlineStr">
        <is>
          <t>Não</t>
        </is>
      </c>
      <c r="J1252" s="11" t="n">
        <v>2014</v>
      </c>
      <c r="K1252" s="10" t="n">
        <v>46054</v>
      </c>
      <c r="L1252" s="11" t="n">
        <v>2</v>
      </c>
      <c r="M1252" s="8">
        <f>L1252*G1252</f>
        <v/>
      </c>
      <c r="P1252" s="9" t="n"/>
    </row>
    <row r="1253">
      <c r="A1253" s="11" t="inlineStr">
        <is>
          <t>Embrace the Paradox</t>
        </is>
      </c>
      <c r="B1253" s="11" t="inlineStr">
        <is>
          <t>Instant</t>
        </is>
      </c>
      <c r="C1253" s="11" t="inlineStr">
        <is>
          <t>Common / Comum</t>
        </is>
      </c>
      <c r="D1253" s="11" t="inlineStr">
        <is>
          <t>Draw three cards. You may put a land card from your hand onto the battlefield tapped.</t>
        </is>
      </c>
      <c r="E1253" s="11" t="inlineStr">
        <is>
          <t>{3}{G}{U}</t>
        </is>
      </c>
      <c r="F1253" s="11" t="inlineStr">
        <is>
          <t>Verde, Azul</t>
        </is>
      </c>
      <c r="G1253" s="8" t="n">
        <v>0.14</v>
      </c>
      <c r="H1253" s="11" t="inlineStr">
        <is>
          <t>Secrets of Strixhaven (SOS)</t>
        </is>
      </c>
      <c r="I1253" s="11" t="inlineStr">
        <is>
          <t>Não</t>
        </is>
      </c>
      <c r="J1253" s="11" t="n">
        <v>2026</v>
      </c>
      <c r="L1253" s="11" t="n">
        <v>4</v>
      </c>
      <c r="M1253" s="8">
        <f>L1253*G1253</f>
        <v/>
      </c>
      <c r="P1253" s="9" t="n"/>
    </row>
    <row r="1254">
      <c r="A1254" s="11" t="inlineStr">
        <is>
          <t>Tranquil Cove / Angra Tranquila</t>
        </is>
      </c>
      <c r="B1254" s="11" t="inlineStr">
        <is>
          <t>Land / Terreno</t>
        </is>
      </c>
      <c r="C1254" s="11" t="inlineStr">
        <is>
          <t>Common / Comum</t>
        </is>
      </c>
      <c r="D1254" s="11" t="inlineStr">
        <is>
          <t>This land enters tapped. When this land enters, you gain 1 life. {T}: Add {W} or {U}. / Angra Tranquila entra no campo de batalha virada. Quando Angra Tranquila entra no campo de batalha, você ganha 1 ponto de vida. {T}: Adicione {W} ou {U}.</t>
        </is>
      </c>
      <c r="F1254" s="11" t="inlineStr">
        <is>
          <t>Azul, Branco</t>
        </is>
      </c>
      <c r="G1254" s="8" t="n">
        <v>0.1</v>
      </c>
      <c r="H1254" s="11" t="inlineStr">
        <is>
          <t>Kamigawa: Neon Dynasty (NEO)</t>
        </is>
      </c>
      <c r="I1254" s="11" t="inlineStr">
        <is>
          <t>Não</t>
        </is>
      </c>
      <c r="J1254" s="11" t="n">
        <v>2022</v>
      </c>
      <c r="L1254" s="11" t="n">
        <v>4</v>
      </c>
      <c r="M1254" s="8">
        <f>L1254*G1254</f>
        <v/>
      </c>
      <c r="P1254" s="9" t="n"/>
    </row>
    <row r="1255">
      <c r="A1255" s="11" t="inlineStr">
        <is>
          <t>Rugged Highlands / Planalto Acidentado</t>
        </is>
      </c>
      <c r="B1255" s="11" t="inlineStr">
        <is>
          <t>Land / Terreno</t>
        </is>
      </c>
      <c r="C1255" s="11" t="inlineStr">
        <is>
          <t>Common / Comum</t>
        </is>
      </c>
      <c r="D1255" s="11" t="inlineStr">
        <is>
          <t>This land enters tapped. When this land enters, you gain 1 life. {T}: Add {R} or {G}. / Planalto Acidentado entra no campo de batalha virado. Quando Planalto Acidentado entra no campo de batalha, você ganha 1 ponto de vida. {T}: Adicione {R} ou {G}.</t>
        </is>
      </c>
      <c r="F1255" s="11" t="inlineStr">
        <is>
          <t>Verde, Vermelho</t>
        </is>
      </c>
      <c r="G1255" s="8" t="n">
        <v>0.14</v>
      </c>
      <c r="H1255" s="11" t="inlineStr">
        <is>
          <t>Kamigawa: Neon Dynasty (NEO)</t>
        </is>
      </c>
      <c r="I1255" s="11" t="inlineStr">
        <is>
          <t>Não</t>
        </is>
      </c>
      <c r="J1255" s="11" t="n">
        <v>2022</v>
      </c>
      <c r="L1255" s="11" t="n">
        <v>1</v>
      </c>
      <c r="M1255" s="8">
        <f>L1255*G1255</f>
        <v/>
      </c>
      <c r="P1255" s="9" t="n"/>
    </row>
    <row r="1256">
      <c r="A1256" s="11" t="inlineStr">
        <is>
          <t>Halimar Depths / Profundezas de Halimar</t>
        </is>
      </c>
      <c r="B1256" s="11" t="inlineStr">
        <is>
          <t>Land / Terreno</t>
        </is>
      </c>
      <c r="C1256" s="11" t="inlineStr">
        <is>
          <t>Common / Comum</t>
        </is>
      </c>
      <c r="D1256" s="11"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6" s="11" t="inlineStr">
        <is>
          <t>Azul</t>
        </is>
      </c>
      <c r="G1256" s="8" t="n">
        <v>0.48</v>
      </c>
      <c r="H1256" s="11" t="inlineStr">
        <is>
          <t>Worldwake (WWK)</t>
        </is>
      </c>
      <c r="I1256" s="11" t="inlineStr">
        <is>
          <t>Não</t>
        </is>
      </c>
      <c r="J1256" s="11" t="n">
        <v>2010</v>
      </c>
      <c r="L1256" s="11" t="n">
        <v>1</v>
      </c>
      <c r="M1256" s="8">
        <f>L1256*G1256</f>
        <v/>
      </c>
      <c r="P1256" s="9" t="n"/>
    </row>
    <row r="1257">
      <c r="A1257" s="11" t="inlineStr">
        <is>
          <t>Azorius Guildgate / Portão da Guilda Azorius</t>
        </is>
      </c>
      <c r="B1257" s="11" t="inlineStr">
        <is>
          <t>Land — Gate / Terreno — Portão</t>
        </is>
      </c>
      <c r="C1257" s="11" t="inlineStr">
        <is>
          <t>Common / Comum</t>
        </is>
      </c>
      <c r="D1257" s="11" t="inlineStr">
        <is>
          <t>This land enters tapped. {T}: Add {W} or {U}. / Portão da Guilda Azorius entra no campo de batalha virado. {T}: Adicione {W} ou {U}.</t>
        </is>
      </c>
      <c r="F1257" s="11" t="inlineStr">
        <is>
          <t>Azul, Branco</t>
        </is>
      </c>
      <c r="G1257" s="8" t="n">
        <v>0.06</v>
      </c>
      <c r="H1257" s="11" t="inlineStr">
        <is>
          <t>Ravnica Allegiance (RNA)</t>
        </is>
      </c>
      <c r="I1257" s="11" t="inlineStr">
        <is>
          <t>Não</t>
        </is>
      </c>
      <c r="J1257" s="11" t="n">
        <v>2019</v>
      </c>
      <c r="L1257" s="11" t="n">
        <v>1</v>
      </c>
      <c r="M1257" s="8">
        <f>L1257*G1257</f>
        <v/>
      </c>
      <c r="P1257" s="9" t="n"/>
    </row>
    <row r="1258">
      <c r="A1258" s="11" t="inlineStr">
        <is>
          <t>Teeterpeak Ambusher / Emboscador dos Picos Vacilantes</t>
        </is>
      </c>
      <c r="B1258" s="11" t="inlineStr">
        <is>
          <t>Creature — Goblin Warrior / Criatura — Goblin Guerreiro</t>
        </is>
      </c>
      <c r="C1258" s="11" t="inlineStr">
        <is>
          <t>Common / Comum</t>
        </is>
      </c>
      <c r="D1258" s="11" t="inlineStr">
        <is>
          <t>{2}{R}: This creature gets +2/+0 until end of turn. / {2}{R}: Emboscador dos Picos Vacilantes recebe +2/+0 até o final do turno.</t>
        </is>
      </c>
      <c r="E1258" s="11" t="inlineStr">
        <is>
          <t>{1}{R}</t>
        </is>
      </c>
      <c r="F1258" s="11" t="inlineStr">
        <is>
          <t>Vermelho</t>
        </is>
      </c>
      <c r="G1258" s="8" t="n">
        <v>0.16</v>
      </c>
      <c r="H1258" s="11" t="inlineStr">
        <is>
          <t>Zendikar Rising (ZNR)</t>
        </is>
      </c>
      <c r="I1258" s="11" t="inlineStr">
        <is>
          <t>Não</t>
        </is>
      </c>
      <c r="J1258" s="11" t="n">
        <v>2020</v>
      </c>
      <c r="K1258" s="10" t="n">
        <v>46082</v>
      </c>
      <c r="L1258" s="11" t="n">
        <v>2</v>
      </c>
      <c r="M1258" s="8">
        <f>L1258*G1258</f>
        <v/>
      </c>
      <c r="P1258" s="9" t="n"/>
    </row>
    <row r="1259">
      <c r="A1259" s="11" t="inlineStr">
        <is>
          <t>Inspiring Vantage / Vantagem Inspiradora</t>
        </is>
      </c>
      <c r="B1259" s="11" t="inlineStr">
        <is>
          <t>Land / Terreno</t>
        </is>
      </c>
      <c r="C1259" s="11" t="inlineStr">
        <is>
          <t>Rare / Rara</t>
        </is>
      </c>
      <c r="D1259" s="11" t="inlineStr">
        <is>
          <t>This land enters tapped unless you control two or fewer other lands. {T}: Add {R} or {W}. / Vantagem Inspiradora entra no campo de batalha virado, a menos que você controle dois outros terrenos ou menos. {T}: Adicione {R} ou {W} à sua reserva de mana.</t>
        </is>
      </c>
      <c r="F1259" s="11" t="inlineStr">
        <is>
          <t>Vermelho, Branco</t>
        </is>
      </c>
      <c r="G1259" s="8" t="n">
        <v>7.98</v>
      </c>
      <c r="H1259" s="11" t="inlineStr">
        <is>
          <t>Outlaws of Thunder Junction (OTJ)</t>
        </is>
      </c>
      <c r="I1259" s="11" t="inlineStr">
        <is>
          <t>Não</t>
        </is>
      </c>
      <c r="J1259" s="11" t="n">
        <v>2024</v>
      </c>
      <c r="L1259" s="11" t="n">
        <v>1</v>
      </c>
      <c r="M1259" s="8">
        <f>L1259*G1259</f>
        <v/>
      </c>
      <c r="P1259" s="9" t="n"/>
    </row>
    <row r="1260">
      <c r="A1260" s="11" t="inlineStr">
        <is>
          <t>Edge of the Divinity / Limite da Divindade</t>
        </is>
      </c>
      <c r="B1260" s="11" t="inlineStr">
        <is>
          <t>Enchantment — Aura / Encantamento — Aura</t>
        </is>
      </c>
      <c r="C1260" s="11" t="inlineStr">
        <is>
          <t>Common / Comum</t>
        </is>
      </c>
      <c r="D1260" s="11"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60" s="11" t="inlineStr">
        <is>
          <t>{W/B}</t>
        </is>
      </c>
      <c r="F1260" s="11" t="inlineStr">
        <is>
          <t>Preto, Branco</t>
        </is>
      </c>
      <c r="G1260" s="8" t="n">
        <v>0.32</v>
      </c>
      <c r="H1260" s="11" t="inlineStr">
        <is>
          <t>Eventide (EVE)</t>
        </is>
      </c>
      <c r="I1260" s="11" t="inlineStr">
        <is>
          <t>Não</t>
        </is>
      </c>
      <c r="J1260" s="11" t="n">
        <v>2008</v>
      </c>
      <c r="L1260" s="11" t="n">
        <v>2</v>
      </c>
      <c r="M1260" s="8">
        <f>L1260*G1260</f>
        <v/>
      </c>
      <c r="P1260" s="9" t="n"/>
    </row>
    <row r="1261">
      <c r="A1261" s="11" t="inlineStr">
        <is>
          <t>Kaya's Wrath / Ira de Kaya</t>
        </is>
      </c>
      <c r="B1261" s="11" t="inlineStr">
        <is>
          <t>Sorcery / Feitiço</t>
        </is>
      </c>
      <c r="C1261" s="11" t="inlineStr">
        <is>
          <t>Rare / Rara</t>
        </is>
      </c>
      <c r="D1261" s="11"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61" s="11" t="inlineStr">
        <is>
          <t>{W}{W}{B}{B}</t>
        </is>
      </c>
      <c r="F1261" s="11" t="inlineStr">
        <is>
          <t>Preto, Branco</t>
        </is>
      </c>
      <c r="G1261" s="8" t="n">
        <v>0.79</v>
      </c>
      <c r="H1261" s="11" t="inlineStr">
        <is>
          <t>Ravnica Allegiance (RNA)</t>
        </is>
      </c>
      <c r="I1261" s="11" t="inlineStr">
        <is>
          <t>Não</t>
        </is>
      </c>
      <c r="J1261" s="11" t="n">
        <v>2019</v>
      </c>
      <c r="L1261" s="11" t="n">
        <v>1</v>
      </c>
      <c r="M1261" s="8">
        <f>L1261*G1261</f>
        <v/>
      </c>
      <c r="P1261" s="9" t="n"/>
    </row>
    <row r="1262">
      <c r="A1262" s="11" t="inlineStr">
        <is>
          <t>Unmake / Inexistir</t>
        </is>
      </c>
      <c r="B1262" s="11" t="inlineStr">
        <is>
          <t>Instant / Mágica Instantânea</t>
        </is>
      </c>
      <c r="C1262" s="11" t="inlineStr">
        <is>
          <t>Common / Comum</t>
        </is>
      </c>
      <c r="D1262" s="11" t="inlineStr">
        <is>
          <t>Exile target creature. / Remova do jogo a criatura alvo.</t>
        </is>
      </c>
      <c r="E1262" s="11" t="inlineStr">
        <is>
          <t>{W/B}{W/B}{W/B}</t>
        </is>
      </c>
      <c r="F1262" s="11" t="inlineStr">
        <is>
          <t>Preto, Branco</t>
        </is>
      </c>
      <c r="G1262" s="8" t="n">
        <v>1</v>
      </c>
      <c r="H1262" s="11" t="inlineStr">
        <is>
          <t>Eventide (EVE)</t>
        </is>
      </c>
      <c r="I1262" s="11" t="inlineStr">
        <is>
          <t>Não</t>
        </is>
      </c>
      <c r="J1262" s="11" t="n">
        <v>2008</v>
      </c>
      <c r="L1262" s="11" t="n">
        <v>3</v>
      </c>
      <c r="M1262" s="8">
        <f>L1262*G1262</f>
        <v/>
      </c>
      <c r="P1262" s="9" t="n"/>
    </row>
    <row r="1263">
      <c r="A1263" s="11" t="inlineStr">
        <is>
          <t>Mourning Thrull</t>
        </is>
      </c>
      <c r="B1263" s="11" t="inlineStr">
        <is>
          <t>Creature — Thrull</t>
        </is>
      </c>
      <c r="C1263" s="11" t="inlineStr">
        <is>
          <t>Common</t>
        </is>
      </c>
      <c r="D1263" s="11" t="inlineStr">
        <is>
          <t>Flying. Whenever Mourning Thrull deals damage, you gain that much life.</t>
        </is>
      </c>
      <c r="E1263" s="11" t="inlineStr">
        <is>
          <t>{1}{W/B}</t>
        </is>
      </c>
      <c r="F1263" s="11" t="inlineStr">
        <is>
          <t>Branco e Preto / White and Black</t>
        </is>
      </c>
      <c r="G1263" s="8" t="n">
        <v>0.09</v>
      </c>
      <c r="H1263" s="11" t="inlineStr">
        <is>
          <t>Guildpact (GPT)</t>
        </is>
      </c>
      <c r="I1263" s="11" t="inlineStr">
        <is>
          <t>No</t>
        </is>
      </c>
      <c r="J1263" s="11" t="n">
        <v>2006</v>
      </c>
      <c r="K1263" s="10" t="n">
        <v>46023</v>
      </c>
      <c r="L1263" s="11" t="n">
        <v>4</v>
      </c>
      <c r="M1263" s="8">
        <f>L1263*G1263</f>
        <v/>
      </c>
      <c r="P1263" s="9" t="n"/>
    </row>
    <row r="1264">
      <c r="A1264" s="11" t="inlineStr">
        <is>
          <t>Pitiless Pontiff / Pontífice Impiedosa</t>
        </is>
      </c>
      <c r="B1264" s="11" t="inlineStr">
        <is>
          <t>Creature — Vampire Cleric / Criatura — Vampiro Clérigo</t>
        </is>
      </c>
      <c r="C1264" s="11" t="inlineStr">
        <is>
          <t>Uncommon / Incomum</t>
        </is>
      </c>
      <c r="D1264" s="11"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64" s="11" t="inlineStr">
        <is>
          <t>{W}{B}</t>
        </is>
      </c>
      <c r="F1264" s="11" t="inlineStr">
        <is>
          <t>Preto, Branco</t>
        </is>
      </c>
      <c r="G1264" s="8" t="n">
        <v>0.13</v>
      </c>
      <c r="H1264" s="11" t="inlineStr">
        <is>
          <t>Ravnica Allegiance (RNA)</t>
        </is>
      </c>
      <c r="I1264" s="11" t="inlineStr">
        <is>
          <t>Não</t>
        </is>
      </c>
      <c r="J1264" s="11" t="n">
        <v>2019</v>
      </c>
      <c r="K1264" s="10" t="n">
        <v>46055</v>
      </c>
      <c r="L1264" s="11" t="n">
        <v>4</v>
      </c>
      <c r="M1264" s="8">
        <f>L1264*G1264</f>
        <v/>
      </c>
      <c r="P1264" s="9" t="n"/>
    </row>
    <row r="1265">
      <c r="A1265" s="11" t="inlineStr">
        <is>
          <t>Tithe Drinker / Sugador de Dízimo</t>
        </is>
      </c>
      <c r="B1265" s="11" t="inlineStr">
        <is>
          <t>Creature — Vampire / Criatura — Vampiro</t>
        </is>
      </c>
      <c r="C1265" s="11" t="inlineStr">
        <is>
          <t>Common / Comum</t>
        </is>
      </c>
      <c r="D1265" s="11"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5" s="11" t="inlineStr">
        <is>
          <t>{W}{B}</t>
        </is>
      </c>
      <c r="F1265" s="11" t="inlineStr">
        <is>
          <t>Preto, Branco</t>
        </is>
      </c>
      <c r="G1265" s="8" t="n">
        <v>1</v>
      </c>
      <c r="H1265" s="11" t="inlineStr">
        <is>
          <t>Dragon's Maze (DGM)</t>
        </is>
      </c>
      <c r="I1265" s="11" t="inlineStr">
        <is>
          <t>Sim</t>
        </is>
      </c>
      <c r="J1265" s="11" t="n">
        <v>2013</v>
      </c>
      <c r="K1265" s="10" t="n">
        <v>46024</v>
      </c>
      <c r="L1265" s="11" t="n">
        <v>1</v>
      </c>
      <c r="M1265" s="8">
        <f>L1265*G1265</f>
        <v/>
      </c>
      <c r="P1265" s="9" t="n"/>
    </row>
    <row r="1266">
      <c r="A1266" s="11" t="inlineStr">
        <is>
          <t>Tithe Drinker / Sugador de Dízimo</t>
        </is>
      </c>
      <c r="B1266" s="11" t="inlineStr">
        <is>
          <t>Creature — Vampire / Criatura — Vampiro</t>
        </is>
      </c>
      <c r="C1266" s="11" t="inlineStr">
        <is>
          <t>Common / Comum</t>
        </is>
      </c>
      <c r="D1266" s="11"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6" s="11" t="inlineStr">
        <is>
          <t>{W}{B}</t>
        </is>
      </c>
      <c r="F1266" s="11" t="inlineStr">
        <is>
          <t>Preto, Branco</t>
        </is>
      </c>
      <c r="G1266" s="8" t="n">
        <v>0.17</v>
      </c>
      <c r="H1266" s="11" t="inlineStr">
        <is>
          <t>Dragon's Maze (DGM)</t>
        </is>
      </c>
      <c r="I1266" s="11" t="inlineStr">
        <is>
          <t>Não</t>
        </is>
      </c>
      <c r="J1266" s="11" t="n">
        <v>2013</v>
      </c>
      <c r="K1266" s="10" t="n">
        <v>46024</v>
      </c>
      <c r="L1266" s="11" t="n">
        <v>3</v>
      </c>
      <c r="M1266" s="8">
        <f>L1266*G1266</f>
        <v/>
      </c>
      <c r="P1266" s="9" t="n"/>
    </row>
    <row r="1267">
      <c r="A1267" s="11" t="inlineStr">
        <is>
          <t>Castigate / Castigar</t>
        </is>
      </c>
      <c r="B1267" s="11" t="inlineStr">
        <is>
          <t>Sorcery / Feitiço</t>
        </is>
      </c>
      <c r="C1267" s="11" t="inlineStr">
        <is>
          <t>Rare / Rara</t>
        </is>
      </c>
      <c r="D1267" s="11" t="inlineStr">
        <is>
          <t>Target opponent reveals their hand. You choose a nonland card from it and exile that card. / O oponente alvo revela sua própria mão. Escolha um card que não seja um terreno. Remova de jogo aquele card.</t>
        </is>
      </c>
      <c r="E1267" s="11" t="inlineStr">
        <is>
          <t>{W}{B}</t>
        </is>
      </c>
      <c r="F1267" s="11" t="inlineStr">
        <is>
          <t>Preto, Branco</t>
        </is>
      </c>
      <c r="G1267" s="8" t="n">
        <v>0.21</v>
      </c>
      <c r="H1267" s="11" t="inlineStr">
        <is>
          <t>Arena League 2006 (PAL06)</t>
        </is>
      </c>
      <c r="I1267" s="11" t="inlineStr">
        <is>
          <t>Sim</t>
        </is>
      </c>
      <c r="J1267" s="11" t="n">
        <v>2006</v>
      </c>
      <c r="L1267" s="11" t="n">
        <v>4</v>
      </c>
      <c r="M1267" s="8">
        <f>L1267*G1267</f>
        <v/>
      </c>
      <c r="P1267" s="9" t="n"/>
    </row>
    <row r="1268">
      <c r="A1268" s="11" t="inlineStr">
        <is>
          <t>Purge the Profane / Purgar o Profano</t>
        </is>
      </c>
      <c r="B1268" s="11" t="inlineStr">
        <is>
          <t>Sorcery / Feitiço</t>
        </is>
      </c>
      <c r="C1268" s="11" t="inlineStr">
        <is>
          <t>Common / Comum</t>
        </is>
      </c>
      <c r="D1268" s="11" t="inlineStr">
        <is>
          <t>Target opponent discards two cards and you gain 2 life. / O oponente alvo descarta dois cards e você ganha 2 pontos de vida.</t>
        </is>
      </c>
      <c r="E1268" s="11" t="inlineStr">
        <is>
          <t>{2}{W}{B}</t>
        </is>
      </c>
      <c r="F1268" s="11" t="inlineStr">
        <is>
          <t>Preto, Branco</t>
        </is>
      </c>
      <c r="G1268" s="8" t="n">
        <v>0.05</v>
      </c>
      <c r="H1268" s="11" t="inlineStr">
        <is>
          <t>Gatecrash (GTC)</t>
        </is>
      </c>
      <c r="I1268" s="11" t="inlineStr">
        <is>
          <t>Não</t>
        </is>
      </c>
      <c r="J1268" s="11" t="n">
        <v>2013</v>
      </c>
      <c r="L1268" s="11" t="n">
        <v>5</v>
      </c>
      <c r="M1268" s="8">
        <f>L1268*G1268</f>
        <v/>
      </c>
      <c r="P1268" s="9" t="n"/>
    </row>
    <row r="1269">
      <c r="A1269" s="11" t="inlineStr">
        <is>
          <t>Imperious Oligarch / Oligarca Imperiosa</t>
        </is>
      </c>
      <c r="B1269" s="11" t="inlineStr">
        <is>
          <t>Creature — Human Cleric / Criatura — Humano Clérigo</t>
        </is>
      </c>
      <c r="C1269" s="11" t="inlineStr">
        <is>
          <t>Common / Comum</t>
        </is>
      </c>
      <c r="D1269" s="11" t="inlineStr">
        <is>
          <t>Vigilance Afterlife 1 (When this creature dies, create a 1/1 white and black Spirit creature token with flying.) / Vigilância Pós-vida 1 (Quando esta criatura morrer, crie uma ficha de criatura branca e preta 1/1 do tipo Espírito com voar.)</t>
        </is>
      </c>
      <c r="E1269" s="11" t="inlineStr">
        <is>
          <t>{W}{B}</t>
        </is>
      </c>
      <c r="F1269" s="11" t="inlineStr">
        <is>
          <t>Preto, Branco</t>
        </is>
      </c>
      <c r="G1269" s="8" t="n">
        <v>0.06</v>
      </c>
      <c r="H1269" s="11" t="inlineStr">
        <is>
          <t>Ravnica Allegiance (RNA)</t>
        </is>
      </c>
      <c r="I1269" s="11" t="inlineStr">
        <is>
          <t>Não</t>
        </is>
      </c>
      <c r="J1269" s="11" t="n">
        <v>2019</v>
      </c>
      <c r="K1269" s="10" t="n">
        <v>46024</v>
      </c>
      <c r="L1269" s="11" t="n">
        <v>5</v>
      </c>
      <c r="M1269" s="8">
        <f>L1269*G1269</f>
        <v/>
      </c>
      <c r="P1269" s="9" t="n"/>
    </row>
    <row r="1270">
      <c r="A1270" s="11" t="inlineStr">
        <is>
          <t>Pterafractyl</t>
        </is>
      </c>
      <c r="B1270" s="11" t="inlineStr">
        <is>
          <t>Creature — Dinosaur Fractal</t>
        </is>
      </c>
      <c r="C1270" s="11" t="inlineStr">
        <is>
          <t>Common / Comum</t>
        </is>
      </c>
      <c r="D1270" s="11" t="inlineStr">
        <is>
          <t>Flying This creature enters with X +1/+1 counters on it. When this creature enters, you gain 2 life.</t>
        </is>
      </c>
      <c r="E1270" s="11" t="inlineStr">
        <is>
          <t>{X}{G}{U}</t>
        </is>
      </c>
      <c r="F1270" s="11" t="inlineStr">
        <is>
          <t>Verde, Azul</t>
        </is>
      </c>
      <c r="G1270" s="8" t="n">
        <v>0.08</v>
      </c>
      <c r="H1270" s="11" t="inlineStr">
        <is>
          <t>Secrets of Strixhaven (SOS)</t>
        </is>
      </c>
      <c r="I1270" s="11" t="inlineStr">
        <is>
          <t>Não</t>
        </is>
      </c>
      <c r="J1270" s="11" t="n">
        <v>2026</v>
      </c>
      <c r="K1270" s="11" t="inlineStr">
        <is>
          <t>1/0</t>
        </is>
      </c>
      <c r="L1270" s="11" t="n">
        <v>3</v>
      </c>
      <c r="M1270" s="8">
        <f>L1270*G1270</f>
        <v/>
      </c>
      <c r="P1270" s="9" t="n"/>
    </row>
    <row r="1271">
      <c r="A1271" s="11" t="inlineStr">
        <is>
          <t>Gyre Engineer / Engenheiro da Espiral</t>
        </is>
      </c>
      <c r="B1271" s="11" t="inlineStr">
        <is>
          <t>Creature — Vedalken Wizard / Criatura — Vedalkeano Mago</t>
        </is>
      </c>
      <c r="C1271" s="11" t="inlineStr">
        <is>
          <t>Uncommon / Incomum</t>
        </is>
      </c>
      <c r="D1271" s="11" t="inlineStr">
        <is>
          <t>{T}: Add {G}{U}. / {T}: Adicione {G}{U}.</t>
        </is>
      </c>
      <c r="E1271" s="11" t="inlineStr">
        <is>
          <t>{1}{G}{U}</t>
        </is>
      </c>
      <c r="F1271" s="11" t="inlineStr">
        <is>
          <t>Verde, Azul</t>
        </is>
      </c>
      <c r="G1271" s="8" t="n">
        <v>0.06</v>
      </c>
      <c r="H1271" s="11" t="inlineStr">
        <is>
          <t>Ravnica Allegiance (RNA)</t>
        </is>
      </c>
      <c r="I1271" s="11" t="inlineStr">
        <is>
          <t>Não</t>
        </is>
      </c>
      <c r="J1271" s="11" t="n">
        <v>2019</v>
      </c>
      <c r="K1271" s="10" t="n">
        <v>46023</v>
      </c>
      <c r="L1271" s="11" t="n">
        <v>3</v>
      </c>
      <c r="M1271" s="8">
        <f>L1271*G1271</f>
        <v/>
      </c>
      <c r="P1271" s="9" t="n"/>
    </row>
    <row r="1272">
      <c r="A1272" s="11" t="inlineStr">
        <is>
          <t>Reknit / Retramar</t>
        </is>
      </c>
      <c r="B1272" s="11" t="inlineStr">
        <is>
          <t>Instant / Mágica Instantânea</t>
        </is>
      </c>
      <c r="C1272" s="11" t="inlineStr">
        <is>
          <t>Uncommon / Incomum</t>
        </is>
      </c>
      <c r="D1272" s="11" t="inlineStr">
        <is>
          <t>Regenerate target permanent. / Regenere a permanente alvo.</t>
        </is>
      </c>
      <c r="E1272" s="11" t="inlineStr">
        <is>
          <t>{1}{G/W}</t>
        </is>
      </c>
      <c r="F1272" s="11" t="inlineStr">
        <is>
          <t>Verde, Branco</t>
        </is>
      </c>
      <c r="G1272" s="8" t="n">
        <v>0.13</v>
      </c>
      <c r="H1272" s="11" t="inlineStr">
        <is>
          <t>Shadowmoor (SHM)</t>
        </is>
      </c>
      <c r="I1272" s="11" t="inlineStr">
        <is>
          <t>Não</t>
        </is>
      </c>
      <c r="J1272" s="11" t="n">
        <v>2008</v>
      </c>
      <c r="L1272" s="11" t="n">
        <v>1</v>
      </c>
      <c r="M1272" s="8">
        <f>L1272*G1272</f>
        <v/>
      </c>
      <c r="P1272" s="9" t="n"/>
    </row>
    <row r="1273">
      <c r="A1273" s="11" t="inlineStr">
        <is>
          <t>Valeron Outlander / Forasteiro de Valeron</t>
        </is>
      </c>
      <c r="B1273" s="11" t="inlineStr">
        <is>
          <t>Creature — Human Scout / Criatura — Humano Batedor</t>
        </is>
      </c>
      <c r="C1273" s="11" t="inlineStr">
        <is>
          <t>Common / Comum</t>
        </is>
      </c>
      <c r="D1273" s="11" t="inlineStr">
        <is>
          <t>Protection from black / Proteção contra o preto</t>
        </is>
      </c>
      <c r="E1273" s="11" t="inlineStr">
        <is>
          <t>{G}{W}</t>
        </is>
      </c>
      <c r="F1273" s="11" t="inlineStr">
        <is>
          <t>Verde, Branco</t>
        </is>
      </c>
      <c r="G1273" s="8" t="n">
        <v>0.06</v>
      </c>
      <c r="H1273" s="11" t="inlineStr">
        <is>
          <t>Conflux (CON)</t>
        </is>
      </c>
      <c r="I1273" s="11" t="inlineStr">
        <is>
          <t>Não</t>
        </is>
      </c>
      <c r="J1273" s="11" t="n">
        <v>2009</v>
      </c>
      <c r="K1273" s="10" t="n">
        <v>46055</v>
      </c>
      <c r="L1273" s="11" t="n">
        <v>2</v>
      </c>
      <c r="M1273" s="8">
        <f>L1273*G1273</f>
        <v/>
      </c>
      <c r="P1273" s="9" t="n"/>
    </row>
    <row r="1274">
      <c r="A1274" s="11" t="inlineStr">
        <is>
          <t>Sundering Growth / Crescimento Despedaçador</t>
        </is>
      </c>
      <c r="B1274" s="11" t="inlineStr">
        <is>
          <t>Instant / Mágica Instantânea</t>
        </is>
      </c>
      <c r="C1274" s="11" t="inlineStr">
        <is>
          <t>Common / Comum</t>
        </is>
      </c>
      <c r="D1274" s="11"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74" s="11" t="inlineStr">
        <is>
          <t>{G/W}{G/W}</t>
        </is>
      </c>
      <c r="F1274" s="11" t="inlineStr">
        <is>
          <t>Verde, Branco</t>
        </is>
      </c>
      <c r="G1274" s="8" t="n">
        <v>0.1</v>
      </c>
      <c r="H1274" s="11" t="inlineStr">
        <is>
          <t>Return to Ravnica (RTR)</t>
        </is>
      </c>
      <c r="I1274" s="11" t="inlineStr">
        <is>
          <t>Não</t>
        </is>
      </c>
      <c r="J1274" s="11" t="n">
        <v>2012</v>
      </c>
      <c r="L1274" s="11" t="n">
        <v>4</v>
      </c>
      <c r="M1274" s="8">
        <f>L1274*G1274</f>
        <v/>
      </c>
      <c r="P1274" s="9" t="n"/>
    </row>
    <row r="1275">
      <c r="A1275" s="11" t="inlineStr">
        <is>
          <t>Architects of Will / Arquitetos do Arbítrio</t>
        </is>
      </c>
      <c r="B1275" s="11" t="inlineStr">
        <is>
          <t>Artifact Creature — Human Wizard / Criatura Artefato — Humano Mago</t>
        </is>
      </c>
      <c r="C1275" s="11" t="inlineStr">
        <is>
          <t>Common / Comum</t>
        </is>
      </c>
      <c r="D1275" s="11"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75" s="11" t="inlineStr">
        <is>
          <t>{2}{U}{B}</t>
        </is>
      </c>
      <c r="F1275" s="11" t="inlineStr">
        <is>
          <t>Preto, Azul</t>
        </is>
      </c>
      <c r="G1275" s="8" t="n">
        <v>0.45</v>
      </c>
      <c r="H1275" s="11" t="inlineStr">
        <is>
          <t>Alara Reborn (ARB)</t>
        </is>
      </c>
      <c r="I1275" s="11" t="inlineStr">
        <is>
          <t>Não</t>
        </is>
      </c>
      <c r="J1275" s="11" t="n">
        <v>2009</v>
      </c>
      <c r="K1275" s="10" t="n">
        <v>46084</v>
      </c>
      <c r="L1275" s="11" t="n">
        <v>1</v>
      </c>
      <c r="M1275" s="8">
        <f>L1275*G1275</f>
        <v/>
      </c>
      <c r="P1275" s="9" t="n"/>
    </row>
    <row r="1276">
      <c r="A1276" s="11" t="inlineStr">
        <is>
          <t>Fathom Feeder / Alimentador das Profundezas</t>
        </is>
      </c>
      <c r="B1276" s="11" t="inlineStr">
        <is>
          <t>Creature — Eldrazi Drone / Criatura — Eldrazi Zangão</t>
        </is>
      </c>
      <c r="C1276" s="11" t="inlineStr">
        <is>
          <t>Rare / Rara</t>
        </is>
      </c>
      <c r="D1276" s="11"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6" s="11" t="inlineStr">
        <is>
          <t>{U}{B}</t>
        </is>
      </c>
      <c r="F1276" s="11" t="inlineStr">
        <is>
          <t>Preto, Azul</t>
        </is>
      </c>
      <c r="G1276" s="8" t="n">
        <v>0.1</v>
      </c>
      <c r="H1276" s="11" t="inlineStr">
        <is>
          <t>Battle for Zendikar (BFZ)</t>
        </is>
      </c>
      <c r="I1276" s="11" t="inlineStr">
        <is>
          <t>Não</t>
        </is>
      </c>
      <c r="J1276" s="11" t="n">
        <v>2015</v>
      </c>
      <c r="K1276" s="10" t="n">
        <v>46023</v>
      </c>
      <c r="L1276" s="11" t="n">
        <v>1</v>
      </c>
      <c r="M1276" s="8">
        <f>L1276*G1276</f>
        <v/>
      </c>
      <c r="P1276" s="9" t="n"/>
    </row>
    <row r="1277">
      <c r="A1277" s="11" t="inlineStr">
        <is>
          <t>Inkfathom Infiltrator / Infiltrado Braçatinta</t>
        </is>
      </c>
      <c r="B1277" s="11" t="inlineStr">
        <is>
          <t>Creature — Merfolk Rogue / Criatura — Tritão Ladino</t>
        </is>
      </c>
      <c r="C1277" s="11" t="inlineStr">
        <is>
          <t>Uncommon / Incomum</t>
        </is>
      </c>
      <c r="D1277" s="11" t="inlineStr">
        <is>
          <t>This creature can't block and can't be blocked. / Infiltrado Braçatinta não pode bloquear e não pode ser bloqueado.</t>
        </is>
      </c>
      <c r="E1277" s="11" t="inlineStr">
        <is>
          <t>{U/B}{U/B}</t>
        </is>
      </c>
      <c r="F1277" s="11" t="inlineStr">
        <is>
          <t>Preto, Azul</t>
        </is>
      </c>
      <c r="G1277" s="8" t="n">
        <v>0.75</v>
      </c>
      <c r="H1277" s="11" t="inlineStr">
        <is>
          <t>Shadowmoor (SHM)</t>
        </is>
      </c>
      <c r="I1277" s="11" t="inlineStr">
        <is>
          <t>Não</t>
        </is>
      </c>
      <c r="J1277" s="11" t="n">
        <v>2008</v>
      </c>
      <c r="K1277" s="10" t="n">
        <v>46024</v>
      </c>
      <c r="L1277" s="11" t="n">
        <v>1</v>
      </c>
      <c r="M1277" s="8">
        <f>L1277*G1277</f>
        <v/>
      </c>
      <c r="P1277" s="9" t="n"/>
    </row>
    <row r="1278">
      <c r="A1278" s="11" t="inlineStr">
        <is>
          <t>Gruul Spellbreaker / Quebra-mágicas Gruul</t>
        </is>
      </c>
      <c r="B1278" s="11" t="inlineStr">
        <is>
          <t>Creature — Ogre Warrior / Criatura — Ogro Guerreiro</t>
        </is>
      </c>
      <c r="C1278" s="11" t="inlineStr">
        <is>
          <t>Rare / Rara</t>
        </is>
      </c>
      <c r="D1278" s="11"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8" s="11" t="inlineStr">
        <is>
          <t>{1}{R}{G}</t>
        </is>
      </c>
      <c r="F1278" s="11" t="inlineStr">
        <is>
          <t>Verde, Vermelho</t>
        </is>
      </c>
      <c r="G1278" s="8" t="n">
        <v>0.36</v>
      </c>
      <c r="H1278" s="11" t="inlineStr">
        <is>
          <t>Ravnica Allegiance (RNA)</t>
        </is>
      </c>
      <c r="I1278" s="11" t="inlineStr">
        <is>
          <t>Não</t>
        </is>
      </c>
      <c r="J1278" s="11" t="n">
        <v>2019</v>
      </c>
      <c r="K1278" s="10" t="n">
        <v>46084</v>
      </c>
      <c r="L1278" s="11" t="n">
        <v>1</v>
      </c>
      <c r="M1278" s="8">
        <f>L1278*G1278</f>
        <v/>
      </c>
      <c r="P1278" s="9" t="n"/>
    </row>
    <row r="1279">
      <c r="A1279" s="11" t="inlineStr">
        <is>
          <t>Judge's Familiar / Familiar do Juiz</t>
        </is>
      </c>
      <c r="B1279" s="11" t="inlineStr">
        <is>
          <t>Creature — Bird / Criatura — Ave</t>
        </is>
      </c>
      <c r="C1279" s="11" t="inlineStr">
        <is>
          <t>Uncommon / Incomum</t>
        </is>
      </c>
      <c r="D1279" s="11" t="inlineStr">
        <is>
          <t>Flying Sacrifice this creature: Counter target instant or sorcery spell unless its controller pays {1}. / Voar Sacrifique Familiar do Juiz: Anule a mágica instantânea ou feitiço alvo a menos que seu controlador pague {1}.</t>
        </is>
      </c>
      <c r="E1279" s="11" t="inlineStr">
        <is>
          <t>{W/U}</t>
        </is>
      </c>
      <c r="F1279" s="11" t="inlineStr">
        <is>
          <t>Azul, Branco</t>
        </is>
      </c>
      <c r="G1279" s="8" t="n">
        <v>0.41</v>
      </c>
      <c r="H1279" s="11" t="inlineStr">
        <is>
          <t>Return to Ravnica (RTR)</t>
        </is>
      </c>
      <c r="I1279" s="11" t="inlineStr">
        <is>
          <t>Não</t>
        </is>
      </c>
      <c r="J1279" s="11" t="n">
        <v>2012</v>
      </c>
      <c r="K1279" s="10" t="n">
        <v>46023</v>
      </c>
      <c r="L1279" s="11" t="n">
        <v>2</v>
      </c>
      <c r="M1279" s="8">
        <f>L1279*G1279</f>
        <v/>
      </c>
      <c r="P1279" s="9" t="n"/>
    </row>
    <row r="1280">
      <c r="A1280" s="11" t="inlineStr">
        <is>
          <t>Urza, Prince of Kroog / Urza, Príncipe de Kroog</t>
        </is>
      </c>
      <c r="B1280" s="11" t="inlineStr">
        <is>
          <t>Legendary Creature — Human Artificer / Criatura Lendária — Humano Artesão</t>
        </is>
      </c>
      <c r="C1280" s="11" t="inlineStr">
        <is>
          <t>Rare / Rara</t>
        </is>
      </c>
      <c r="D1280" s="11"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80" s="11" t="inlineStr">
        <is>
          <t>{2}{W}{U}</t>
        </is>
      </c>
      <c r="F1280" s="11" t="inlineStr">
        <is>
          <t>Azul, Branco</t>
        </is>
      </c>
      <c r="G1280" s="8" t="n">
        <v>1.78</v>
      </c>
      <c r="H1280" s="11" t="inlineStr">
        <is>
          <t>The Brothers' War (BRO)</t>
        </is>
      </c>
      <c r="I1280" s="11" t="inlineStr">
        <is>
          <t>Não</t>
        </is>
      </c>
      <c r="J1280" s="11" t="n">
        <v>2022</v>
      </c>
      <c r="K1280" s="10" t="n">
        <v>46083</v>
      </c>
      <c r="L1280" s="11" t="n">
        <v>1</v>
      </c>
      <c r="M1280" s="8">
        <f>L1280*G1280</f>
        <v/>
      </c>
      <c r="P1280" s="9" t="n"/>
    </row>
    <row r="1281">
      <c r="A1281" s="11" t="inlineStr">
        <is>
          <t>Naya Charm / Medalhão de Naya</t>
        </is>
      </c>
      <c r="B1281" s="11" t="inlineStr">
        <is>
          <t>Instant / Mágica Instantânea</t>
        </is>
      </c>
      <c r="C1281" s="11" t="inlineStr">
        <is>
          <t>Uncommon / Incomum</t>
        </is>
      </c>
      <c r="D1281" s="11"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81" s="11" t="inlineStr">
        <is>
          <t>{R}{G}{W}</t>
        </is>
      </c>
      <c r="F1281" s="11" t="inlineStr">
        <is>
          <t>Verde, Vermelho, Branco</t>
        </is>
      </c>
      <c r="G1281" s="8" t="n">
        <v>0.25</v>
      </c>
      <c r="H1281" s="11" t="inlineStr">
        <is>
          <t>Shards of Alara (ALA)</t>
        </is>
      </c>
      <c r="I1281" s="11" t="inlineStr">
        <is>
          <t>Não</t>
        </is>
      </c>
      <c r="J1281" s="11" t="n">
        <v>2008</v>
      </c>
      <c r="L1281" s="11" t="n">
        <v>4</v>
      </c>
      <c r="M1281" s="8">
        <f>L1281*G1281</f>
        <v/>
      </c>
      <c r="P1281" s="9" t="n"/>
    </row>
    <row r="1282">
      <c r="A1282" s="11" t="inlineStr">
        <is>
          <t>Mishra, Artificer Prodigy / Mishra, Prodígio Artífice</t>
        </is>
      </c>
      <c r="B1282" s="11" t="inlineStr">
        <is>
          <t>Legendary Creature — Human Artificer / Criatura Lendária — Artesão Humano</t>
        </is>
      </c>
      <c r="C1282" s="11" t="inlineStr">
        <is>
          <t>Rare / Rara</t>
        </is>
      </c>
      <c r="D1282" s="11"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82" s="11" t="inlineStr">
        <is>
          <t>{1}{U}{B}{R}</t>
        </is>
      </c>
      <c r="F1282" s="11" t="inlineStr">
        <is>
          <t>Preto, Vermelho, Azul</t>
        </is>
      </c>
      <c r="G1282" s="8" t="n">
        <v>0.5</v>
      </c>
      <c r="H1282" s="11" t="inlineStr">
        <is>
          <t>Time Spiral (TSP)</t>
        </is>
      </c>
      <c r="I1282" s="11" t="inlineStr">
        <is>
          <t>Não</t>
        </is>
      </c>
      <c r="J1282" s="11" t="n">
        <v>2006</v>
      </c>
      <c r="K1282" s="10" t="n">
        <v>46116</v>
      </c>
      <c r="L1282" s="11" t="n">
        <v>1</v>
      </c>
      <c r="M1282" s="8">
        <f>L1282*G1282</f>
        <v/>
      </c>
      <c r="P1282" s="9" t="n"/>
    </row>
    <row r="1283">
      <c r="A1283" s="11" t="inlineStr">
        <is>
          <t>Doran, Besieged by Time</t>
        </is>
      </c>
      <c r="B1283" s="11" t="inlineStr">
        <is>
          <t>Legendary Creature — Treefolk Druid</t>
        </is>
      </c>
      <c r="C1283" s="11" t="inlineStr">
        <is>
          <t>Rare / Rara</t>
        </is>
      </c>
      <c r="D1283" s="11" t="inlineStr">
        <is>
          <t>Each creature spell you cast with toughness greater than its power costs {1} less to cast. Whenever a creature you control attacks or blocks, it gets +X/+X until end of turn, where X is the difference between its power and toughness.</t>
        </is>
      </c>
      <c r="E1283" s="11" t="inlineStr">
        <is>
          <t>{1}{W}{B}{G}</t>
        </is>
      </c>
      <c r="F1283" s="11" t="inlineStr">
        <is>
          <t>Preto, Verde, Branco</t>
        </is>
      </c>
      <c r="G1283" s="8" t="n">
        <v>1.5</v>
      </c>
      <c r="H1283" s="11" t="inlineStr">
        <is>
          <t>Lorwyn Eclipsed (ECL)</t>
        </is>
      </c>
      <c r="I1283" s="11" t="inlineStr">
        <is>
          <t>Não</t>
        </is>
      </c>
      <c r="J1283" s="11" t="n">
        <v>2026</v>
      </c>
      <c r="K1283" s="11" t="inlineStr">
        <is>
          <t>0/5</t>
        </is>
      </c>
      <c r="L1283" s="11" t="n">
        <v>1</v>
      </c>
      <c r="M1283" s="8">
        <f>L1283*G1283</f>
        <v/>
      </c>
      <c r="P1283" s="9" t="n"/>
    </row>
    <row r="1284">
      <c r="A1284" s="11" t="inlineStr">
        <is>
          <t>Shattering Blow / Golpe Despedaçador</t>
        </is>
      </c>
      <c r="B1284" s="11" t="inlineStr">
        <is>
          <t>Instant / Mágica Instantânea</t>
        </is>
      </c>
      <c r="C1284" s="11" t="inlineStr">
        <is>
          <t>Common / Comum</t>
        </is>
      </c>
      <c r="D1284" s="11" t="inlineStr">
        <is>
          <t>Exile target artifact. / Exile o artefato alvo.</t>
        </is>
      </c>
      <c r="E1284" s="11" t="inlineStr">
        <is>
          <t>{1}{R/W}</t>
        </is>
      </c>
      <c r="F1284" s="11" t="inlineStr">
        <is>
          <t>Vermelho, Branco</t>
        </is>
      </c>
      <c r="G1284" s="8" t="n">
        <v>0.09</v>
      </c>
      <c r="H1284" s="11" t="inlineStr">
        <is>
          <t>Gatecrash (GTC)</t>
        </is>
      </c>
      <c r="I1284" s="11" t="inlineStr">
        <is>
          <t>Não</t>
        </is>
      </c>
      <c r="J1284" s="11" t="n">
        <v>2013</v>
      </c>
      <c r="L1284" s="11" t="n">
        <v>4</v>
      </c>
      <c r="M1284" s="8">
        <f>L1284*G1284</f>
        <v/>
      </c>
      <c r="P1284" s="9" t="n"/>
    </row>
    <row r="1285">
      <c r="A1285" s="11" t="inlineStr">
        <is>
          <t>Pursue the Past</t>
        </is>
      </c>
      <c r="B1285" s="11" t="inlineStr">
        <is>
          <t>Sorcery</t>
        </is>
      </c>
      <c r="C1285" s="11" t="inlineStr">
        <is>
          <t>Common / Comum</t>
        </is>
      </c>
      <c r="D1285" s="11" t="inlineStr">
        <is>
          <t>You gain 2 life. You may discard a card. If you do, draw two cards. Flashback {2}{R}{W} (You may cast this card from your graveyard for its flashback cost. Then exile it.)</t>
        </is>
      </c>
      <c r="E1285" s="11" t="inlineStr">
        <is>
          <t>{R}{W}</t>
        </is>
      </c>
      <c r="F1285" s="11" t="inlineStr">
        <is>
          <t>Vermelho, Branco</t>
        </is>
      </c>
      <c r="G1285" s="8" t="n">
        <v>0.4</v>
      </c>
      <c r="H1285" s="11" t="inlineStr">
        <is>
          <t>Secrets of Strixhaven (SOS)</t>
        </is>
      </c>
      <c r="I1285" s="11" t="inlineStr">
        <is>
          <t>Não</t>
        </is>
      </c>
      <c r="J1285" s="11" t="n">
        <v>2026</v>
      </c>
      <c r="L1285" s="11" t="n">
        <v>3</v>
      </c>
      <c r="M1285" s="8">
        <f>L1285*G1285</f>
        <v/>
      </c>
      <c r="P1285" s="9" t="n"/>
    </row>
    <row r="1286">
      <c r="A1286" s="11" t="inlineStr">
        <is>
          <t>Tannuk, Memorial Ensign</t>
        </is>
      </c>
      <c r="B1286" s="11" t="inlineStr">
        <is>
          <t>Legendary Creature — Kavu Pilot</t>
        </is>
      </c>
      <c r="C1286" s="11" t="inlineStr">
        <is>
          <t>Uncommon / Incomum</t>
        </is>
      </c>
      <c r="D1286" s="11" t="inlineStr">
        <is>
          <t>Landfall — Whenever a land you control enters, Tannuk deals 1 damage to each opponent. If this is the second time this ability has resolved this turn, draw a card.</t>
        </is>
      </c>
      <c r="E1286" s="11" t="inlineStr">
        <is>
          <t>{1}{R}{G}</t>
        </is>
      </c>
      <c r="F1286" s="11" t="inlineStr">
        <is>
          <t>Verde, Vermelho</t>
        </is>
      </c>
      <c r="G1286" s="8" t="n">
        <v>0.48</v>
      </c>
      <c r="H1286" s="11" t="inlineStr">
        <is>
          <t>Edge of Eternities (EOE)</t>
        </is>
      </c>
      <c r="I1286" s="11" t="inlineStr">
        <is>
          <t>Não</t>
        </is>
      </c>
      <c r="J1286" s="11" t="n">
        <v>2025</v>
      </c>
      <c r="K1286" s="10" t="n">
        <v>46114</v>
      </c>
      <c r="L1286" s="11" t="n">
        <v>1</v>
      </c>
      <c r="M1286" s="8">
        <f>L1286*G1286</f>
        <v/>
      </c>
      <c r="P1286" s="9" t="n"/>
    </row>
    <row r="1287">
      <c r="A1287" s="11" t="inlineStr">
        <is>
          <t>Munitions Expert / Especialista em Municiamento</t>
        </is>
      </c>
      <c r="B1287" s="11" t="inlineStr">
        <is>
          <t>Creature — Goblin / Criatura — Goblin</t>
        </is>
      </c>
      <c r="C1287" s="11" t="inlineStr">
        <is>
          <t>Uncommon / Incomum</t>
        </is>
      </c>
      <c r="D1287" s="11"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7" s="11" t="inlineStr">
        <is>
          <t>{B}{R}</t>
        </is>
      </c>
      <c r="F1287" s="11" t="inlineStr">
        <is>
          <t>Preto, Vermelho</t>
        </is>
      </c>
      <c r="G1287" s="8" t="n">
        <v>0.21</v>
      </c>
      <c r="H1287" s="11" t="inlineStr">
        <is>
          <t>Modern Horizons (MH1)</t>
        </is>
      </c>
      <c r="I1287" s="11" t="inlineStr">
        <is>
          <t>Não</t>
        </is>
      </c>
      <c r="J1287" s="11" t="n">
        <v>2019</v>
      </c>
      <c r="K1287" s="10" t="n">
        <v>46023</v>
      </c>
      <c r="L1287" s="11" t="n">
        <v>4</v>
      </c>
      <c r="M1287" s="8">
        <f>L1287*G1287</f>
        <v/>
      </c>
      <c r="P1287" s="9" t="n"/>
    </row>
    <row r="1288">
      <c r="A1288" s="11" t="inlineStr">
        <is>
          <t>Theater of Horrors / Teatro de Horrores</t>
        </is>
      </c>
      <c r="B1288" s="11" t="inlineStr">
        <is>
          <t>Enchantment / Encantamento</t>
        </is>
      </c>
      <c r="C1288" s="11" t="inlineStr">
        <is>
          <t>Rare / Rara</t>
        </is>
      </c>
      <c r="D1288"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8" s="11" t="inlineStr">
        <is>
          <t>{1}{B}{R}</t>
        </is>
      </c>
      <c r="F1288" s="11" t="inlineStr">
        <is>
          <t>Preto, Vermelho</t>
        </is>
      </c>
      <c r="G1288" s="8" t="n">
        <v>0.25</v>
      </c>
      <c r="H1288" s="11" t="inlineStr">
        <is>
          <t>Ravnica Allegiance (RNA)</t>
        </is>
      </c>
      <c r="I1288" s="11" t="inlineStr">
        <is>
          <t>Não</t>
        </is>
      </c>
      <c r="J1288" s="11" t="n">
        <v>2019</v>
      </c>
      <c r="L1288" s="11" t="n">
        <v>4</v>
      </c>
      <c r="M1288" s="8">
        <f>L1288*G1288</f>
        <v/>
      </c>
      <c r="P1288" s="9" t="n"/>
    </row>
    <row r="1289">
      <c r="A1289" s="11" t="inlineStr">
        <is>
          <t>Fireblade Artist / Artista da Lâmina de Fogo</t>
        </is>
      </c>
      <c r="B1289" s="11" t="inlineStr">
        <is>
          <t>Creature — Human Shaman / Criatura — Humano Xamã</t>
        </is>
      </c>
      <c r="C1289" s="11" t="inlineStr">
        <is>
          <t>Uncommon / Incomum</t>
        </is>
      </c>
      <c r="D1289" s="11"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9" s="11" t="inlineStr">
        <is>
          <t>{B}{R}</t>
        </is>
      </c>
      <c r="F1289" s="11" t="inlineStr">
        <is>
          <t>Preto, Vermelho</t>
        </is>
      </c>
      <c r="G1289" s="8" t="n">
        <v>0.1</v>
      </c>
      <c r="H1289" s="11" t="inlineStr">
        <is>
          <t>Ravnica Allegiance (RNA)</t>
        </is>
      </c>
      <c r="I1289" s="11" t="inlineStr">
        <is>
          <t>Não</t>
        </is>
      </c>
      <c r="J1289" s="11" t="n">
        <v>2019</v>
      </c>
      <c r="K1289" s="10" t="n">
        <v>46055</v>
      </c>
      <c r="L1289" s="11" t="n">
        <v>4</v>
      </c>
      <c r="M1289" s="8">
        <f>L1289*G1289</f>
        <v/>
      </c>
      <c r="P1289" s="9" t="n"/>
    </row>
    <row r="1290">
      <c r="A1290" s="11" t="inlineStr">
        <is>
          <t>Sigil Blessing / Bênção da insígnia</t>
        </is>
      </c>
      <c r="B1290" s="11" t="inlineStr">
        <is>
          <t>Instant / Mágica Instantânea</t>
        </is>
      </c>
      <c r="C1290" s="11" t="inlineStr">
        <is>
          <t>Common / Comum</t>
        </is>
      </c>
      <c r="D1290" s="11" t="inlineStr">
        <is>
          <t>Until end of turn, target creature you control gets +3/+3 and other creatures you control get +1/+1. / Até o final do turno, a criatura alvo que você controla recebe +3/+3 e as outras criaturas que você controla recebem +1/+1.</t>
        </is>
      </c>
      <c r="E1290" s="11" t="inlineStr">
        <is>
          <t>{G}{W}</t>
        </is>
      </c>
      <c r="F1290" s="11" t="inlineStr">
        <is>
          <t>Verde, Branco</t>
        </is>
      </c>
      <c r="G1290" s="8" t="n">
        <v>0.2</v>
      </c>
      <c r="H1290" s="11" t="inlineStr">
        <is>
          <t xml:space="preserve">Duel Decks: Knights vs. Dragons </t>
        </is>
      </c>
      <c r="I1290" s="11" t="inlineStr">
        <is>
          <t>Não</t>
        </is>
      </c>
      <c r="J1290" s="11" t="n">
        <v>2011</v>
      </c>
      <c r="L1290" s="11" t="n">
        <v>4</v>
      </c>
      <c r="M1290" s="8">
        <f>L1290*G1290</f>
        <v/>
      </c>
      <c r="P1290" s="9" t="n"/>
    </row>
    <row r="1291">
      <c r="A1291" s="11" t="inlineStr">
        <is>
          <t>Nature's Chant / Canto da Natureza</t>
        </is>
      </c>
      <c r="B1291" s="11" t="inlineStr">
        <is>
          <t>Instant / Mágica Instantânea</t>
        </is>
      </c>
      <c r="C1291" s="11" t="inlineStr">
        <is>
          <t>Common / Comum</t>
        </is>
      </c>
      <c r="D1291" s="11" t="inlineStr">
        <is>
          <t>Destroy target artifact or enchantment. / Destrua o artefato ou encantamento alvo.</t>
        </is>
      </c>
      <c r="E1291" s="11" t="inlineStr">
        <is>
          <t>{1}{G/W}</t>
        </is>
      </c>
      <c r="F1291" s="11" t="inlineStr">
        <is>
          <t>Verde, Branco</t>
        </is>
      </c>
      <c r="G1291" s="8" t="n">
        <v>0.05</v>
      </c>
      <c r="H1291" s="11" t="inlineStr">
        <is>
          <t>Modern Horizons (MH1)</t>
        </is>
      </c>
      <c r="I1291" s="11" t="inlineStr">
        <is>
          <t>Não</t>
        </is>
      </c>
      <c r="J1291" s="11" t="n">
        <v>2019</v>
      </c>
      <c r="L1291" s="11" t="n">
        <v>4</v>
      </c>
      <c r="M1291" s="8">
        <f>L1291*G1291</f>
        <v/>
      </c>
      <c r="P1291" s="9" t="n"/>
    </row>
    <row r="1292">
      <c r="A1292" s="11" t="inlineStr">
        <is>
          <t>Zaffai and the Tempests</t>
        </is>
      </c>
      <c r="B1292" s="11" t="inlineStr">
        <is>
          <t>Legendary Creature — Human Bard Sorcerer</t>
        </is>
      </c>
      <c r="C1292" s="11" t="inlineStr">
        <is>
          <t>Rare / Rara</t>
        </is>
      </c>
      <c r="D1292" s="11" t="inlineStr">
        <is>
          <t>Once during each of your turns, you may cast an instant or sorcery spell from your hand without paying its mana cost.</t>
        </is>
      </c>
      <c r="E1292" s="11" t="inlineStr">
        <is>
          <t>{5}{U}{R}</t>
        </is>
      </c>
      <c r="F1292" s="11" t="inlineStr">
        <is>
          <t>Vermelho, Azul</t>
        </is>
      </c>
      <c r="G1292" s="8" t="n">
        <v>0.89</v>
      </c>
      <c r="H1292" s="11" t="inlineStr">
        <is>
          <t>Secrets of Strixhaven (SOS)</t>
        </is>
      </c>
      <c r="I1292" s="11" t="inlineStr">
        <is>
          <t>Não</t>
        </is>
      </c>
      <c r="J1292" s="11" t="n">
        <v>2026</v>
      </c>
      <c r="K1292" s="10" t="n">
        <v>46208</v>
      </c>
      <c r="L1292" s="11" t="n">
        <v>1</v>
      </c>
      <c r="M1292" s="8">
        <f>L1292*G1292</f>
        <v/>
      </c>
      <c r="P1292" s="9" t="n"/>
    </row>
    <row r="1293">
      <c r="A1293" s="11" t="inlineStr">
        <is>
          <t>Saheeli, Sublime Artificer / Saheeli, Artífice Sublime</t>
        </is>
      </c>
      <c r="B1293" s="11" t="inlineStr">
        <is>
          <t>Legendary Planeswalker — Saheeli / Planeswalker Lendário — Saheeli</t>
        </is>
      </c>
      <c r="C1293" s="11" t="inlineStr">
        <is>
          <t>Uncommon / Incomum</t>
        </is>
      </c>
      <c r="D1293" s="11"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93" s="11" t="inlineStr">
        <is>
          <t>{1}{U/R}{U/R}</t>
        </is>
      </c>
      <c r="F1293" s="11" t="inlineStr">
        <is>
          <t>Vermelho, Azul</t>
        </is>
      </c>
      <c r="G1293" s="8" t="n">
        <v>0.43</v>
      </c>
      <c r="H1293" s="11" t="inlineStr">
        <is>
          <t>War of the Spark (WAR)</t>
        </is>
      </c>
      <c r="I1293" s="11" t="inlineStr">
        <is>
          <t>Não</t>
        </is>
      </c>
      <c r="J1293" s="11" t="n">
        <v>2019</v>
      </c>
      <c r="L1293" s="11" t="n">
        <v>4</v>
      </c>
      <c r="M1293" s="8">
        <f>L1293*G1293</f>
        <v/>
      </c>
      <c r="P1293" s="9" t="n"/>
    </row>
    <row r="1294">
      <c r="A1294" s="11" t="inlineStr">
        <is>
          <t>Crackling Drake / Dragonete Fagulhante</t>
        </is>
      </c>
      <c r="B1294" s="11" t="inlineStr">
        <is>
          <t>Creature — Drake / Criatura — Dragonete</t>
        </is>
      </c>
      <c r="C1294" s="11" t="inlineStr">
        <is>
          <t>Uncommon / Incomum</t>
        </is>
      </c>
      <c r="D1294" s="11"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94" s="11" t="inlineStr">
        <is>
          <t>{U}{U}{R}{R}</t>
        </is>
      </c>
      <c r="F1294" s="11" t="inlineStr">
        <is>
          <t>Vermelho, Azul</t>
        </is>
      </c>
      <c r="G1294" s="8" t="n">
        <v>0.14</v>
      </c>
      <c r="H1294" s="11" t="inlineStr">
        <is>
          <t>Guilds of Ravnica (GRN)</t>
        </is>
      </c>
      <c r="I1294" s="11" t="inlineStr">
        <is>
          <t>Não</t>
        </is>
      </c>
      <c r="J1294" s="11" t="n">
        <v>2018</v>
      </c>
      <c r="K1294" s="11" t="inlineStr">
        <is>
          <t>*/4</t>
        </is>
      </c>
      <c r="L1294" s="11" t="n">
        <v>4</v>
      </c>
      <c r="M1294" s="8">
        <f>L1294*G1294</f>
        <v/>
      </c>
      <c r="P1294" s="9" t="n"/>
    </row>
    <row r="1295">
      <c r="A1295" s="11" t="inlineStr">
        <is>
          <t>Stormchaser Mage / Mago Caçador de Tempestades</t>
        </is>
      </c>
      <c r="B1295" s="11" t="inlineStr">
        <is>
          <t>Creature — Human Wizard / Criatura — Humano Mago</t>
        </is>
      </c>
      <c r="C1295" s="11" t="inlineStr">
        <is>
          <t>Uncommon / Incomum</t>
        </is>
      </c>
      <c r="D1295" s="11" t="inlineStr">
        <is>
          <t>Flying, haste Prowess (Whenever you cast a noncreature spell, this creature gets +1/+1 until end of turn.) / Voar, ímpeto Destreza (Toda vez que você conjura uma mágica que não seja de criatura, esta criatura recebe +1/+1 até o final do turno.)</t>
        </is>
      </c>
      <c r="E1295" s="11" t="inlineStr">
        <is>
          <t>{U}{R}</t>
        </is>
      </c>
      <c r="F1295" s="11" t="inlineStr">
        <is>
          <t>Vermelho, Azul</t>
        </is>
      </c>
      <c r="G1295" s="8" t="n">
        <v>0.08</v>
      </c>
      <c r="H1295" s="11" t="inlineStr">
        <is>
          <t>Oath of the Gatewatch (OGW)</t>
        </is>
      </c>
      <c r="I1295" s="11" t="inlineStr">
        <is>
          <t>Não</t>
        </is>
      </c>
      <c r="J1295" s="11" t="n">
        <v>2016</v>
      </c>
      <c r="K1295" s="10" t="n">
        <v>46082</v>
      </c>
      <c r="L1295" s="11" t="n">
        <v>4</v>
      </c>
      <c r="M1295" s="8">
        <f>L1295*G1295</f>
        <v/>
      </c>
      <c r="P1295" s="9" t="n"/>
    </row>
    <row r="1296">
      <c r="A1296" s="11" t="inlineStr">
        <is>
          <t>Galadriel, Elven-Queen / Galadriel, Rainha Élfica</t>
        </is>
      </c>
      <c r="B1296" s="11" t="inlineStr">
        <is>
          <t>Legendary Creature — Elf Noble / Criatura Lendária — Elfo Nobre</t>
        </is>
      </c>
      <c r="C1296" s="11" t="inlineStr">
        <is>
          <t>Mythic / Mítica</t>
        </is>
      </c>
      <c r="D1296" s="11"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6" s="11" t="inlineStr">
        <is>
          <t>{2}{G}{U}</t>
        </is>
      </c>
      <c r="F1296" s="11" t="inlineStr">
        <is>
          <t>Verde, Azul</t>
        </is>
      </c>
      <c r="G1296" s="8" t="n">
        <v>1.76</v>
      </c>
      <c r="H1296" s="11" t="inlineStr">
        <is>
          <t>Tales of Middle-earth Commander (LTC)</t>
        </is>
      </c>
      <c r="I1296" s="11" t="inlineStr">
        <is>
          <t>Não</t>
        </is>
      </c>
      <c r="J1296" s="11" t="n">
        <v>2023</v>
      </c>
      <c r="K1296" s="10" t="n">
        <v>46146</v>
      </c>
      <c r="L1296" s="11" t="n">
        <v>1</v>
      </c>
      <c r="M1296" s="8">
        <f>L1296*G1296</f>
        <v/>
      </c>
      <c r="P1296" s="9" t="n"/>
    </row>
    <row r="1297">
      <c r="A1297" s="11" t="inlineStr">
        <is>
          <t>Biovisionary / Biovisionário</t>
        </is>
      </c>
      <c r="B1297" s="11" t="inlineStr">
        <is>
          <t>Creature — Human Wizard / Criatura — Humano Mago</t>
        </is>
      </c>
      <c r="C1297" s="11" t="inlineStr">
        <is>
          <t>Rare / Rara</t>
        </is>
      </c>
      <c r="D1297" s="11" t="inlineStr">
        <is>
          <t>At the beginning of the end step, if you control four or more creatures named Biovisionary, you win the game. / No início da etapa final, se você controlar quatro ou mais criaturas com o nome Biovisionário, você ganha o jogo.</t>
        </is>
      </c>
      <c r="E1297" s="11" t="inlineStr">
        <is>
          <t>{1}{G}{U}</t>
        </is>
      </c>
      <c r="F1297" s="11" t="inlineStr">
        <is>
          <t>Verde, Azul</t>
        </is>
      </c>
      <c r="G1297" s="8" t="n">
        <v>0.4</v>
      </c>
      <c r="H1297" s="11" t="inlineStr">
        <is>
          <t>Gatecrash (GTC)</t>
        </is>
      </c>
      <c r="I1297" s="11" t="inlineStr">
        <is>
          <t>Não</t>
        </is>
      </c>
      <c r="J1297" s="11" t="n">
        <v>2013</v>
      </c>
      <c r="K1297" s="10" t="n">
        <v>46083</v>
      </c>
      <c r="L1297" s="11" t="n">
        <v>1</v>
      </c>
      <c r="M1297" s="8">
        <f>L1297*G1297</f>
        <v/>
      </c>
      <c r="P1297" s="9" t="n"/>
    </row>
    <row r="1298">
      <c r="A1298" s="11" t="inlineStr">
        <is>
          <t>Sharktocrab / Tubaropolvoguejo</t>
        </is>
      </c>
      <c r="B1298" s="11" t="inlineStr">
        <is>
          <t>Creature — Shark Octopus Crab / Criatura — Peixe Polvo Caranguejo</t>
        </is>
      </c>
      <c r="C1298" s="11" t="inlineStr">
        <is>
          <t>Uncommon / Incomum</t>
        </is>
      </c>
      <c r="D1298" s="11"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8" s="11" t="inlineStr">
        <is>
          <t>{2}{G}{U}</t>
        </is>
      </c>
      <c r="F1298" s="11" t="inlineStr">
        <is>
          <t>Verde, Azul</t>
        </is>
      </c>
      <c r="G1298" s="8" t="n">
        <v>0.49</v>
      </c>
      <c r="H1298" s="11" t="inlineStr">
        <is>
          <t>Ravnica Allegiance (RNA)</t>
        </is>
      </c>
      <c r="I1298" s="11" t="inlineStr">
        <is>
          <t>Sim</t>
        </is>
      </c>
      <c r="J1298" s="11" t="n">
        <v>2019</v>
      </c>
      <c r="K1298" s="10" t="n">
        <v>46116</v>
      </c>
      <c r="L1298" s="11" t="n">
        <v>1</v>
      </c>
      <c r="M1298" s="8">
        <f>L1298*G1298</f>
        <v/>
      </c>
      <c r="P1298" s="9" t="n"/>
    </row>
    <row r="1299">
      <c r="A1299" s="11" t="inlineStr">
        <is>
          <t>Camaraderie / Camaradagem</t>
        </is>
      </c>
      <c r="B1299" s="11" t="inlineStr">
        <is>
          <t>Sorcery / Feitiço</t>
        </is>
      </c>
      <c r="C1299" s="11" t="inlineStr">
        <is>
          <t>Rare / Rara</t>
        </is>
      </c>
      <c r="D1299" s="11"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9" s="11" t="inlineStr">
        <is>
          <t>{4}{G}{W}</t>
        </is>
      </c>
      <c r="F1299" s="11" t="inlineStr">
        <is>
          <t>Verde, Branco</t>
        </is>
      </c>
      <c r="G1299" s="8" t="n">
        <v>0.46</v>
      </c>
      <c r="H1299" s="11" t="inlineStr">
        <is>
          <t>Guilds of Ravnica (GRN)</t>
        </is>
      </c>
      <c r="I1299" s="11" t="inlineStr">
        <is>
          <t>Não</t>
        </is>
      </c>
      <c r="J1299" s="11" t="n">
        <v>2018</v>
      </c>
      <c r="L1299" s="11" t="n">
        <v>2</v>
      </c>
      <c r="M1299" s="8">
        <f>L1299*G1299</f>
        <v/>
      </c>
      <c r="P1299" s="9" t="n"/>
    </row>
    <row r="1300">
      <c r="A1300" s="11" t="inlineStr">
        <is>
          <t>Carnival // Carnage / Carnaval // Carnificina</t>
        </is>
      </c>
      <c r="B1300" s="11" t="inlineStr">
        <is>
          <t>Instant // Sorcery / Mágica Instantânea</t>
        </is>
      </c>
      <c r="C1300" s="11" t="inlineStr">
        <is>
          <t>Uncommon / Incomum</t>
        </is>
      </c>
      <c r="D1300"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300" s="11" t="inlineStr">
        <is>
          <t>{B/R} // {2}{B}{R}</t>
        </is>
      </c>
      <c r="F1300" s="11" t="inlineStr">
        <is>
          <t>Preto, Vermelho</t>
        </is>
      </c>
      <c r="G1300" s="8" t="n">
        <v>0.13</v>
      </c>
      <c r="H1300" s="11" t="inlineStr">
        <is>
          <t>Ravnica Allegiance (RNA)</t>
        </is>
      </c>
      <c r="I1300" s="11" t="inlineStr">
        <is>
          <t>Não</t>
        </is>
      </c>
      <c r="J1300" s="11" t="n">
        <v>2019</v>
      </c>
      <c r="L1300" s="11" t="n">
        <v>4</v>
      </c>
      <c r="M1300" s="8">
        <f>L1300*G1300</f>
        <v/>
      </c>
      <c r="P1300" s="9" t="n"/>
    </row>
    <row r="1301">
      <c r="A1301" s="11" t="inlineStr">
        <is>
          <t>Connive // Concoct / Conivente // Concoctante</t>
        </is>
      </c>
      <c r="B1301" s="11" t="inlineStr">
        <is>
          <t>Sorcery // Sorcery / Feitiço</t>
        </is>
      </c>
      <c r="C1301" s="11" t="inlineStr">
        <is>
          <t>Rare / Rara</t>
        </is>
      </c>
      <c r="D1301" s="11" t="inlineStr">
        <is>
          <t>Connive: Gain control of target creature with power 2 or less. // Concoct: Surveil 3, then return a creature card from your graveyard to the battlefield. / Ganhe o controle da criatura alvo com poder igual ou inferior a 2.</t>
        </is>
      </c>
      <c r="E1301" s="11" t="inlineStr">
        <is>
          <t>{2}{U/B}{U/B} // {3}{U}{B}</t>
        </is>
      </c>
      <c r="F1301" s="11" t="inlineStr">
        <is>
          <t>Preto, Azul</t>
        </is>
      </c>
      <c r="G1301" s="8" t="n">
        <v>0.59</v>
      </c>
      <c r="H1301" s="11" t="inlineStr">
        <is>
          <t>Murders at Karlov Manor Commander (MKC)</t>
        </is>
      </c>
      <c r="I1301" s="11" t="inlineStr">
        <is>
          <t>Não</t>
        </is>
      </c>
      <c r="J1301" s="11" t="n">
        <v>2024</v>
      </c>
      <c r="L1301" s="11" t="n">
        <v>1</v>
      </c>
      <c r="M1301" s="8">
        <f>L1301*G1301</f>
        <v/>
      </c>
      <c r="P1301" s="9" t="n"/>
    </row>
    <row r="1302">
      <c r="A1302" s="11" t="inlineStr">
        <is>
          <t>Goblin Archaeologist / Arqueólogo Goblin</t>
        </is>
      </c>
      <c r="B1302" s="11" t="inlineStr">
        <is>
          <t>Creature — Goblin Artificer / Criatura — Artesão Goblin</t>
        </is>
      </c>
      <c r="C1302" s="11" t="inlineStr">
        <is>
          <t>Uncommon / Incomum</t>
        </is>
      </c>
      <c r="D1302" s="11"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302" s="11" t="inlineStr">
        <is>
          <t>{1}{R}</t>
        </is>
      </c>
      <c r="F1302" s="11" t="inlineStr">
        <is>
          <t>Vermelho</t>
        </is>
      </c>
      <c r="G1302" s="8" t="n">
        <v>0.33</v>
      </c>
      <c r="H1302" s="11" t="inlineStr">
        <is>
          <t>Darksteel (DST)</t>
        </is>
      </c>
      <c r="I1302" s="11" t="inlineStr">
        <is>
          <t>Não</t>
        </is>
      </c>
      <c r="J1302" s="11" t="n">
        <v>2004</v>
      </c>
      <c r="K1302" s="10" t="n">
        <v>46054</v>
      </c>
      <c r="L1302" s="11" t="n">
        <v>1</v>
      </c>
      <c r="M1302" s="8">
        <f>L1302*G1302</f>
        <v/>
      </c>
      <c r="P1302" s="9" t="n"/>
    </row>
    <row r="1303">
      <c r="A1303" s="11" t="inlineStr">
        <is>
          <t>Goblin Razerunners / Arrasa-quarteirões Goblin</t>
        </is>
      </c>
      <c r="B1303" s="11" t="inlineStr">
        <is>
          <t>Creature — Goblin Warrior / Criatura — Goblin Guerreiro</t>
        </is>
      </c>
      <c r="C1303" s="11" t="inlineStr">
        <is>
          <t>Rare / Rara</t>
        </is>
      </c>
      <c r="D1303" s="11"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303" s="11" t="inlineStr">
        <is>
          <t>{2}{R}{R}</t>
        </is>
      </c>
      <c r="F1303" s="11" t="inlineStr">
        <is>
          <t>Vermelho</t>
        </is>
      </c>
      <c r="G1303" s="8" t="n">
        <v>0.25</v>
      </c>
      <c r="H1303" s="11" t="inlineStr">
        <is>
          <t>Battlebond (BBD)</t>
        </is>
      </c>
      <c r="I1303" s="11" t="inlineStr">
        <is>
          <t>Não</t>
        </is>
      </c>
      <c r="J1303" s="11" t="n">
        <v>2018</v>
      </c>
      <c r="K1303" s="10" t="n">
        <v>46115</v>
      </c>
      <c r="L1303" s="11" t="n">
        <v>1</v>
      </c>
      <c r="M1303" s="8">
        <f>L1303*G1303</f>
        <v/>
      </c>
      <c r="P1303" s="9" t="n"/>
    </row>
    <row r="1304">
      <c r="A1304" s="11" t="inlineStr">
        <is>
          <t>Crazed Goblin / Goblin Enlouquecido</t>
        </is>
      </c>
      <c r="B1304" s="11" t="inlineStr">
        <is>
          <t>Creature — Goblin Warrior / Criatura — Guerreiro Goblin</t>
        </is>
      </c>
      <c r="C1304" s="11" t="inlineStr">
        <is>
          <t>Common / Comum</t>
        </is>
      </c>
      <c r="D1304" s="11" t="inlineStr">
        <is>
          <t>This creature attacks each combat if able. / Goblin Enlouquecido ataca a cada turno se estiver apto.</t>
        </is>
      </c>
      <c r="E1304" s="11" t="inlineStr">
        <is>
          <t>{R}</t>
        </is>
      </c>
      <c r="F1304" s="11" t="inlineStr">
        <is>
          <t>Vermelho</t>
        </is>
      </c>
      <c r="G1304" s="8" t="n">
        <v>0.08</v>
      </c>
      <c r="H1304" s="11" t="inlineStr">
        <is>
          <t>Darksteel (DST)</t>
        </is>
      </c>
      <c r="I1304" s="11" t="inlineStr">
        <is>
          <t>Não</t>
        </is>
      </c>
      <c r="J1304" s="11" t="n">
        <v>2004</v>
      </c>
      <c r="K1304" s="10" t="n">
        <v>46023</v>
      </c>
      <c r="L1304" s="11" t="n">
        <v>1</v>
      </c>
      <c r="M1304" s="8">
        <f>L1304*G1304</f>
        <v/>
      </c>
      <c r="P1304" s="9" t="n"/>
    </row>
    <row r="1305">
      <c r="A1305" s="11" t="inlineStr">
        <is>
          <t>Goblin Striker / Golpeador Goblin</t>
        </is>
      </c>
      <c r="B1305" s="11" t="inlineStr">
        <is>
          <t>Creature — Goblin Berserker / Criatura — Goblin Amoque</t>
        </is>
      </c>
      <c r="C1305" s="11" t="inlineStr">
        <is>
          <t>Common / Comum</t>
        </is>
      </c>
      <c r="D1305" s="11" t="inlineStr">
        <is>
          <t>First strike, haste / Iniciativa, ímpeto</t>
        </is>
      </c>
      <c r="E1305" s="11" t="inlineStr">
        <is>
          <t>{1}{R}</t>
        </is>
      </c>
      <c r="F1305" s="11" t="inlineStr">
        <is>
          <t>Vermelho</t>
        </is>
      </c>
      <c r="G1305" s="8" t="n">
        <v>0.05</v>
      </c>
      <c r="H1305" s="11" t="inlineStr">
        <is>
          <t>Mirrodin (MRD)</t>
        </is>
      </c>
      <c r="I1305" s="11" t="inlineStr">
        <is>
          <t>Não</t>
        </is>
      </c>
      <c r="J1305" s="11" t="n">
        <v>2003</v>
      </c>
      <c r="K1305" s="10" t="n">
        <v>46023</v>
      </c>
      <c r="L1305" s="11" t="n">
        <v>1</v>
      </c>
      <c r="M1305" s="8">
        <f>L1305*G1305</f>
        <v/>
      </c>
      <c r="P1305" s="9" t="n"/>
    </row>
    <row r="1306">
      <c r="A1306" s="11" t="inlineStr">
        <is>
          <t>Consecrate // Consume / Devotar // Devorar</t>
        </is>
      </c>
      <c r="B1306" s="11" t="inlineStr">
        <is>
          <t>Instant // Sorcery / Mágica Instantânea</t>
        </is>
      </c>
      <c r="C1306" s="11" t="inlineStr">
        <is>
          <t>Uncommon / Incomum</t>
        </is>
      </c>
      <c r="D1306" s="11" t="inlineStr">
        <is>
          <t>Consecrate: Exile target card from a graveyard. Draw a card. // Consume: Target player sacrifices a creature with the greatest power among creatures they control. You gain life equal to its power. / Exile o card alvo de um cemitério. Compre um card.</t>
        </is>
      </c>
      <c r="E1306" s="11" t="inlineStr">
        <is>
          <t>{1}{W/B} // {2}{W}{B}</t>
        </is>
      </c>
      <c r="F1306" s="11" t="inlineStr">
        <is>
          <t>Preto, Branco</t>
        </is>
      </c>
      <c r="G1306" s="8" t="n">
        <v>0.1</v>
      </c>
      <c r="H1306" s="11" t="inlineStr">
        <is>
          <t>Ravnica Allegiance (RNA)</t>
        </is>
      </c>
      <c r="I1306" s="11" t="inlineStr">
        <is>
          <t>Não</t>
        </is>
      </c>
      <c r="J1306" s="11" t="n">
        <v>2019</v>
      </c>
      <c r="L1306" s="11" t="n">
        <v>1</v>
      </c>
      <c r="M1306" s="8">
        <f>L1306*G1306</f>
        <v/>
      </c>
      <c r="P1306" s="9" t="n"/>
    </row>
    <row r="1307">
      <c r="A1307" s="11" t="inlineStr">
        <is>
          <t>Channel / Canal</t>
        </is>
      </c>
      <c r="B1307" s="11" t="inlineStr">
        <is>
          <t>Sorcery / Feitiço</t>
        </is>
      </c>
      <c r="C1307" s="11" t="inlineStr">
        <is>
          <t>Mythic / Mítica</t>
        </is>
      </c>
      <c r="D1307" s="11" t="inlineStr">
        <is>
          <t>Until end of turn, any time you could activate a mana ability, you may pay 1 life. If you do, add {C}. / Até o final do turno, a qualquer momento em que você poderia ativar uma habilidade de mana, você poderá pagar 1 ponto de vida. Se fizer isso, adicione {C}.</t>
        </is>
      </c>
      <c r="E1307" s="11" t="inlineStr">
        <is>
          <t>{G}{G}</t>
        </is>
      </c>
      <c r="F1307" s="11" t="inlineStr">
        <is>
          <t>Verde</t>
        </is>
      </c>
      <c r="G1307" s="8" t="n">
        <v>0.78</v>
      </c>
      <c r="H1307" s="11" t="inlineStr">
        <is>
          <t>From the Vault: Exiled (V09)</t>
        </is>
      </c>
      <c r="I1307" s="11" t="inlineStr">
        <is>
          <t>Sim</t>
        </is>
      </c>
      <c r="J1307" s="11" t="n">
        <v>2009</v>
      </c>
      <c r="L1307" s="11" t="n">
        <v>1</v>
      </c>
      <c r="M1307" s="8">
        <f>L1307*G1307</f>
        <v/>
      </c>
      <c r="P1307" s="9" t="n"/>
    </row>
    <row r="1308">
      <c r="A1308" s="11" t="inlineStr">
        <is>
          <t>Naya Hushblade / Lâmina Silenciosa de Naya</t>
        </is>
      </c>
      <c r="B1308" s="11" t="inlineStr">
        <is>
          <t>Creature — Elf Rogue / Criatura — Elfo Ladino</t>
        </is>
      </c>
      <c r="C1308" s="11" t="inlineStr">
        <is>
          <t>Common / Comum</t>
        </is>
      </c>
      <c r="D1308" s="11"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8" s="11" t="inlineStr">
        <is>
          <t>{R/W}{G}</t>
        </is>
      </c>
      <c r="F1308" s="11" t="inlineStr">
        <is>
          <t>Verde, Vermelho, Branco</t>
        </is>
      </c>
      <c r="G1308" s="8" t="n">
        <v>0.15</v>
      </c>
      <c r="H1308" s="11" t="inlineStr">
        <is>
          <t>Alara Reborn (ARB)</t>
        </is>
      </c>
      <c r="I1308" s="11" t="inlineStr">
        <is>
          <t>Não</t>
        </is>
      </c>
      <c r="J1308" s="11" t="n">
        <v>2009</v>
      </c>
      <c r="K1308" s="10" t="n">
        <v>46024</v>
      </c>
      <c r="L1308" s="11" t="n">
        <v>2</v>
      </c>
      <c r="M1308" s="8">
        <f>L1308*G1308</f>
        <v/>
      </c>
      <c r="P1308" s="9" t="n"/>
    </row>
    <row r="1309">
      <c r="A1309" s="11" t="inlineStr">
        <is>
          <t>Double Cleave / Rachar em Dois</t>
        </is>
      </c>
      <c r="B1309" s="11" t="inlineStr">
        <is>
          <t>Instant / Mágica Instantânea</t>
        </is>
      </c>
      <c r="C1309" s="11" t="inlineStr">
        <is>
          <t>Common / Comum</t>
        </is>
      </c>
      <c r="D1309" s="11" t="inlineStr">
        <is>
          <t>Target creature gains double strike until end of turn. (It deals both first-strike and regular combat damage.) / A criatura alvo ganha golpe duplo até o final do turno. (Ela causa tanto o dano de iniciativa quanto o dano de combate normal.)</t>
        </is>
      </c>
      <c r="E1309" s="11" t="inlineStr">
        <is>
          <t>{1}{R/W}</t>
        </is>
      </c>
      <c r="F1309" s="11" t="inlineStr">
        <is>
          <t>Vermelho, Branco</t>
        </is>
      </c>
      <c r="G1309" s="8" t="n">
        <v>0.24</v>
      </c>
      <c r="H1309" s="11" t="inlineStr">
        <is>
          <t>Eventide (EVE)</t>
        </is>
      </c>
      <c r="I1309" s="11" t="inlineStr">
        <is>
          <t>Não</t>
        </is>
      </c>
      <c r="J1309" s="11" t="n">
        <v>2008</v>
      </c>
      <c r="L1309" s="11" t="n">
        <v>1</v>
      </c>
      <c r="M1309" s="8">
        <f>L1309*G1309</f>
        <v/>
      </c>
      <c r="P1309" s="9" t="n"/>
    </row>
    <row r="1310">
      <c r="A1310" s="11" t="inlineStr">
        <is>
          <t>Jund Hackblade / Lâmina Golpeadora de Jund</t>
        </is>
      </c>
      <c r="B1310" s="11" t="inlineStr">
        <is>
          <t>Creature — Goblin Berserker / Criatura — Goblin Amoque</t>
        </is>
      </c>
      <c r="C1310" s="11" t="inlineStr">
        <is>
          <t>Common / Comum</t>
        </is>
      </c>
      <c r="D1310" s="11" t="inlineStr">
        <is>
          <t>As long as you control another multicolored permanent, this creature gets +1/+1 and has haste. / Enquanto você controlar outra permanente multicolorida, Lâmina Golpeadora de Jund receberá +1/+1 e terá ímpeto.</t>
        </is>
      </c>
      <c r="E1310" s="11" t="inlineStr">
        <is>
          <t>{B/G}{R}</t>
        </is>
      </c>
      <c r="F1310" s="11" t="inlineStr">
        <is>
          <t>Preto, Verde, Vermelho</t>
        </is>
      </c>
      <c r="G1310" s="8" t="n">
        <v>0.2</v>
      </c>
      <c r="H1310" s="11" t="inlineStr">
        <is>
          <t>Alara Reborn (ARB)</t>
        </is>
      </c>
      <c r="I1310" s="11" t="inlineStr">
        <is>
          <t>Não</t>
        </is>
      </c>
      <c r="J1310" s="11" t="n">
        <v>2009</v>
      </c>
      <c r="K1310" s="10" t="n">
        <v>46024</v>
      </c>
      <c r="L1310" s="11" t="n">
        <v>1</v>
      </c>
      <c r="M1310" s="8">
        <f>L1310*G1310</f>
        <v/>
      </c>
      <c r="P1310" s="9" t="n"/>
    </row>
    <row r="1311">
      <c r="A1311" s="11" t="inlineStr">
        <is>
          <t>Snowhorn Rider / Ginete de Nivicórneo</t>
        </is>
      </c>
      <c r="B1311" s="11" t="inlineStr">
        <is>
          <t>Creature — Human Warrior / Criatura — Humano Guerreiro</t>
        </is>
      </c>
      <c r="C1311" s="11" t="inlineStr">
        <is>
          <t>Common / Comum</t>
        </is>
      </c>
      <c r="D1311" s="11"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11" s="11" t="inlineStr">
        <is>
          <t>{3}{G}{U}{R}</t>
        </is>
      </c>
      <c r="F1311" s="11" t="inlineStr">
        <is>
          <t>Verde, Vermelho, Azul</t>
        </is>
      </c>
      <c r="G1311" s="8" t="n">
        <v>0.05</v>
      </c>
      <c r="H1311" s="11" t="inlineStr">
        <is>
          <t>Khans of Tarkir (KTK)</t>
        </is>
      </c>
      <c r="I1311" s="11" t="inlineStr">
        <is>
          <t>Não</t>
        </is>
      </c>
      <c r="J1311" s="11" t="n">
        <v>2014</v>
      </c>
      <c r="K1311" s="10" t="n">
        <v>46147</v>
      </c>
      <c r="L1311" s="11" t="n">
        <v>1</v>
      </c>
      <c r="M1311" s="8">
        <f>L1311*G1311</f>
        <v/>
      </c>
      <c r="P1311" s="9" t="n"/>
    </row>
    <row r="1312">
      <c r="A1312" s="11" t="inlineStr">
        <is>
          <t>Boros Recruit / Recruta Boros</t>
        </is>
      </c>
      <c r="B1312" s="11" t="inlineStr">
        <is>
          <t>Creature — Goblin Soldier / Criatura - Soldado Goblin</t>
        </is>
      </c>
      <c r="C1312" s="11" t="inlineStr">
        <is>
          <t>Common / Comum</t>
        </is>
      </c>
      <c r="D1312" s="11" t="inlineStr">
        <is>
          <t>({R/W} can be paid with either {R} or {W}.) First strike / ({R/W} pode ser pago com {R} ou {W}.) Iniciativa</t>
        </is>
      </c>
      <c r="E1312" s="11" t="inlineStr">
        <is>
          <t>{R/W}</t>
        </is>
      </c>
      <c r="F1312" s="11" t="inlineStr">
        <is>
          <t>Vermelho, Branco</t>
        </is>
      </c>
      <c r="G1312" s="8" t="n">
        <v>0.08</v>
      </c>
      <c r="H1312" s="11" t="inlineStr">
        <is>
          <t>Ravnica: City of Guilds (RAV)</t>
        </is>
      </c>
      <c r="I1312" s="11" t="inlineStr">
        <is>
          <t>Não</t>
        </is>
      </c>
      <c r="J1312" s="11" t="n">
        <v>2005</v>
      </c>
      <c r="K1312" s="10" t="n">
        <v>46023</v>
      </c>
      <c r="L1312" s="11" t="n">
        <v>2</v>
      </c>
      <c r="M1312" s="8">
        <f>L1312*G1312</f>
        <v/>
      </c>
      <c r="P1312" s="9" t="n"/>
    </row>
    <row r="1313">
      <c r="A1313" s="11" t="inlineStr">
        <is>
          <t>Morselhoarder / Abocanhador</t>
        </is>
      </c>
      <c r="B1313" s="11" t="inlineStr">
        <is>
          <t>Creature — Elemental / Criatura — Elemental</t>
        </is>
      </c>
      <c r="C1313" s="11" t="inlineStr">
        <is>
          <t>Common / Comum</t>
        </is>
      </c>
      <c r="D1313" s="11"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13" s="11" t="inlineStr">
        <is>
          <t>{4}{R/G}{R/G}</t>
        </is>
      </c>
      <c r="F1313" s="11" t="inlineStr">
        <is>
          <t>Verde, Vermelho</t>
        </is>
      </c>
      <c r="G1313" s="8" t="n">
        <v>0.1</v>
      </c>
      <c r="H1313" s="11" t="inlineStr">
        <is>
          <t>Shadowmoor (SHM)</t>
        </is>
      </c>
      <c r="I1313" s="11" t="inlineStr">
        <is>
          <t>Não</t>
        </is>
      </c>
      <c r="J1313" s="11" t="n">
        <v>2008</v>
      </c>
      <c r="K1313" s="10" t="n">
        <v>46118</v>
      </c>
      <c r="L1313" s="11" t="n">
        <v>1</v>
      </c>
      <c r="M1313" s="8">
        <f>L1313*G1313</f>
        <v/>
      </c>
      <c r="P1313" s="9" t="n"/>
    </row>
    <row r="1314">
      <c r="A1314" s="11" t="inlineStr">
        <is>
          <t>Scarscale Ritual / Ritual de Escamo-Tatuagem</t>
        </is>
      </c>
      <c r="B1314" s="11" t="inlineStr">
        <is>
          <t>Sorcery / Feitiço</t>
        </is>
      </c>
      <c r="C1314" s="11" t="inlineStr">
        <is>
          <t>Common / Comum</t>
        </is>
      </c>
      <c r="D1314" s="11" t="inlineStr">
        <is>
          <t>As an additional cost to cast this spell, put a -1/-1 counter on a creature you control. Draw two cards. / Como custo adicional para jogar Ritual de Escamo-Tatuagem, coloque um marcador -1/-1 numa criatura que você controla. Compre dois cards.</t>
        </is>
      </c>
      <c r="E1314" s="11" t="inlineStr">
        <is>
          <t>{1}{U/B}</t>
        </is>
      </c>
      <c r="F1314" s="11" t="inlineStr">
        <is>
          <t>Preto, Azul</t>
        </is>
      </c>
      <c r="G1314" s="8" t="n">
        <v>0.15</v>
      </c>
      <c r="H1314" s="11" t="inlineStr">
        <is>
          <t>Shadowmoor (SHM)</t>
        </is>
      </c>
      <c r="I1314" s="11" t="inlineStr">
        <is>
          <t>Não</t>
        </is>
      </c>
      <c r="J1314" s="11" t="n">
        <v>2008</v>
      </c>
      <c r="L1314" s="11" t="n">
        <v>1</v>
      </c>
      <c r="M1314" s="8">
        <f>L1314*G1314</f>
        <v/>
      </c>
      <c r="P1314" s="9" t="n"/>
    </row>
    <row r="1315">
      <c r="A1315" s="11" t="inlineStr">
        <is>
          <t>Start // Finish / Começar // Terminar</t>
        </is>
      </c>
      <c r="B1315" s="11" t="inlineStr">
        <is>
          <t>Instant // Sorcery / Mágica Instantânea</t>
        </is>
      </c>
      <c r="C1315" s="11" t="inlineStr">
        <is>
          <t>Uncommon / Incomum</t>
        </is>
      </c>
      <c r="D1315" s="11"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15" s="11" t="inlineStr">
        <is>
          <t>{2}{W} // {2}{B}</t>
        </is>
      </c>
      <c r="F1315" s="11" t="inlineStr">
        <is>
          <t>Preto, Branco</t>
        </is>
      </c>
      <c r="G1315" s="8" t="n">
        <v>0.08</v>
      </c>
      <c r="H1315" s="11" t="inlineStr">
        <is>
          <t>Amonkhet (AKH)</t>
        </is>
      </c>
      <c r="I1315" s="11" t="inlineStr">
        <is>
          <t>Não</t>
        </is>
      </c>
      <c r="J1315" s="11" t="n">
        <v>2017</v>
      </c>
      <c r="L1315" s="11" t="n">
        <v>2</v>
      </c>
      <c r="M1315" s="8">
        <f>L1315*G1315</f>
        <v/>
      </c>
      <c r="P1315" s="9" t="n"/>
    </row>
    <row r="1316">
      <c r="A1316" s="11" t="inlineStr">
        <is>
          <t>Resolute Rider / Ginete Resoluta</t>
        </is>
      </c>
      <c r="B1316" s="11" t="inlineStr">
        <is>
          <t>Creature — Human Knight / Criatura — Humano Cavaleiro</t>
        </is>
      </c>
      <c r="C1316" s="11" t="inlineStr">
        <is>
          <t>Uncommon / Incomum</t>
        </is>
      </c>
      <c r="D1316" s="11"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6" s="11" t="inlineStr">
        <is>
          <t>{W/B}{W/B}{W/B}{W/B}</t>
        </is>
      </c>
      <c r="F1316" s="11" t="inlineStr">
        <is>
          <t>Preto, Branco</t>
        </is>
      </c>
      <c r="G1316" s="8" t="n">
        <v>0.08</v>
      </c>
      <c r="H1316" s="11" t="inlineStr">
        <is>
          <t>Throne of Eldraine (ELD)</t>
        </is>
      </c>
      <c r="I1316" s="11" t="inlineStr">
        <is>
          <t>Não</t>
        </is>
      </c>
      <c r="J1316" s="11" t="n">
        <v>2019</v>
      </c>
      <c r="K1316" s="10" t="n">
        <v>46057</v>
      </c>
      <c r="L1316" s="11" t="n">
        <v>2</v>
      </c>
      <c r="M1316" s="8">
        <f>L1316*G1316</f>
        <v/>
      </c>
      <c r="P1316" s="9" t="n"/>
    </row>
    <row r="1317">
      <c r="A1317" s="11" t="inlineStr">
        <is>
          <t>Grotesque Demise / Fim Grotesco</t>
        </is>
      </c>
      <c r="B1317" s="11" t="inlineStr">
        <is>
          <t>Instant / Mágica Instantânea</t>
        </is>
      </c>
      <c r="C1317" s="11" t="inlineStr">
        <is>
          <t>Common / Comum</t>
        </is>
      </c>
      <c r="D1317" s="11" t="inlineStr">
        <is>
          <t>Exile target creature with power 3 or less. / Exile a criatura alvo com poder igual ou inferior a 3.</t>
        </is>
      </c>
      <c r="E1317" s="11" t="inlineStr">
        <is>
          <t>{2}{B}</t>
        </is>
      </c>
      <c r="F1317" s="11" t="inlineStr">
        <is>
          <t>Preto</t>
        </is>
      </c>
      <c r="G1317" s="8" t="n">
        <v>0.03</v>
      </c>
      <c r="H1317" s="11" t="inlineStr">
        <is>
          <t>Ravnica Allegiance (RNA)</t>
        </is>
      </c>
      <c r="I1317" s="11" t="inlineStr">
        <is>
          <t>Não</t>
        </is>
      </c>
      <c r="J1317" s="11" t="n">
        <v>2019</v>
      </c>
      <c r="L1317" s="11" t="n">
        <v>1</v>
      </c>
      <c r="M1317" s="8">
        <f>L1317*G1317</f>
        <v/>
      </c>
      <c r="P1317" s="9" t="n"/>
    </row>
    <row r="1318">
      <c r="A1318" s="11" t="inlineStr">
        <is>
          <t>Junkblade Bruiser</t>
        </is>
      </c>
      <c r="B1318" s="11" t="inlineStr">
        <is>
          <t>Creature — Raccoon Berserker</t>
        </is>
      </c>
      <c r="C1318" s="11" t="inlineStr">
        <is>
          <t>Common / Comum</t>
        </is>
      </c>
      <c r="D1318" s="11" t="inlineStr">
        <is>
          <t>Trample Whenever you expend 4, this creature gets +2/+1 until end of turn. (You expend 4 as you spend your fourth total mana to cast spells during a turn.)</t>
        </is>
      </c>
      <c r="E1318" s="11" t="inlineStr">
        <is>
          <t>{3}{R/G}{R/G}</t>
        </is>
      </c>
      <c r="F1318" s="11" t="inlineStr">
        <is>
          <t>Verde, Vermelho</t>
        </is>
      </c>
      <c r="G1318" s="8" t="n">
        <v>0.1</v>
      </c>
      <c r="H1318" s="11" t="inlineStr">
        <is>
          <t>Bloomburrow (BLB)</t>
        </is>
      </c>
      <c r="I1318" s="11" t="inlineStr">
        <is>
          <t>Não</t>
        </is>
      </c>
      <c r="J1318" s="11" t="n">
        <v>2024</v>
      </c>
      <c r="K1318" s="10" t="n">
        <v>46146</v>
      </c>
      <c r="L1318" s="11" t="n">
        <v>2</v>
      </c>
      <c r="M1318" s="8">
        <f>L1318*G1318</f>
        <v/>
      </c>
      <c r="P1318" s="9" t="n"/>
    </row>
    <row r="1319">
      <c r="A1319" s="11" t="inlineStr">
        <is>
          <t>Feed the Cauldron / Alimentar o Caldeirão</t>
        </is>
      </c>
      <c r="B1319" s="11" t="inlineStr">
        <is>
          <t>Instant / Mágica Instantânea</t>
        </is>
      </c>
      <c r="C1319" s="11" t="inlineStr">
        <is>
          <t>Common / Comum</t>
        </is>
      </c>
      <c r="D1319" s="11"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9" s="11" t="inlineStr">
        <is>
          <t>{2}{B}</t>
        </is>
      </c>
      <c r="F1319" s="11" t="inlineStr">
        <is>
          <t>Preto</t>
        </is>
      </c>
      <c r="G1319" s="8" t="n">
        <v>0.05</v>
      </c>
      <c r="H1319" s="11" t="inlineStr">
        <is>
          <t>Wilds of Eldraine (WOE)</t>
        </is>
      </c>
      <c r="I1319" s="11" t="inlineStr">
        <is>
          <t>Não</t>
        </is>
      </c>
      <c r="J1319" s="11" t="n">
        <v>2023</v>
      </c>
      <c r="L1319" s="11" t="n">
        <v>1</v>
      </c>
      <c r="M1319" s="8">
        <f>L1319*G1319</f>
        <v/>
      </c>
      <c r="P1319" s="9" t="n"/>
    </row>
    <row r="1320">
      <c r="A1320" s="11" t="inlineStr">
        <is>
          <t>Cloudshift / Desvio Nebular</t>
        </is>
      </c>
      <c r="B1320" s="11" t="inlineStr">
        <is>
          <t>Instant / Mágica Instantânea</t>
        </is>
      </c>
      <c r="C1320" s="11" t="inlineStr">
        <is>
          <t>Common / Comum</t>
        </is>
      </c>
      <c r="D1320" s="11" t="inlineStr">
        <is>
          <t>Exile target creature you control, then return that card to the battlefield under your control. / Exile uma criatura alvo que você controla e depois devolva aquele card ao campo de batalha sob seu controle.</t>
        </is>
      </c>
      <c r="E1320" s="11" t="inlineStr">
        <is>
          <t>{W}</t>
        </is>
      </c>
      <c r="F1320" s="11" t="inlineStr">
        <is>
          <t>Branco</t>
        </is>
      </c>
      <c r="G1320" s="8" t="n">
        <v>0.05</v>
      </c>
      <c r="H1320" s="11" t="inlineStr">
        <is>
          <t>Avacyn Restored (AVR)</t>
        </is>
      </c>
      <c r="I1320" s="11" t="inlineStr">
        <is>
          <t>Não</t>
        </is>
      </c>
      <c r="J1320" s="11" t="n">
        <v>2012</v>
      </c>
      <c r="L1320" s="11" t="n">
        <v>1</v>
      </c>
      <c r="M1320" s="8">
        <f>L1320*G1320</f>
        <v/>
      </c>
      <c r="P1320" s="9" t="n"/>
    </row>
    <row r="1321">
      <c r="A1321" s="11" t="inlineStr">
        <is>
          <t>Blind Zealot / Zelote Cego</t>
        </is>
      </c>
      <c r="B1321" s="11" t="inlineStr">
        <is>
          <t>Creature — Phyrexian Human Cleric / Criatura — Humano Clérigo</t>
        </is>
      </c>
      <c r="C1321" s="11" t="inlineStr">
        <is>
          <t>Common / Comum</t>
        </is>
      </c>
      <c r="D1321" s="11"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21" s="11" t="inlineStr">
        <is>
          <t>{1}{B}{B}</t>
        </is>
      </c>
      <c r="F1321" s="11" t="inlineStr">
        <is>
          <t>Preto</t>
        </is>
      </c>
      <c r="G1321" s="8" t="n">
        <v>0.06</v>
      </c>
      <c r="H1321" s="11" t="inlineStr">
        <is>
          <t>New Phyrexia (NPH)</t>
        </is>
      </c>
      <c r="I1321" s="11" t="inlineStr">
        <is>
          <t>Não</t>
        </is>
      </c>
      <c r="J1321" s="11" t="n">
        <v>2011</v>
      </c>
      <c r="K1321" s="10" t="n">
        <v>46055</v>
      </c>
      <c r="L1321" s="11" t="n">
        <v>1</v>
      </c>
      <c r="M1321" s="8">
        <f>L1321*G1321</f>
        <v/>
      </c>
      <c r="P1321" s="9" t="n"/>
    </row>
    <row r="1322">
      <c r="A1322" s="11" t="inlineStr">
        <is>
          <t>Blood Reckoning / Vingança Sangrenta</t>
        </is>
      </c>
      <c r="B1322" s="11" t="inlineStr">
        <is>
          <t>Enchantment / Encantamento</t>
        </is>
      </c>
      <c r="C1322" s="11" t="inlineStr">
        <is>
          <t>Uncommon / Incomum</t>
        </is>
      </c>
      <c r="D1322" s="11" t="inlineStr">
        <is>
          <t>Whenever a creature attacks you or a planeswalker you control, that creature's controller loses 1 life. / Toda vez que uma criatura atacar você ou um planeswalker que você controle, o controlador daquela criatura perde 1 ponto de vida.</t>
        </is>
      </c>
      <c r="E1322" s="11" t="inlineStr">
        <is>
          <t>{3}{B}</t>
        </is>
      </c>
      <c r="F1322" s="11" t="inlineStr">
        <is>
          <t>Preto</t>
        </is>
      </c>
      <c r="G1322" s="8" t="n">
        <v>0.13</v>
      </c>
      <c r="H1322" s="11" t="inlineStr">
        <is>
          <t>Magic 2013 (M13)</t>
        </is>
      </c>
      <c r="I1322" s="11" t="inlineStr">
        <is>
          <t>Não</t>
        </is>
      </c>
      <c r="J1322" s="11" t="n">
        <v>2012</v>
      </c>
      <c r="L1322" s="11" t="n">
        <v>1</v>
      </c>
      <c r="M1322" s="8">
        <f>L1322*G1322</f>
        <v/>
      </c>
      <c r="P1322" s="9" t="n"/>
    </row>
    <row r="1323">
      <c r="A1323" s="11" t="inlineStr">
        <is>
          <t>Temple Thief / Ladrão de Templos</t>
        </is>
      </c>
      <c r="B1323" s="11" t="inlineStr">
        <is>
          <t>Creature — Human Rogue / Criatura — Humano Ladino</t>
        </is>
      </c>
      <c r="C1323" s="11" t="inlineStr">
        <is>
          <t>Common / Comum</t>
        </is>
      </c>
      <c r="D1323" s="11" t="inlineStr">
        <is>
          <t>This creature can't be blocked by enchanted creatures or enchantment creatures. / Ladrão de Templos não pode ser bloqueado por criaturas encantadas nem criaturas encantamento.</t>
        </is>
      </c>
      <c r="E1323" s="11" t="inlineStr">
        <is>
          <t>{1}{B}</t>
        </is>
      </c>
      <c r="F1323" s="11" t="inlineStr">
        <is>
          <t>Preto</t>
        </is>
      </c>
      <c r="G1323" s="8" t="n">
        <v>0.03</v>
      </c>
      <c r="H1323" s="11" t="inlineStr">
        <is>
          <t>Theros Beyond Death (THB)</t>
        </is>
      </c>
      <c r="I1323" s="11" t="inlineStr">
        <is>
          <t>Não</t>
        </is>
      </c>
      <c r="J1323" s="11" t="n">
        <v>2020</v>
      </c>
      <c r="K1323" s="10" t="n">
        <v>46055</v>
      </c>
      <c r="L1323" s="11" t="n">
        <v>1</v>
      </c>
      <c r="M1323" s="8">
        <f>L1323*G1323</f>
        <v/>
      </c>
      <c r="P1323" s="9" t="n"/>
    </row>
    <row r="1324">
      <c r="A1324" s="11" t="inlineStr">
        <is>
          <t>Miasmic Mummy / Múmia Miasmática</t>
        </is>
      </c>
      <c r="B1324" s="11" t="inlineStr">
        <is>
          <t>Creature — Zombie Jackal / Criatura — Zumbi Chacal</t>
        </is>
      </c>
      <c r="C1324" s="11" t="inlineStr">
        <is>
          <t>Common / Comum</t>
        </is>
      </c>
      <c r="D1324" s="11" t="inlineStr">
        <is>
          <t>When this creature enters, each player discards a card. / Quando Múmia Miasmática entra no campo de batalha, cada jogador descarta um card.</t>
        </is>
      </c>
      <c r="E1324" s="11" t="inlineStr">
        <is>
          <t>{1}{B}</t>
        </is>
      </c>
      <c r="F1324" s="11" t="inlineStr">
        <is>
          <t>Preto</t>
        </is>
      </c>
      <c r="G1324" s="8" t="n">
        <v>0.03</v>
      </c>
      <c r="H1324" s="11" t="inlineStr">
        <is>
          <t>Amonkhet (AKH)</t>
        </is>
      </c>
      <c r="I1324" s="11" t="inlineStr">
        <is>
          <t>Não</t>
        </is>
      </c>
      <c r="J1324" s="11" t="n">
        <v>2017</v>
      </c>
      <c r="K1324" s="10" t="n">
        <v>46055</v>
      </c>
      <c r="L1324" s="11" t="n">
        <v>1</v>
      </c>
      <c r="M1324" s="8">
        <f>L1324*G1324</f>
        <v/>
      </c>
      <c r="P1324" s="9" t="n"/>
    </row>
    <row r="1325">
      <c r="A1325" s="11" t="inlineStr">
        <is>
          <t>River's Grasp / Garras do Rio</t>
        </is>
      </c>
      <c r="B1325" s="11" t="inlineStr">
        <is>
          <t>Sorcery / Feitiço</t>
        </is>
      </c>
      <c r="C1325" s="11" t="inlineStr">
        <is>
          <t>Uncommon / Incomum</t>
        </is>
      </c>
      <c r="D1325" s="11"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25" s="11" t="inlineStr">
        <is>
          <t>{3}{U/B}</t>
        </is>
      </c>
      <c r="F1325" s="11" t="inlineStr">
        <is>
          <t>Preto, Azul</t>
        </is>
      </c>
      <c r="G1325" s="8" t="n">
        <v>0.06</v>
      </c>
      <c r="H1325" s="11" t="inlineStr">
        <is>
          <t>Shadowmoor (SHM)</t>
        </is>
      </c>
      <c r="I1325" s="11" t="inlineStr">
        <is>
          <t>Não</t>
        </is>
      </c>
      <c r="J1325" s="11" t="n">
        <v>2008</v>
      </c>
      <c r="L1325" s="11" t="n">
        <v>2</v>
      </c>
      <c r="M1325" s="8">
        <f>L1325*G1325</f>
        <v/>
      </c>
      <c r="P1325" s="9" t="n"/>
    </row>
    <row r="1326">
      <c r="A1326" s="11" t="inlineStr">
        <is>
          <t>Gravelgill Axeshark / Tubarão-Machado Petreobrânquio</t>
        </is>
      </c>
      <c r="B1326" s="11" t="inlineStr">
        <is>
          <t>Creature — Merfolk Soldier / Criatura — Tritão Soldado</t>
        </is>
      </c>
      <c r="C1326" s="11" t="inlineStr">
        <is>
          <t>Common / Comum</t>
        </is>
      </c>
      <c r="D1326" s="11"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6" s="11" t="inlineStr">
        <is>
          <t>{4}{U/B}</t>
        </is>
      </c>
      <c r="F1326" s="11" t="inlineStr">
        <is>
          <t>Preto, Azul</t>
        </is>
      </c>
      <c r="G1326" s="8" t="n">
        <v>0.05</v>
      </c>
      <c r="H1326" s="11" t="inlineStr">
        <is>
          <t>Shadowmoor (SHM)</t>
        </is>
      </c>
      <c r="I1326" s="11" t="inlineStr">
        <is>
          <t>Não</t>
        </is>
      </c>
      <c r="J1326" s="11" t="n">
        <v>2008</v>
      </c>
      <c r="K1326" s="10" t="n">
        <v>46084</v>
      </c>
      <c r="L1326" s="11" t="n">
        <v>2</v>
      </c>
      <c r="M1326" s="8">
        <f>L1326*G1326</f>
        <v/>
      </c>
      <c r="P1326" s="9" t="n"/>
    </row>
    <row r="1327">
      <c r="A1327" s="11" t="inlineStr">
        <is>
          <t>Fate Transfer / Transferência de Destino</t>
        </is>
      </c>
      <c r="B1327" s="11" t="inlineStr">
        <is>
          <t>Instant / Mágica Instantânea</t>
        </is>
      </c>
      <c r="C1327" s="11" t="inlineStr">
        <is>
          <t>Common / Comum</t>
        </is>
      </c>
      <c r="D1327" s="11" t="inlineStr">
        <is>
          <t>Move all counters from target creature onto another target creature. / Mova todos os marcadores da criatura alvo para outra criatura alvo.</t>
        </is>
      </c>
      <c r="E1327" s="11" t="inlineStr">
        <is>
          <t>{1}{U/B}</t>
        </is>
      </c>
      <c r="F1327" s="11" t="inlineStr">
        <is>
          <t>Preto, Azul</t>
        </is>
      </c>
      <c r="G1327" s="8" t="n">
        <v>0.2</v>
      </c>
      <c r="H1327" s="11" t="inlineStr">
        <is>
          <t>Shadowmoor (SHM)</t>
        </is>
      </c>
      <c r="I1327" s="11" t="inlineStr">
        <is>
          <t>Não</t>
        </is>
      </c>
      <c r="J1327" s="11" t="n">
        <v>2008</v>
      </c>
      <c r="L1327" s="11" t="n">
        <v>1</v>
      </c>
      <c r="M1327" s="8">
        <f>L1327*G1327</f>
        <v/>
      </c>
      <c r="P1327" s="9" t="n"/>
    </row>
    <row r="1328">
      <c r="A1328" s="11" t="inlineStr">
        <is>
          <t>Wanderbrine Rootcutters / Corta-Raízes de Salmorerrante</t>
        </is>
      </c>
      <c r="B1328" s="11" t="inlineStr">
        <is>
          <t>Creature — Merfolk Rogue / Criatura — Tritão Ladino</t>
        </is>
      </c>
      <c r="C1328" s="11" t="inlineStr">
        <is>
          <t>Common / Comum</t>
        </is>
      </c>
      <c r="D1328" s="11" t="inlineStr">
        <is>
          <t>This creature can't be blocked by green creatures. / Corta-Raízes de Salmorerrante não pode ser bloqueado por criaturas verdes.</t>
        </is>
      </c>
      <c r="E1328" s="11" t="inlineStr">
        <is>
          <t>{2}{U/B}{U/B}</t>
        </is>
      </c>
      <c r="F1328" s="11" t="inlineStr">
        <is>
          <t>Preto, Azul</t>
        </is>
      </c>
      <c r="G1328" s="8" t="n">
        <v>0.05</v>
      </c>
      <c r="H1328" s="11" t="inlineStr">
        <is>
          <t>Shadowmoor (SHM)</t>
        </is>
      </c>
      <c r="I1328" s="11" t="inlineStr">
        <is>
          <t>Não</t>
        </is>
      </c>
      <c r="J1328" s="11" t="n">
        <v>2008</v>
      </c>
      <c r="K1328" s="10" t="n">
        <v>46084</v>
      </c>
      <c r="L1328" s="11" t="n">
        <v>1</v>
      </c>
      <c r="M1328" s="8">
        <f>L1328*G1328</f>
        <v/>
      </c>
      <c r="P1328" s="9" t="n"/>
    </row>
    <row r="1329">
      <c r="A1329" s="11" t="inlineStr">
        <is>
          <t>Oona's Gatewarden / Guardião dos Portões de Oona</t>
        </is>
      </c>
      <c r="B1329" s="11" t="inlineStr">
        <is>
          <t>Creature — Faerie Soldier / Criatura — Fada Soldado</t>
        </is>
      </c>
      <c r="C1329" s="11" t="inlineStr">
        <is>
          <t>Common / Comum</t>
        </is>
      </c>
      <c r="D1329" s="11" t="inlineStr">
        <is>
          <t>Defender, flying Wither (This deals damage to creatures in the form of -1/-1 counters.) / Voar, defensor Murchar (Esta fonte causa dano a criaturas na forma de marcadores -1/-1.)</t>
        </is>
      </c>
      <c r="E1329" s="11" t="inlineStr">
        <is>
          <t>{U/B}</t>
        </is>
      </c>
      <c r="F1329" s="11" t="inlineStr">
        <is>
          <t>Preto, Azul</t>
        </is>
      </c>
      <c r="G1329" s="8" t="n">
        <v>0.14</v>
      </c>
      <c r="H1329" s="11" t="inlineStr">
        <is>
          <t>Shadowmoor (SHM)</t>
        </is>
      </c>
      <c r="I1329" s="11" t="inlineStr">
        <is>
          <t>Não</t>
        </is>
      </c>
      <c r="J1329" s="11" t="n">
        <v>2008</v>
      </c>
      <c r="K1329" s="10" t="n">
        <v>46024</v>
      </c>
      <c r="L1329" s="11" t="n">
        <v>1</v>
      </c>
      <c r="M1329" s="8">
        <f>L1329*G1329</f>
        <v/>
      </c>
      <c r="P1329" s="9" t="n"/>
    </row>
    <row r="1330">
      <c r="A1330" s="11" t="inlineStr">
        <is>
          <t>Cultbrand Cinder / Cinzeríneo Culto-do-Estigma</t>
        </is>
      </c>
      <c r="B1330" s="11" t="inlineStr">
        <is>
          <t>Creature — Elemental Shaman / Criatura — Elemental Xamã</t>
        </is>
      </c>
      <c r="C1330" s="11" t="inlineStr">
        <is>
          <t>Common / Comum</t>
        </is>
      </c>
      <c r="D1330" s="11" t="inlineStr">
        <is>
          <t>When this creature enters, put a -1/-1 counter on target creature. / Quando Cinzeríneo Culto-do-Estigma entrar em jogo, coloque um marcador -1/-1 na criatura alvo.</t>
        </is>
      </c>
      <c r="E1330" s="11" t="inlineStr">
        <is>
          <t>{4}{B/R}</t>
        </is>
      </c>
      <c r="F1330" s="11" t="inlineStr">
        <is>
          <t>Preto, Vermelho</t>
        </is>
      </c>
      <c r="G1330" s="8" t="n">
        <v>0.06</v>
      </c>
      <c r="H1330" s="11" t="inlineStr">
        <is>
          <t>Shadowmoor (SHM)</t>
        </is>
      </c>
      <c r="I1330" s="11" t="inlineStr">
        <is>
          <t>Não</t>
        </is>
      </c>
      <c r="J1330" s="11" t="n">
        <v>2008</v>
      </c>
      <c r="K1330" s="10" t="n">
        <v>46084</v>
      </c>
      <c r="L1330" s="11" t="n">
        <v>1</v>
      </c>
      <c r="M1330" s="8">
        <f>L1330*G1330</f>
        <v/>
      </c>
      <c r="P1330" s="9" t="n"/>
    </row>
    <row r="1331">
      <c r="A1331" s="11" t="inlineStr">
        <is>
          <t>Spiteflame Witch / Bruxa da Chama Maliciosa</t>
        </is>
      </c>
      <c r="B1331" s="11" t="inlineStr">
        <is>
          <t>Creature — Elemental Shaman / Criatura — Elemental Xamã</t>
        </is>
      </c>
      <c r="C1331" s="11" t="inlineStr">
        <is>
          <t>Uncommon / Incomum</t>
        </is>
      </c>
      <c r="D1331" s="11" t="inlineStr">
        <is>
          <t>{B}{R}: Each player loses 1 life. / {B}{R}: Cada jogador perde 1 ponto de vida.</t>
        </is>
      </c>
      <c r="E1331" s="11" t="inlineStr">
        <is>
          <t>{1}{B/R}</t>
        </is>
      </c>
      <c r="F1331" s="11" t="inlineStr">
        <is>
          <t>Preto, Vermelho</t>
        </is>
      </c>
      <c r="G1331" s="8" t="n">
        <v>0.09</v>
      </c>
      <c r="H1331" s="11" t="inlineStr">
        <is>
          <t>Shadowmoor (SHM)</t>
        </is>
      </c>
      <c r="I1331" s="11" t="inlineStr">
        <is>
          <t>Não</t>
        </is>
      </c>
      <c r="J1331" s="11" t="n">
        <v>2008</v>
      </c>
      <c r="K1331" s="10" t="n">
        <v>46024</v>
      </c>
      <c r="L1331" s="11" t="n">
        <v>1</v>
      </c>
      <c r="M1331" s="8">
        <f>L1331*G1331</f>
        <v/>
      </c>
      <c r="P1331" s="9" t="n"/>
    </row>
    <row r="1332">
      <c r="A1332" s="11" t="inlineStr">
        <is>
          <t>Syndicate Guildmage / Mago de Guilda do Sindicato</t>
        </is>
      </c>
      <c r="B1332" s="11" t="inlineStr">
        <is>
          <t>Creature — Human Cleric / Criatura — Humano Clérigo</t>
        </is>
      </c>
      <c r="C1332" s="11" t="inlineStr">
        <is>
          <t>Uncommon / Incomum</t>
        </is>
      </c>
      <c r="D1332" s="11"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32" s="11" t="inlineStr">
        <is>
          <t>{W}{B}</t>
        </is>
      </c>
      <c r="F1332" s="11" t="inlineStr">
        <is>
          <t>Preto, Branco</t>
        </is>
      </c>
      <c r="G1332" s="8" t="n">
        <v>0.03</v>
      </c>
      <c r="H1332" s="11" t="inlineStr">
        <is>
          <t>Ravnica Allegiance (RNA)</t>
        </is>
      </c>
      <c r="I1332" s="11" t="inlineStr">
        <is>
          <t>Não</t>
        </is>
      </c>
      <c r="J1332" s="11" t="n">
        <v>2019</v>
      </c>
      <c r="K1332" s="10" t="n">
        <v>46055</v>
      </c>
      <c r="L1332" s="11" t="n">
        <v>2</v>
      </c>
      <c r="M1332" s="8">
        <f>L1332*G1332</f>
        <v/>
      </c>
      <c r="P1332" s="9" t="n"/>
    </row>
    <row r="1333">
      <c r="A1333" s="11" t="inlineStr">
        <is>
          <t>Forsaken Drifters / Errantes Abandonados</t>
        </is>
      </c>
      <c r="B1333" s="11" t="inlineStr">
        <is>
          <t>Creature — Zombie / Criatura — Zumbi</t>
        </is>
      </c>
      <c r="C1333" s="11" t="inlineStr">
        <is>
          <t>Common / Comum</t>
        </is>
      </c>
      <c r="D1333" s="11" t="inlineStr">
        <is>
          <t>When this creature dies, mill four cards. / Quando Errantes Abandonados morrer, coloque os quatro cards do topo de seu grimório em seu cemitério.</t>
        </is>
      </c>
      <c r="E1333" s="11" t="inlineStr">
        <is>
          <t>{3}{B}</t>
        </is>
      </c>
      <c r="F1333" s="11" t="inlineStr">
        <is>
          <t>Preto</t>
        </is>
      </c>
      <c r="G1333" s="8" t="n">
        <v>0.03</v>
      </c>
      <c r="H1333" s="11" t="inlineStr">
        <is>
          <t>Born of the Gods (BNG)</t>
        </is>
      </c>
      <c r="I1333" s="11" t="inlineStr">
        <is>
          <t>Não</t>
        </is>
      </c>
      <c r="J1333" s="11" t="n">
        <v>2014</v>
      </c>
      <c r="K1333" s="10" t="n">
        <v>46057</v>
      </c>
      <c r="L1333" s="11" t="n">
        <v>1</v>
      </c>
      <c r="M1333" s="8">
        <f>L1333*G1333</f>
        <v/>
      </c>
      <c r="P1333" s="9" t="n"/>
    </row>
    <row r="1334">
      <c r="A1334" s="11" t="inlineStr">
        <is>
          <t>Crow of Dark Tidings / Corvo das Notícias Sombrias</t>
        </is>
      </c>
      <c r="B1334" s="11" t="inlineStr">
        <is>
          <t>Creature — Zombie Bird / Criatura — Zumbi Ave</t>
        </is>
      </c>
      <c r="C1334" s="11" t="inlineStr">
        <is>
          <t>Common / Comum</t>
        </is>
      </c>
      <c r="D1334" s="11"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34" s="11" t="inlineStr">
        <is>
          <t>{2}{B}</t>
        </is>
      </c>
      <c r="F1334" s="11" t="inlineStr">
        <is>
          <t>Preto</t>
        </is>
      </c>
      <c r="G1334" s="8" t="n">
        <v>0.05</v>
      </c>
      <c r="H1334" s="11" t="inlineStr">
        <is>
          <t>Commander Legends (CMR)</t>
        </is>
      </c>
      <c r="I1334" s="11" t="inlineStr">
        <is>
          <t>Não</t>
        </is>
      </c>
      <c r="J1334" s="11" t="n">
        <v>2020</v>
      </c>
      <c r="K1334" s="10" t="n">
        <v>46024</v>
      </c>
      <c r="L1334" s="11" t="n">
        <v>1</v>
      </c>
      <c r="M1334" s="8">
        <f>L1334*G1334</f>
        <v/>
      </c>
      <c r="P1334" s="9" t="n"/>
    </row>
    <row r="1335">
      <c r="A1335" s="11" t="inlineStr">
        <is>
          <t>Carrion Crow / Corvo Carniceiro</t>
        </is>
      </c>
      <c r="B1335" s="11" t="inlineStr">
        <is>
          <t>Creature — Zombie Bird / Criatura — Zumbi Ave</t>
        </is>
      </c>
      <c r="C1335" s="11" t="inlineStr">
        <is>
          <t>Common / Comum</t>
        </is>
      </c>
      <c r="D1335" s="11" t="inlineStr">
        <is>
          <t>Flying (This creature can't be blocked except by creatures with flying or reach.) This creature enters tapped. / Voar (Esta criatura só pode ser bloqueada por criaturas com voar ou alcance.) Corvo Carniceiro entra no campo de batalha virado.</t>
        </is>
      </c>
      <c r="E1335" s="11" t="inlineStr">
        <is>
          <t>{2}{B}</t>
        </is>
      </c>
      <c r="F1335" s="11" t="inlineStr">
        <is>
          <t>Preto</t>
        </is>
      </c>
      <c r="G1335" s="8" t="n">
        <v>0.06</v>
      </c>
      <c r="H1335" s="11" t="inlineStr">
        <is>
          <t>Magic 2015 (M15)</t>
        </is>
      </c>
      <c r="I1335" s="11" t="inlineStr">
        <is>
          <t>Não</t>
        </is>
      </c>
      <c r="J1335" s="11" t="n">
        <v>2014</v>
      </c>
      <c r="K1335" s="10" t="n">
        <v>46055</v>
      </c>
      <c r="L1335" s="11" t="n">
        <v>1</v>
      </c>
      <c r="M1335" s="8">
        <f>L1335*G1335</f>
        <v/>
      </c>
      <c r="P1335" s="9" t="n"/>
    </row>
    <row r="1336">
      <c r="A1336" s="11" t="inlineStr">
        <is>
          <t>Serrated Scorpion / Escorpião Serrilhado</t>
        </is>
      </c>
      <c r="B1336" s="11" t="inlineStr">
        <is>
          <t>Creature — Scorpion / Criatura — Escorpião</t>
        </is>
      </c>
      <c r="C1336" s="11" t="inlineStr">
        <is>
          <t>Common / Comum</t>
        </is>
      </c>
      <c r="D1336" s="11" t="inlineStr">
        <is>
          <t>When this creature dies, it deals 2 damage to each opponent and you gain 2 life. / Quando Escorpião Serrilhado morre, ele causa 2 pontos de dano a cada oponente e você ganha 2 pontos de vida.</t>
        </is>
      </c>
      <c r="E1336" s="11" t="inlineStr">
        <is>
          <t>{B}</t>
        </is>
      </c>
      <c r="F1336" s="11" t="inlineStr">
        <is>
          <t>Preto</t>
        </is>
      </c>
      <c r="G1336" s="8" t="n">
        <v>0.17</v>
      </c>
      <c r="H1336" s="11" t="inlineStr">
        <is>
          <t>Ikoria: Lair of Behemoths (IKO)</t>
        </is>
      </c>
      <c r="I1336" s="11" t="inlineStr">
        <is>
          <t>Não</t>
        </is>
      </c>
      <c r="J1336" s="11" t="n">
        <v>2020</v>
      </c>
      <c r="K1336" s="10" t="n">
        <v>46054</v>
      </c>
      <c r="L1336" s="11" t="n">
        <v>1</v>
      </c>
      <c r="M1336" s="8">
        <f>L1336*G1336</f>
        <v/>
      </c>
      <c r="P1336" s="9" t="n"/>
    </row>
    <row r="1337">
      <c r="A1337" s="11" t="inlineStr">
        <is>
          <t>Feast of Flesh / Banquete de Carne</t>
        </is>
      </c>
      <c r="B1337" s="11" t="inlineStr">
        <is>
          <t>Sorcery / Feitiço</t>
        </is>
      </c>
      <c r="C1337" s="11" t="inlineStr">
        <is>
          <t>Common / Comum</t>
        </is>
      </c>
      <c r="D1337" s="11"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7" s="11" t="inlineStr">
        <is>
          <t>{B}</t>
        </is>
      </c>
      <c r="F1337" s="11" t="inlineStr">
        <is>
          <t>Preto</t>
        </is>
      </c>
      <c r="G1337" s="8" t="n">
        <v>0.09</v>
      </c>
      <c r="H1337" s="11" t="inlineStr">
        <is>
          <t>Coldsnap (CSP)</t>
        </is>
      </c>
      <c r="I1337" s="11" t="inlineStr">
        <is>
          <t>Não</t>
        </is>
      </c>
      <c r="J1337" s="11" t="n">
        <v>2006</v>
      </c>
      <c r="L1337" s="11" t="n">
        <v>2</v>
      </c>
      <c r="M1337" s="8">
        <f>L1337*G1337</f>
        <v/>
      </c>
      <c r="P1337" s="9" t="n"/>
    </row>
    <row r="1338">
      <c r="A1338" s="11" t="inlineStr">
        <is>
          <t>Demonic Gifts / Dons Demoníacos</t>
        </is>
      </c>
      <c r="B1338" s="11" t="inlineStr">
        <is>
          <t>Instant / Mágica Instantânea</t>
        </is>
      </c>
      <c r="C1338" s="11" t="inlineStr">
        <is>
          <t>Common / Comum</t>
        </is>
      </c>
      <c r="D1338" s="11"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8" s="11" t="inlineStr">
        <is>
          <t>{1}{B}</t>
        </is>
      </c>
      <c r="F1338" s="11" t="inlineStr">
        <is>
          <t>Preto</t>
        </is>
      </c>
      <c r="G1338" s="8" t="n">
        <v>0.06</v>
      </c>
      <c r="H1338" s="11" t="inlineStr">
        <is>
          <t>Kaldheim (KHM)</t>
        </is>
      </c>
      <c r="I1338" s="11" t="inlineStr">
        <is>
          <t>Não</t>
        </is>
      </c>
      <c r="J1338" s="11" t="n">
        <v>2021</v>
      </c>
      <c r="L1338" s="11" t="n">
        <v>1</v>
      </c>
      <c r="M1338" s="8">
        <f>L1338*G1338</f>
        <v/>
      </c>
      <c r="P1338" s="9" t="n"/>
    </row>
    <row r="1339">
      <c r="A1339" s="11" t="inlineStr">
        <is>
          <t>Skullport Merchant / Mercadora do Porto da Caveira</t>
        </is>
      </c>
      <c r="B1339" s="11" t="inlineStr">
        <is>
          <t>Creature — Dwarf Citizen / Criatura — Anão Cidadão</t>
        </is>
      </c>
      <c r="C1339" s="11" t="inlineStr">
        <is>
          <t>Uncommon / Incomum</t>
        </is>
      </c>
      <c r="D1339" s="11"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9" s="11" t="inlineStr">
        <is>
          <t>{2}{B}</t>
        </is>
      </c>
      <c r="F1339" s="11" t="inlineStr">
        <is>
          <t>Preto</t>
        </is>
      </c>
      <c r="G1339" s="8" t="n">
        <v>0.09</v>
      </c>
      <c r="H1339" s="11" t="inlineStr">
        <is>
          <t>Commander Legends: Battle for Baldur's Gate (CLB)</t>
        </is>
      </c>
      <c r="I1339" s="11" t="inlineStr">
        <is>
          <t>Não</t>
        </is>
      </c>
      <c r="J1339" s="11" t="n">
        <v>2022</v>
      </c>
      <c r="K1339" s="10" t="n">
        <v>46113</v>
      </c>
      <c r="L1339" s="11" t="n">
        <v>1</v>
      </c>
      <c r="M1339" s="8">
        <f>L1339*G1339</f>
        <v/>
      </c>
      <c r="P1339" s="9" t="n"/>
    </row>
    <row r="1340">
      <c r="A1340" s="11" t="inlineStr">
        <is>
          <t>Wailing Ghoul / Carniçal Lamuriante</t>
        </is>
      </c>
      <c r="B1340" s="11" t="inlineStr">
        <is>
          <t>Creature — Zombie / Criatura — Zumbi</t>
        </is>
      </c>
      <c r="C1340" s="11" t="inlineStr">
        <is>
          <t>Common / Comum</t>
        </is>
      </c>
      <c r="D1340" s="11" t="inlineStr">
        <is>
          <t>When this creature enters, mill two cards. (Put the top two cards of your library into your graveyard.) / Quando Carniçal Lamuriante entrar no campo de batalha, coloque os dois cards do topo de seu grimório em seu cemitério.</t>
        </is>
      </c>
      <c r="E1340" s="11" t="inlineStr">
        <is>
          <t>{1}{B}</t>
        </is>
      </c>
      <c r="F1340" s="11" t="inlineStr">
        <is>
          <t>Preto</t>
        </is>
      </c>
      <c r="G1340" s="8" t="n">
        <v>0.25</v>
      </c>
      <c r="H1340" s="11" t="inlineStr">
        <is>
          <t>Eldritch Moon (EMN)</t>
        </is>
      </c>
      <c r="I1340" s="11" t="inlineStr">
        <is>
          <t>Sim</t>
        </is>
      </c>
      <c r="J1340" s="11" t="n">
        <v>2016</v>
      </c>
      <c r="K1340" s="10" t="n">
        <v>46082</v>
      </c>
      <c r="L1340" s="11" t="n">
        <v>1</v>
      </c>
      <c r="M1340" s="8">
        <f>L1340*G1340</f>
        <v/>
      </c>
      <c r="P1340" s="9" t="n"/>
    </row>
    <row r="1341">
      <c r="A1341" s="11" t="inlineStr">
        <is>
          <t>Vraska's Finisher / Finalizadora de Vraska</t>
        </is>
      </c>
      <c r="B1341" s="11" t="inlineStr">
        <is>
          <t>Creature — Gorgon Assassin / Criatura — Górgona Assassino</t>
        </is>
      </c>
      <c r="C1341" s="11" t="inlineStr">
        <is>
          <t>Common / Comum</t>
        </is>
      </c>
      <c r="D1341" s="11"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41" s="11" t="inlineStr">
        <is>
          <t>{2}{B}</t>
        </is>
      </c>
      <c r="F1341" s="11" t="inlineStr">
        <is>
          <t>Preto</t>
        </is>
      </c>
      <c r="G1341" s="8" t="n">
        <v>0.05</v>
      </c>
      <c r="H1341" s="11" t="inlineStr">
        <is>
          <t>War of the Spark (WAR)</t>
        </is>
      </c>
      <c r="I1341" s="11" t="inlineStr">
        <is>
          <t>Não</t>
        </is>
      </c>
      <c r="J1341" s="11" t="n">
        <v>2019</v>
      </c>
      <c r="K1341" s="10" t="n">
        <v>46056</v>
      </c>
      <c r="L1341" s="11" t="n">
        <v>1</v>
      </c>
      <c r="M1341" s="8">
        <f>L1341*G1341</f>
        <v/>
      </c>
      <c r="P1341" s="9" t="n"/>
    </row>
    <row r="1342">
      <c r="A1342" s="11" t="inlineStr">
        <is>
          <t>Dread Shade / Sombra Aterrorizante</t>
        </is>
      </c>
      <c r="B1342" s="11" t="inlineStr">
        <is>
          <t>Creature — Shade / Criatura — Sombra</t>
        </is>
      </c>
      <c r="C1342" s="11" t="inlineStr">
        <is>
          <t>Rare / Rara</t>
        </is>
      </c>
      <c r="D1342" s="11" t="inlineStr">
        <is>
          <t>{B}: This creature gets +1/+1 until end of turn. / {B}: Sombra Aterrorizante recebe +1/+1 até o final do turno.</t>
        </is>
      </c>
      <c r="E1342" s="11" t="inlineStr">
        <is>
          <t>{B}{B}{B}</t>
        </is>
      </c>
      <c r="F1342" s="11" t="inlineStr">
        <is>
          <t>Preto</t>
        </is>
      </c>
      <c r="G1342" s="8" t="n">
        <v>0.32</v>
      </c>
      <c r="H1342" s="11" t="inlineStr">
        <is>
          <t>Dominaria (DOM)</t>
        </is>
      </c>
      <c r="I1342" s="11" t="inlineStr">
        <is>
          <t>Não</t>
        </is>
      </c>
      <c r="J1342" s="11" t="n">
        <v>2018</v>
      </c>
      <c r="K1342" s="10" t="n">
        <v>46084</v>
      </c>
      <c r="L1342" s="11" t="n">
        <v>2</v>
      </c>
      <c r="M1342" s="8">
        <f>L1342*G1342</f>
        <v/>
      </c>
      <c r="P1342" s="9" t="n"/>
    </row>
    <row r="1343">
      <c r="A1343" s="11" t="inlineStr">
        <is>
          <t>Vampire Opportunist / Oportunista Vampira</t>
        </is>
      </c>
      <c r="B1343" s="11" t="inlineStr">
        <is>
          <t>Creature — Vampire / Criatura — Vampiro</t>
        </is>
      </c>
      <c r="C1343" s="11" t="inlineStr">
        <is>
          <t>Common / Comum</t>
        </is>
      </c>
      <c r="D1343" s="11" t="inlineStr">
        <is>
          <t>{6}{B}: Each opponent loses 2 life and you gain 2 life. / {6}{B}: Cada oponente perde 2 pontos de vida e você ganha 2 pontos de vida.</t>
        </is>
      </c>
      <c r="E1343" s="11" t="inlineStr">
        <is>
          <t>{1}{B}</t>
        </is>
      </c>
      <c r="F1343" s="11" t="inlineStr">
        <is>
          <t>Preto</t>
        </is>
      </c>
      <c r="G1343" s="8" t="n">
        <v>0.03</v>
      </c>
      <c r="H1343" s="11" t="inlineStr">
        <is>
          <t>War of the Spark (WAR)</t>
        </is>
      </c>
      <c r="I1343" s="11" t="inlineStr">
        <is>
          <t>Não</t>
        </is>
      </c>
      <c r="J1343" s="11" t="n">
        <v>2019</v>
      </c>
      <c r="K1343" s="10" t="n">
        <v>46024</v>
      </c>
      <c r="L1343" s="11" t="n">
        <v>1</v>
      </c>
      <c r="M1343" s="8">
        <f>L1343*G1343</f>
        <v/>
      </c>
      <c r="P1343" s="9" t="n"/>
    </row>
    <row r="1344">
      <c r="A1344" s="11" t="inlineStr">
        <is>
          <t>Drana's Silencer / Silenciador de Drana</t>
        </is>
      </c>
      <c r="B1344" s="11" t="inlineStr">
        <is>
          <t>Creature — Vampire Rogue / Criatura — Vampiro Ladino</t>
        </is>
      </c>
      <c r="C1344" s="11" t="inlineStr">
        <is>
          <t>Common / Comum</t>
        </is>
      </c>
      <c r="D1344" s="11"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44" s="11" t="inlineStr">
        <is>
          <t>{5}{B}</t>
        </is>
      </c>
      <c r="F1344" s="11" t="inlineStr">
        <is>
          <t>Preto</t>
        </is>
      </c>
      <c r="G1344" s="8" t="n">
        <v>0.05</v>
      </c>
      <c r="H1344" s="11" t="inlineStr">
        <is>
          <t>Zendikar Rising (ZNR)</t>
        </is>
      </c>
      <c r="I1344" s="11" t="inlineStr">
        <is>
          <t>Não</t>
        </is>
      </c>
      <c r="J1344" s="11" t="n">
        <v>2020</v>
      </c>
      <c r="K1344" s="10" t="n">
        <v>46056</v>
      </c>
      <c r="L1344" s="11" t="n">
        <v>1</v>
      </c>
      <c r="M1344" s="8">
        <f>L1344*G1344</f>
        <v/>
      </c>
      <c r="P1344" s="9" t="n"/>
    </row>
    <row r="1345">
      <c r="A1345" s="11" t="inlineStr">
        <is>
          <t>Soul Transfer / Transferência de Alma</t>
        </is>
      </c>
      <c r="B1345" s="11" t="inlineStr">
        <is>
          <t>Sorcery / Feitiço</t>
        </is>
      </c>
      <c r="C1345" s="11" t="inlineStr">
        <is>
          <t>Rare / Rara</t>
        </is>
      </c>
      <c r="D1345" s="11"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45" s="11" t="inlineStr">
        <is>
          <t>{1}{B}{B}</t>
        </is>
      </c>
      <c r="F1345" s="11" t="inlineStr">
        <is>
          <t>Preto</t>
        </is>
      </c>
      <c r="G1345" s="8" t="n">
        <v>0.35</v>
      </c>
      <c r="H1345" s="11" t="inlineStr">
        <is>
          <t>Kamigawa: Neon Dynasty (NEO)</t>
        </is>
      </c>
      <c r="I1345" s="11" t="inlineStr">
        <is>
          <t>Não</t>
        </is>
      </c>
      <c r="J1345" s="11" t="n">
        <v>2022</v>
      </c>
      <c r="L1345" s="11" t="n">
        <v>1</v>
      </c>
      <c r="M1345" s="8">
        <f>L1345*G1345</f>
        <v/>
      </c>
      <c r="P1345" s="9" t="n"/>
    </row>
    <row r="1346">
      <c r="A1346" s="11" t="inlineStr">
        <is>
          <t>Fathom Fleet Cutthroat / Degoladora da Frota Abissal</t>
        </is>
      </c>
      <c r="B1346" s="11" t="inlineStr">
        <is>
          <t>Creature — Human Pirate / Criatura — Humano Pirata</t>
        </is>
      </c>
      <c r="C1346" s="11" t="inlineStr">
        <is>
          <t>Common / Comum</t>
        </is>
      </c>
      <c r="D1346" s="11" t="inlineStr">
        <is>
          <t>When this creature enters, destroy target creature an opponent controls that was dealt damage this turn. / Quando Degoladora da Frota Abissal entrar no campo de batalha, destrua a criatura alvo que um oponente controla que sofreu dano neste turno.</t>
        </is>
      </c>
      <c r="E1346" s="11" t="inlineStr">
        <is>
          <t>{3}{B}</t>
        </is>
      </c>
      <c r="F1346" s="11" t="inlineStr">
        <is>
          <t>Preto</t>
        </is>
      </c>
      <c r="G1346" s="8" t="n">
        <v>0.03</v>
      </c>
      <c r="H1346" s="11" t="inlineStr">
        <is>
          <t>Ixalan (XLN)</t>
        </is>
      </c>
      <c r="I1346" s="11" t="inlineStr">
        <is>
          <t>Não</t>
        </is>
      </c>
      <c r="J1346" s="11" t="n">
        <v>2017</v>
      </c>
      <c r="K1346" s="10" t="n">
        <v>46084</v>
      </c>
      <c r="L1346" s="11" t="n">
        <v>1</v>
      </c>
      <c r="M1346" s="8">
        <f>L1346*G1346</f>
        <v/>
      </c>
      <c r="P1346" s="9" t="n"/>
    </row>
    <row r="1347">
      <c r="A1347" s="11" t="inlineStr">
        <is>
          <t>Falkenrath Torturer / Torturador Falkenrath</t>
        </is>
      </c>
      <c r="B1347" s="11" t="inlineStr">
        <is>
          <t>Creature — Vampire / Criatura — Vampiro</t>
        </is>
      </c>
      <c r="C1347" s="11" t="inlineStr">
        <is>
          <t>Common / Comum</t>
        </is>
      </c>
      <c r="D1347" s="11"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7" s="11" t="inlineStr">
        <is>
          <t>{2}{B}</t>
        </is>
      </c>
      <c r="F1347" s="11" t="inlineStr">
        <is>
          <t>Preto</t>
        </is>
      </c>
      <c r="G1347" s="8" t="n">
        <v>0.08</v>
      </c>
      <c r="H1347" s="11" t="inlineStr">
        <is>
          <t>Dark Ascension (DKA)</t>
        </is>
      </c>
      <c r="I1347" s="11" t="inlineStr">
        <is>
          <t>Não</t>
        </is>
      </c>
      <c r="J1347" s="11" t="n">
        <v>2012</v>
      </c>
      <c r="K1347" s="10" t="n">
        <v>46024</v>
      </c>
      <c r="L1347" s="11" t="n">
        <v>1</v>
      </c>
      <c r="M1347" s="8">
        <f>L1347*G1347</f>
        <v/>
      </c>
      <c r="P1347" s="9" t="n"/>
    </row>
    <row r="1348">
      <c r="A1348" s="11" t="inlineStr">
        <is>
          <t>Spark Harvest / Colheita das Centelhas</t>
        </is>
      </c>
      <c r="B1348" s="11" t="inlineStr">
        <is>
          <t>Sorcery / Feitiço</t>
        </is>
      </c>
      <c r="C1348" s="11" t="inlineStr">
        <is>
          <t>Common / Comum</t>
        </is>
      </c>
      <c r="D1348" s="11" t="inlineStr">
        <is>
          <t>As an additional cost to cast this spell, sacrifice a creature or pay {3}{B}. Destroy target creature or planeswalker. / Como custo adicional para conjurar esta mágica, sacrifique uma criatura ou pague {3}{B}. Destrua a criatura ou o planeswalker alvo.</t>
        </is>
      </c>
      <c r="E1348" s="11" t="inlineStr">
        <is>
          <t>{B}</t>
        </is>
      </c>
      <c r="F1348" s="11" t="inlineStr">
        <is>
          <t>Preto</t>
        </is>
      </c>
      <c r="G1348" s="8" t="n">
        <v>0.05</v>
      </c>
      <c r="H1348" s="11" t="inlineStr">
        <is>
          <t>War of the Spark (WAR)</t>
        </is>
      </c>
      <c r="I1348" s="11" t="inlineStr">
        <is>
          <t>Não</t>
        </is>
      </c>
      <c r="J1348" s="11" t="n">
        <v>2019</v>
      </c>
      <c r="L1348" s="11" t="n">
        <v>1</v>
      </c>
      <c r="M1348" s="8">
        <f>L1348*G1348</f>
        <v/>
      </c>
      <c r="P1348" s="9" t="n"/>
    </row>
    <row r="1349">
      <c r="A1349" s="11" t="inlineStr">
        <is>
          <t>Queen's Agent / Agente da Rainha</t>
        </is>
      </c>
      <c r="B1349" s="11" t="inlineStr">
        <is>
          <t>Creature — Vampire Scout / Criatura — Vampiro Batedor</t>
        </is>
      </c>
      <c r="C1349" s="11" t="inlineStr">
        <is>
          <t>Common / Comum</t>
        </is>
      </c>
      <c r="D1349" s="11"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9" s="11" t="inlineStr">
        <is>
          <t>{5}{B}</t>
        </is>
      </c>
      <c r="F1349" s="11" t="inlineStr">
        <is>
          <t>Preto</t>
        </is>
      </c>
      <c r="G1349" s="8" t="n">
        <v>0.03</v>
      </c>
      <c r="H1349" s="11" t="inlineStr">
        <is>
          <t>Ixalan (XLN)</t>
        </is>
      </c>
      <c r="I1349" s="11" t="inlineStr">
        <is>
          <t>Não</t>
        </is>
      </c>
      <c r="J1349" s="11" t="n">
        <v>2017</v>
      </c>
      <c r="K1349" s="10" t="n">
        <v>46084</v>
      </c>
      <c r="L1349" s="11" t="n">
        <v>1</v>
      </c>
      <c r="M1349" s="8">
        <f>L1349*G1349</f>
        <v/>
      </c>
      <c r="P1349" s="9" t="n"/>
    </row>
    <row r="1350">
      <c r="A1350" s="11" t="inlineStr">
        <is>
          <t>Highborn Ghoul / Carniçal Fidalgo</t>
        </is>
      </c>
      <c r="B1350" s="11" t="inlineStr">
        <is>
          <t>Creature — Zombie / Criatura — Zumbi</t>
        </is>
      </c>
      <c r="C1350" s="11" t="inlineStr">
        <is>
          <t>Common / Comum</t>
        </is>
      </c>
      <c r="D1350" s="11" t="inlineStr">
        <is>
          <t>Intimidate (This creature can't be blocked except by artifact creatures and/or creatures that share a color with it.) / Intimidar (Esta criatura só pode ser bloqueada por criaturas artefato e/ou criaturas que compartilhem uma cor com ela.)</t>
        </is>
      </c>
      <c r="E1350" s="11" t="inlineStr">
        <is>
          <t>{B}{B}</t>
        </is>
      </c>
      <c r="F1350" s="11" t="inlineStr">
        <is>
          <t>Preto</t>
        </is>
      </c>
      <c r="G1350" s="8" t="n">
        <v>0.07000000000000001</v>
      </c>
      <c r="H1350" s="11" t="inlineStr">
        <is>
          <t>Dark Ascension (DKA)</t>
        </is>
      </c>
      <c r="I1350" s="11" t="inlineStr">
        <is>
          <t>Não</t>
        </is>
      </c>
      <c r="J1350" s="11" t="n">
        <v>2012</v>
      </c>
      <c r="K1350" s="10" t="n">
        <v>46024</v>
      </c>
      <c r="L1350" s="11" t="n">
        <v>1</v>
      </c>
      <c r="M1350" s="8">
        <f>L1350*G1350</f>
        <v/>
      </c>
      <c r="P1350" s="9" t="n"/>
    </row>
    <row r="1351">
      <c r="A1351" s="11" t="inlineStr">
        <is>
          <t>Mind Rot / Estiolar a Mente</t>
        </is>
      </c>
      <c r="B1351" s="11" t="inlineStr">
        <is>
          <t>Sorcery / Feitiço</t>
        </is>
      </c>
      <c r="C1351" s="11" t="inlineStr">
        <is>
          <t>Common / Comum</t>
        </is>
      </c>
      <c r="D1351" s="11" t="inlineStr">
        <is>
          <t>Target player discards two cards. / O jogador alvo descarta dois cards.</t>
        </is>
      </c>
      <c r="E1351" s="11" t="inlineStr">
        <is>
          <t>{2}{B}</t>
        </is>
      </c>
      <c r="F1351" s="11" t="inlineStr">
        <is>
          <t>Preto</t>
        </is>
      </c>
      <c r="G1351" s="8" t="n">
        <v>0.03</v>
      </c>
      <c r="H1351" s="11" t="inlineStr">
        <is>
          <t>Kaladesh (KLD)</t>
        </is>
      </c>
      <c r="I1351" s="11" t="inlineStr">
        <is>
          <t>Não</t>
        </is>
      </c>
      <c r="J1351" s="11" t="n">
        <v>2016</v>
      </c>
      <c r="L1351" s="11" t="n">
        <v>1</v>
      </c>
      <c r="M1351" s="8">
        <f>L1351*G1351</f>
        <v/>
      </c>
      <c r="P1351" s="9" t="n"/>
    </row>
    <row r="1352">
      <c r="A1352" s="11" t="inlineStr">
        <is>
          <t>Mardu Skullhunter / Caçador de Crânios Mardu</t>
        </is>
      </c>
      <c r="B1352" s="11" t="inlineStr">
        <is>
          <t>Creature — Human Warrior / Criatura — Humano Guerreiro</t>
        </is>
      </c>
      <c r="C1352" s="11" t="inlineStr">
        <is>
          <t>Common / Comum</t>
        </is>
      </c>
      <c r="D1352" s="11"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52" s="11" t="inlineStr">
        <is>
          <t>{1}{B}</t>
        </is>
      </c>
      <c r="F1352" s="11" t="inlineStr">
        <is>
          <t>Preto</t>
        </is>
      </c>
      <c r="G1352" s="8" t="n">
        <v>0.05</v>
      </c>
      <c r="H1352" s="11" t="inlineStr">
        <is>
          <t>Khans of Tarkir (KTK)</t>
        </is>
      </c>
      <c r="I1352" s="11" t="inlineStr">
        <is>
          <t>Não</t>
        </is>
      </c>
      <c r="J1352" s="11" t="n">
        <v>2014</v>
      </c>
      <c r="K1352" s="10" t="n">
        <v>46024</v>
      </c>
      <c r="L1352" s="11" t="n">
        <v>1</v>
      </c>
      <c r="M1352" s="8">
        <f>L1352*G1352</f>
        <v/>
      </c>
      <c r="P1352" s="9" t="n"/>
    </row>
    <row r="1353">
      <c r="A1353" s="11" t="inlineStr">
        <is>
          <t>Reap the Seagraf / Colheita de Cemitério Marinho</t>
        </is>
      </c>
      <c r="B1353" s="11" t="inlineStr">
        <is>
          <t>Sorcery / Feitiço</t>
        </is>
      </c>
      <c r="C1353" s="11" t="inlineStr">
        <is>
          <t>Common / Comum</t>
        </is>
      </c>
      <c r="D1353" s="11"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53" s="11" t="inlineStr">
        <is>
          <t>{2}{B}</t>
        </is>
      </c>
      <c r="F1353" s="11" t="inlineStr">
        <is>
          <t>Preto</t>
        </is>
      </c>
      <c r="G1353" s="8" t="n">
        <v>0.04</v>
      </c>
      <c r="H1353" s="11" t="inlineStr">
        <is>
          <t>Dark Ascension (DKA)</t>
        </is>
      </c>
      <c r="I1353" s="11" t="inlineStr">
        <is>
          <t>Não</t>
        </is>
      </c>
      <c r="J1353" s="11" t="n">
        <v>2012</v>
      </c>
      <c r="L1353" s="11" t="n">
        <v>1</v>
      </c>
      <c r="M1353" s="8">
        <f>L1353*G1353</f>
        <v/>
      </c>
      <c r="P1353" s="9" t="n"/>
    </row>
    <row r="1354">
      <c r="A1354" s="11" t="inlineStr">
        <is>
          <t>Return to Action / De Volta à Ação</t>
        </is>
      </c>
      <c r="B1354" s="11" t="inlineStr">
        <is>
          <t>Instant / Mágica Instantânea</t>
        </is>
      </c>
      <c r="C1354" s="11" t="inlineStr">
        <is>
          <t>Common / Comum</t>
        </is>
      </c>
      <c r="D1354" s="11"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54" s="11" t="inlineStr">
        <is>
          <t>{1}{B}</t>
        </is>
      </c>
      <c r="F1354" s="11" t="inlineStr">
        <is>
          <t>Preto</t>
        </is>
      </c>
      <c r="G1354" s="8" t="n">
        <v>0.2</v>
      </c>
      <c r="H1354" s="11" t="inlineStr">
        <is>
          <t>Kamigawa: Neon Dynasty (NEO)</t>
        </is>
      </c>
      <c r="I1354" s="11" t="inlineStr">
        <is>
          <t>Não</t>
        </is>
      </c>
      <c r="J1354" s="11" t="n">
        <v>2022</v>
      </c>
      <c r="L1354" s="11" t="n">
        <v>2</v>
      </c>
      <c r="M1354" s="8">
        <f>L1354*G1354</f>
        <v/>
      </c>
      <c r="P1354" s="9" t="n"/>
    </row>
    <row r="1355">
      <c r="A1355" s="11" t="inlineStr">
        <is>
          <t>Zhur-Taa Goblin / Goblin Zhur-Taa</t>
        </is>
      </c>
      <c r="B1355" s="11" t="inlineStr">
        <is>
          <t>Creature — Goblin Berserker / Criatura — Goblin Amoque</t>
        </is>
      </c>
      <c r="C1355" s="11" t="inlineStr">
        <is>
          <t>Uncommon / Incomum</t>
        </is>
      </c>
      <c r="D1355" s="11" t="inlineStr">
        <is>
          <t>Riot (This creature enters with your choice of a +1/+1 counter or haste.) / Tumulto (Esta criatura entra no campo de batalha com um marcador +1/+1 ou ímpeto, à sua escolha.)</t>
        </is>
      </c>
      <c r="E1355" s="11" t="inlineStr">
        <is>
          <t>{R}{G}</t>
        </is>
      </c>
      <c r="F1355" s="11" t="inlineStr">
        <is>
          <t>Verde, Vermelho</t>
        </is>
      </c>
      <c r="G1355" s="8" t="n">
        <v>0.7</v>
      </c>
      <c r="H1355" s="11" t="inlineStr">
        <is>
          <t>Ravnica Allegiance (RNA)</t>
        </is>
      </c>
      <c r="I1355" s="11" t="inlineStr">
        <is>
          <t>Sim</t>
        </is>
      </c>
      <c r="J1355" s="11" t="n">
        <v>2019</v>
      </c>
      <c r="K1355" s="10" t="n">
        <v>46055</v>
      </c>
      <c r="L1355" s="11" t="n">
        <v>1</v>
      </c>
      <c r="M1355" s="8">
        <f>L1355*G1355</f>
        <v/>
      </c>
      <c r="P1355" s="9" t="n"/>
    </row>
    <row r="1356">
      <c r="A1356" s="11" t="inlineStr">
        <is>
          <t>Electrolyze / Eletrolisar</t>
        </is>
      </c>
      <c r="B1356" s="11" t="inlineStr">
        <is>
          <t>Instant / Mágica Instantânea</t>
        </is>
      </c>
      <c r="C1356" s="11" t="inlineStr">
        <is>
          <t>Uncommon / Incomum</t>
        </is>
      </c>
      <c r="D1356" s="11" t="inlineStr">
        <is>
          <t>Electrolyze deals 2 damage divided as you choose among one or two targets. Draw a card. / Eletrolisar causa 2 pontos de dano distribuídos a sua escolha entre um ou dois alvos. Compre um card.</t>
        </is>
      </c>
      <c r="E1356" s="11" t="inlineStr">
        <is>
          <t>{1}{U}{R}</t>
        </is>
      </c>
      <c r="F1356" s="11" t="inlineStr">
        <is>
          <t>Vermelho, Azul</t>
        </is>
      </c>
      <c r="G1356" s="8" t="n">
        <v>0.25</v>
      </c>
      <c r="H1356" s="11" t="inlineStr">
        <is>
          <t>Iconic Masters (IMA)</t>
        </is>
      </c>
      <c r="I1356" s="11" t="inlineStr">
        <is>
          <t>Não</t>
        </is>
      </c>
      <c r="J1356" s="11" t="n">
        <v>2017</v>
      </c>
      <c r="L1356" s="11" t="n">
        <v>4</v>
      </c>
      <c r="M1356" s="8">
        <f>L1356*G1356</f>
        <v/>
      </c>
      <c r="P1356" s="9" t="n"/>
    </row>
    <row r="1357">
      <c r="A1357" s="11" t="inlineStr">
        <is>
          <t>Shirei, Shizo's Caretaker / Shirei, Vigia de Shizo</t>
        </is>
      </c>
      <c r="B1357" s="11" t="inlineStr">
        <is>
          <t>Legendary Creature — Spirit / Criatura Lendária - Espírito</t>
        </is>
      </c>
      <c r="C1357" s="11" t="inlineStr">
        <is>
          <t>Uncommon / Incomum</t>
        </is>
      </c>
      <c r="D1357" s="11"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7" s="11" t="inlineStr">
        <is>
          <t>{4}{B}</t>
        </is>
      </c>
      <c r="F1357" s="11" t="inlineStr">
        <is>
          <t>Preto</t>
        </is>
      </c>
      <c r="G1357" s="8" t="n">
        <v>0.25</v>
      </c>
      <c r="H1357" s="11" t="inlineStr">
        <is>
          <t>Ultimate Masters (UMA)</t>
        </is>
      </c>
      <c r="I1357" s="11" t="inlineStr">
        <is>
          <t>Não</t>
        </is>
      </c>
      <c r="J1357" s="11" t="n">
        <v>2018</v>
      </c>
      <c r="K1357" s="10" t="n">
        <v>46055</v>
      </c>
      <c r="L1357" s="11" t="n">
        <v>1</v>
      </c>
      <c r="M1357" s="8">
        <f>L1357*G1357</f>
        <v/>
      </c>
      <c r="P1357" s="9" t="n"/>
    </row>
    <row r="1358">
      <c r="A1358" s="11" t="inlineStr">
        <is>
          <t>Carrion Grub / Larva Necrófaga</t>
        </is>
      </c>
      <c r="B1358" s="11" t="inlineStr">
        <is>
          <t>Creature — Insect / Criatura — Inseto</t>
        </is>
      </c>
      <c r="C1358" s="11" t="inlineStr">
        <is>
          <t>Uncommon / Incomum</t>
        </is>
      </c>
      <c r="D1358" s="11"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8" s="11" t="inlineStr">
        <is>
          <t>{3}{B}</t>
        </is>
      </c>
      <c r="F1358" s="11" t="inlineStr">
        <is>
          <t>Preto</t>
        </is>
      </c>
      <c r="G1358" s="8" t="n">
        <v>0.05</v>
      </c>
      <c r="H1358" s="11" t="inlineStr">
        <is>
          <t>Core Set 2021 (M21)</t>
        </is>
      </c>
      <c r="I1358" s="11" t="inlineStr">
        <is>
          <t>Não</t>
        </is>
      </c>
      <c r="J1358" s="11" t="n">
        <v>2020</v>
      </c>
      <c r="K1358" s="11" t="inlineStr">
        <is>
          <t>0/5</t>
        </is>
      </c>
      <c r="L1358" s="11" t="n">
        <v>1</v>
      </c>
      <c r="M1358" s="8">
        <f>L1358*G1358</f>
        <v/>
      </c>
      <c r="P1358" s="9" t="n"/>
    </row>
    <row r="1359">
      <c r="A1359" s="11" t="inlineStr">
        <is>
          <t>Triskaidekaphobia / Triscaidecafobia</t>
        </is>
      </c>
      <c r="B1359" s="11" t="inlineStr">
        <is>
          <t>Enchantment / Encantamento</t>
        </is>
      </c>
      <c r="C1359" s="11" t="inlineStr">
        <is>
          <t>Rare / Rara</t>
        </is>
      </c>
      <c r="D1359" s="11"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9" s="11" t="inlineStr">
        <is>
          <t>{3}{B}</t>
        </is>
      </c>
      <c r="F1359" s="11" t="inlineStr">
        <is>
          <t>Preto</t>
        </is>
      </c>
      <c r="G1359" s="8" t="n">
        <v>0.15</v>
      </c>
      <c r="H1359" s="11" t="inlineStr">
        <is>
          <t>Masters 25 (A25)</t>
        </is>
      </c>
      <c r="I1359" s="11" t="inlineStr">
        <is>
          <t>Não</t>
        </is>
      </c>
      <c r="J1359" s="11" t="n">
        <v>2018</v>
      </c>
      <c r="L1359" s="11" t="n">
        <v>1</v>
      </c>
      <c r="M1359" s="8">
        <f>L1359*G1359</f>
        <v/>
      </c>
      <c r="P1359" s="9" t="n"/>
    </row>
    <row r="1360">
      <c r="A1360" s="11" t="inlineStr">
        <is>
          <t>Bogbrew Witch / Bruxa da Poção Pantanosa</t>
        </is>
      </c>
      <c r="B1360" s="11" t="inlineStr">
        <is>
          <t>Creature — Human Wizard / Criatura — Humano Mago</t>
        </is>
      </c>
      <c r="C1360" s="11" t="inlineStr">
        <is>
          <t>Rare / Rara</t>
        </is>
      </c>
      <c r="D1360" s="11"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60" s="11" t="inlineStr">
        <is>
          <t>{3}{B}</t>
        </is>
      </c>
      <c r="F1360" s="11" t="inlineStr">
        <is>
          <t>Preto</t>
        </is>
      </c>
      <c r="G1360" s="8" t="n">
        <v>0.15</v>
      </c>
      <c r="H1360" s="11" t="inlineStr">
        <is>
          <t>Magic 2014 (M14)</t>
        </is>
      </c>
      <c r="I1360" s="11" t="inlineStr">
        <is>
          <t>Não</t>
        </is>
      </c>
      <c r="J1360" s="11" t="n">
        <v>2013</v>
      </c>
      <c r="K1360" s="10" t="n">
        <v>46082</v>
      </c>
      <c r="L1360" s="11" t="n">
        <v>1</v>
      </c>
      <c r="M1360" s="8">
        <f>L1360*G1360</f>
        <v/>
      </c>
      <c r="P1360" s="9" t="n"/>
    </row>
    <row r="1361">
      <c r="A1361" s="11" t="inlineStr">
        <is>
          <t>Corpse Augur / Áugure Cadáver</t>
        </is>
      </c>
      <c r="B1361" s="11" t="inlineStr">
        <is>
          <t>Creature — Zombie Wizard / Criatura — Zumbi Mago</t>
        </is>
      </c>
      <c r="C1361" s="11" t="inlineStr">
        <is>
          <t>Uncommon / Incomum</t>
        </is>
      </c>
      <c r="D1361" s="11"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61" s="11" t="inlineStr">
        <is>
          <t>{3}{B}</t>
        </is>
      </c>
      <c r="F1361" s="11" t="inlineStr">
        <is>
          <t>Preto</t>
        </is>
      </c>
      <c r="G1361" s="8" t="n">
        <v>0.25</v>
      </c>
      <c r="H1361" s="11" t="inlineStr">
        <is>
          <t>Midnight Hunt Commander (MIC)</t>
        </is>
      </c>
      <c r="I1361" s="11" t="inlineStr">
        <is>
          <t>Não</t>
        </is>
      </c>
      <c r="J1361" s="11" t="n">
        <v>2021</v>
      </c>
      <c r="K1361" s="10" t="n">
        <v>46057</v>
      </c>
      <c r="L1361" s="11" t="n">
        <v>1</v>
      </c>
      <c r="M1361" s="8">
        <f>L1361*G1361</f>
        <v/>
      </c>
      <c r="P1361" s="9" t="n"/>
    </row>
    <row r="1362">
      <c r="A1362" s="11" t="inlineStr">
        <is>
          <t>Bog Wraith / Aparição do Pântano</t>
        </is>
      </c>
      <c r="B1362" s="11" t="inlineStr">
        <is>
          <t>Creature — Wraith / Criatura — Aparição</t>
        </is>
      </c>
      <c r="C1362" s="11" t="inlineStr">
        <is>
          <t>Uncommon / Incomum</t>
        </is>
      </c>
      <c r="D1362" s="11" t="inlineStr">
        <is>
          <t>Swampwalk (This creature can't be blocked as long as defending player controls a Swamp.) / Travessia de Pântano (Esta criatura não poderá ser bloqueada enquanto o jogador defensor controlar um Pântano.)</t>
        </is>
      </c>
      <c r="E1362" s="11" t="inlineStr">
        <is>
          <t>{3}{B}</t>
        </is>
      </c>
      <c r="F1362" s="11" t="inlineStr">
        <is>
          <t>Preto</t>
        </is>
      </c>
      <c r="G1362" s="8" t="n">
        <v>0.06</v>
      </c>
      <c r="H1362" s="11" t="inlineStr">
        <is>
          <t>Limited Edition Alpha (LEA)</t>
        </is>
      </c>
      <c r="I1362" s="11" t="inlineStr">
        <is>
          <t>Não</t>
        </is>
      </c>
      <c r="J1362" s="11" t="n">
        <v>1993</v>
      </c>
      <c r="K1362" s="10" t="n">
        <v>46084</v>
      </c>
      <c r="L1362" s="11" t="n">
        <v>1</v>
      </c>
      <c r="M1362" s="8">
        <f>L1362*G1362</f>
        <v/>
      </c>
      <c r="P1362" s="9" t="n"/>
    </row>
    <row r="1363">
      <c r="A1363" s="11" t="inlineStr">
        <is>
          <t>Entomber Exarch / Exarca Tumbeiro</t>
        </is>
      </c>
      <c r="B1363" s="11" t="inlineStr">
        <is>
          <t>Creature — Phyrexian Cleric / Criatura — Clérigo</t>
        </is>
      </c>
      <c r="C1363" s="11" t="inlineStr">
        <is>
          <t>Uncommon / Incomum</t>
        </is>
      </c>
      <c r="D1363" s="11"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63" s="11" t="inlineStr">
        <is>
          <t>{2}{B}{B}</t>
        </is>
      </c>
      <c r="F1363" s="11" t="inlineStr">
        <is>
          <t>Preto</t>
        </is>
      </c>
      <c r="G1363" s="8" t="n">
        <v>0.1</v>
      </c>
      <c r="H1363" s="11" t="inlineStr">
        <is>
          <t>Jumpstart (JMP)</t>
        </is>
      </c>
      <c r="I1363" s="11" t="inlineStr">
        <is>
          <t>Não</t>
        </is>
      </c>
      <c r="J1363" s="11" t="n">
        <v>2020</v>
      </c>
      <c r="K1363" s="10" t="n">
        <v>46055</v>
      </c>
      <c r="L1363" s="11" t="n">
        <v>1</v>
      </c>
      <c r="M1363" s="8">
        <f>L1363*G1363</f>
        <v/>
      </c>
      <c r="P1363" s="9" t="n"/>
    </row>
    <row r="1364">
      <c r="A1364" s="11" t="inlineStr">
        <is>
          <t>Evil Presence / Presença Maligna</t>
        </is>
      </c>
      <c r="B1364" s="11" t="inlineStr">
        <is>
          <t>Enchantment — Aura / Encantamento — Aura</t>
        </is>
      </c>
      <c r="C1364" s="11" t="inlineStr">
        <is>
          <t>Uncommon / Incomum</t>
        </is>
      </c>
      <c r="D1364" s="11" t="inlineStr">
        <is>
          <t>Enchant land Enchanted land is a Swamp. / Encantar terreno O terreno encantado é um Pântano.</t>
        </is>
      </c>
      <c r="E1364" s="11" t="inlineStr">
        <is>
          <t>{B}</t>
        </is>
      </c>
      <c r="F1364" s="11" t="inlineStr">
        <is>
          <t>Preto</t>
        </is>
      </c>
      <c r="G1364" s="8" t="n">
        <v>0.13</v>
      </c>
      <c r="H1364" s="11" t="inlineStr">
        <is>
          <t>Nova Phyrexia</t>
        </is>
      </c>
      <c r="I1364" s="11" t="inlineStr">
        <is>
          <t>Não</t>
        </is>
      </c>
      <c r="J1364" s="11" t="n">
        <v>2011</v>
      </c>
      <c r="L1364" s="11" t="n">
        <v>1</v>
      </c>
      <c r="M1364" s="8">
        <f>L1364*G1364</f>
        <v/>
      </c>
      <c r="P1364" s="9" t="n"/>
    </row>
    <row r="1365">
      <c r="A1365" s="11" t="inlineStr">
        <is>
          <t>Go-Shintai of Hidden Cruelty / Go-Shintai da Crueldade Oculta</t>
        </is>
      </c>
      <c r="B1365" s="11" t="inlineStr">
        <is>
          <t>Legendary Enchantment Creature — Shrine / Criatura Encantamento Lendária — Sacrário</t>
        </is>
      </c>
      <c r="C1365" s="11" t="inlineStr">
        <is>
          <t>Uncommon / Incomum</t>
        </is>
      </c>
      <c r="D1365" s="11"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65" s="11" t="inlineStr">
        <is>
          <t>{3}{B}</t>
        </is>
      </c>
      <c r="F1365" s="11" t="inlineStr">
        <is>
          <t>Preto</t>
        </is>
      </c>
      <c r="G1365" s="8" t="n">
        <v>0.2</v>
      </c>
      <c r="H1365" s="11" t="inlineStr">
        <is>
          <t>Kamigawa: Neon Dynasty (NEO)</t>
        </is>
      </c>
      <c r="I1365" s="11" t="inlineStr">
        <is>
          <t>Não</t>
        </is>
      </c>
      <c r="J1365" s="11" t="n">
        <v>2022</v>
      </c>
      <c r="K1365" s="10" t="n">
        <v>46055</v>
      </c>
      <c r="L1365" s="11" t="n">
        <v>1</v>
      </c>
      <c r="M1365" s="8">
        <f>L1365*G1365</f>
        <v/>
      </c>
      <c r="P1365" s="9" t="n"/>
    </row>
    <row r="1366">
      <c r="A1366" s="11" t="inlineStr">
        <is>
          <t>Fleshmad Steed / Corcel Carnivoraz</t>
        </is>
      </c>
      <c r="B1366" s="11" t="inlineStr">
        <is>
          <t>Creature — Horse / Criatura — Cavalo</t>
        </is>
      </c>
      <c r="C1366" s="11" t="inlineStr">
        <is>
          <t>Common / Comum</t>
        </is>
      </c>
      <c r="D1366" s="11" t="inlineStr">
        <is>
          <t>Whenever another creature dies, tap this creature. / Toda vez que outra criatura morrer, vire Corcel Carnivoraz.</t>
        </is>
      </c>
      <c r="E1366" s="11" t="inlineStr">
        <is>
          <t>{1}{B}</t>
        </is>
      </c>
      <c r="F1366" s="11" t="inlineStr">
        <is>
          <t>Preto</t>
        </is>
      </c>
      <c r="G1366" s="8" t="n">
        <v>0.04</v>
      </c>
      <c r="H1366" s="11" t="inlineStr">
        <is>
          <t>Theros (THS)</t>
        </is>
      </c>
      <c r="I1366" s="11" t="inlineStr">
        <is>
          <t>Não</t>
        </is>
      </c>
      <c r="J1366" s="11" t="n">
        <v>2013</v>
      </c>
      <c r="K1366" s="10" t="n">
        <v>46055</v>
      </c>
      <c r="L1366" s="11" t="n">
        <v>1</v>
      </c>
      <c r="M1366" s="8">
        <f>L1366*G1366</f>
        <v/>
      </c>
      <c r="P1366" s="9" t="n"/>
    </row>
    <row r="1367">
      <c r="A1367" s="11" t="inlineStr">
        <is>
          <t>Persistent Marshstalker</t>
        </is>
      </c>
      <c r="B1367" s="11" t="inlineStr">
        <is>
          <t>Creature — Rat Berserker</t>
        </is>
      </c>
      <c r="C1367" s="11" t="inlineStr">
        <is>
          <t>Uncommon / Incomum</t>
        </is>
      </c>
      <c r="D1367" s="11"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7" s="11" t="inlineStr">
        <is>
          <t>{1}{B}</t>
        </is>
      </c>
      <c r="F1367" s="11" t="inlineStr">
        <is>
          <t>Preto</t>
        </is>
      </c>
      <c r="G1367" s="8" t="n">
        <v>0.15</v>
      </c>
      <c r="H1367" s="11" t="inlineStr">
        <is>
          <t>Bloomburrow (BLB)</t>
        </is>
      </c>
      <c r="I1367" s="11" t="inlineStr">
        <is>
          <t>Não</t>
        </is>
      </c>
      <c r="J1367" s="11" t="n">
        <v>2024</v>
      </c>
      <c r="K1367" s="10" t="n">
        <v>46025</v>
      </c>
      <c r="L1367" s="11" t="n">
        <v>1</v>
      </c>
      <c r="M1367" s="8">
        <f>L1367*G1367</f>
        <v/>
      </c>
      <c r="P1367" s="9" t="n"/>
    </row>
    <row r="1368">
      <c r="A1368" s="11" t="inlineStr">
        <is>
          <t>Spirit of the Hunt / Espírito da Caça</t>
        </is>
      </c>
      <c r="B1368" s="11" t="inlineStr">
        <is>
          <t>Creature — Wolf Spirit / Criatura — Lobo Espírito</t>
        </is>
      </c>
      <c r="C1368" s="11" t="inlineStr">
        <is>
          <t>Rare / Rara</t>
        </is>
      </c>
      <c r="D1368" s="11"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8" s="11" t="inlineStr">
        <is>
          <t>{1}{G}{G}</t>
        </is>
      </c>
      <c r="F1368" s="11" t="inlineStr">
        <is>
          <t>Verde</t>
        </is>
      </c>
      <c r="G1368" s="8" t="n">
        <v>0.2</v>
      </c>
      <c r="H1368" s="11" t="inlineStr">
        <is>
          <t>Eldritch Moon (EMN)</t>
        </is>
      </c>
      <c r="I1368" s="11" t="inlineStr">
        <is>
          <t>Não</t>
        </is>
      </c>
      <c r="J1368" s="11" t="n">
        <v>2016</v>
      </c>
      <c r="K1368" s="10" t="n">
        <v>46084</v>
      </c>
      <c r="L1368" s="11" t="n">
        <v>1</v>
      </c>
      <c r="M1368" s="8">
        <f>L1368*G1368</f>
        <v/>
      </c>
      <c r="P1368" s="9" t="n"/>
    </row>
    <row r="1369">
      <c r="A1369" s="11" t="inlineStr">
        <is>
          <t>Kraul Stinger / Aguilhoador Kraul</t>
        </is>
      </c>
      <c r="B1369" s="11" t="inlineStr">
        <is>
          <t>Creature — Insect Assassin / Criatura — Inseto Assassino</t>
        </is>
      </c>
      <c r="C1369" s="11" t="inlineStr">
        <is>
          <t>Common / Comum</t>
        </is>
      </c>
      <c r="D1369" s="11" t="inlineStr">
        <is>
          <t>Deathtouch / Toque mortífero</t>
        </is>
      </c>
      <c r="E1369" s="11" t="inlineStr">
        <is>
          <t>{2}{G}</t>
        </is>
      </c>
      <c r="F1369" s="11" t="inlineStr">
        <is>
          <t>Verde</t>
        </is>
      </c>
      <c r="G1369" s="8" t="n">
        <v>0.05</v>
      </c>
      <c r="H1369" s="11" t="inlineStr">
        <is>
          <t>War of the Spark (WAR)</t>
        </is>
      </c>
      <c r="I1369" s="11" t="inlineStr">
        <is>
          <t>Não</t>
        </is>
      </c>
      <c r="J1369" s="11" t="n">
        <v>2019</v>
      </c>
      <c r="K1369" s="10" t="n">
        <v>46055</v>
      </c>
      <c r="L1369" s="11" t="n">
        <v>1</v>
      </c>
      <c r="M1369" s="8">
        <f>L1369*G1369</f>
        <v/>
      </c>
      <c r="P1369" s="9" t="n"/>
    </row>
    <row r="1370">
      <c r="A1370" s="11" t="inlineStr">
        <is>
          <t>Charging Badger / Texugo Atacante</t>
        </is>
      </c>
      <c r="B1370" s="11" t="inlineStr">
        <is>
          <t>Creature — Badger / Criatura — Texugo</t>
        </is>
      </c>
      <c r="C1370" s="11" t="inlineStr">
        <is>
          <t>Common / Comum</t>
        </is>
      </c>
      <c r="D1370" s="11" t="inlineStr">
        <is>
          <t>Trample / Atropelar</t>
        </is>
      </c>
      <c r="E1370" s="11" t="inlineStr">
        <is>
          <t>{G}</t>
        </is>
      </c>
      <c r="F1370" s="11" t="inlineStr">
        <is>
          <t>Verde</t>
        </is>
      </c>
      <c r="G1370" s="8" t="n">
        <v>0.03</v>
      </c>
      <c r="H1370" s="11" t="inlineStr">
        <is>
          <t>Born of the Gods (BNG)</t>
        </is>
      </c>
      <c r="I1370" s="11" t="inlineStr">
        <is>
          <t>Não</t>
        </is>
      </c>
      <c r="J1370" s="11" t="n">
        <v>2014</v>
      </c>
      <c r="K1370" s="10" t="n">
        <v>46023</v>
      </c>
      <c r="L1370" s="11" t="n">
        <v>1</v>
      </c>
      <c r="M1370" s="8">
        <f>L1370*G1370</f>
        <v/>
      </c>
      <c r="P1370" s="9" t="n"/>
    </row>
    <row r="1371">
      <c r="A1371" s="11" t="inlineStr">
        <is>
          <t>Gnoll Hunter / Caçador Gnoll</t>
        </is>
      </c>
      <c r="B1371" s="11" t="inlineStr">
        <is>
          <t>Creature — Gnoll / Criatura — Gnoll</t>
        </is>
      </c>
      <c r="C1371" s="11" t="inlineStr">
        <is>
          <t>Common / Comum</t>
        </is>
      </c>
      <c r="D1371" s="11"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71" s="11" t="inlineStr">
        <is>
          <t>{1}{G}</t>
        </is>
      </c>
      <c r="F1371" s="11" t="inlineStr">
        <is>
          <t>Verde</t>
        </is>
      </c>
      <c r="G1371" s="8" t="n">
        <v>0.04</v>
      </c>
      <c r="H1371" s="11" t="inlineStr">
        <is>
          <t>Adventures in the Forgotten Realms (AFR)</t>
        </is>
      </c>
      <c r="I1371" s="11" t="inlineStr">
        <is>
          <t>Não</t>
        </is>
      </c>
      <c r="J1371" s="11" t="n">
        <v>2021</v>
      </c>
      <c r="K1371" s="10" t="n">
        <v>46055</v>
      </c>
      <c r="L1371" s="11" t="n">
        <v>1</v>
      </c>
      <c r="M1371" s="8">
        <f>L1371*G1371</f>
        <v/>
      </c>
      <c r="P1371" s="9" t="n"/>
    </row>
    <row r="1372">
      <c r="A1372" s="11" t="inlineStr">
        <is>
          <t>Setessan Oathsworn / Jurado Setessano</t>
        </is>
      </c>
      <c r="B1372" s="11" t="inlineStr">
        <is>
          <t>Creature — Satyr Warrior / Criatura — Sátiro Guerreiro</t>
        </is>
      </c>
      <c r="C1372" s="11" t="inlineStr">
        <is>
          <t>Common / Comum</t>
        </is>
      </c>
      <c r="D1372" s="11" t="inlineStr">
        <is>
          <t>Heroic — Whenever you cast a spell that targets this creature, put two +1/+1 counters on this creature. / Heroico — Toda vez que você conjurar uma mágica cujo alvo seja Jurado Setessano, coloque dois marcadores +1/+1 em Jurado Setessano.</t>
        </is>
      </c>
      <c r="E1372" s="11" t="inlineStr">
        <is>
          <t>{1}{G}{G}</t>
        </is>
      </c>
      <c r="F1372" s="11" t="inlineStr">
        <is>
          <t>Verde</t>
        </is>
      </c>
      <c r="G1372" s="8" t="n">
        <v>0.03</v>
      </c>
      <c r="H1372" s="11" t="inlineStr">
        <is>
          <t>Born of the Gods (BNG)</t>
        </is>
      </c>
      <c r="I1372" s="11" t="inlineStr">
        <is>
          <t>Não</t>
        </is>
      </c>
      <c r="J1372" s="11" t="n">
        <v>2014</v>
      </c>
      <c r="K1372" s="10" t="n">
        <v>46023</v>
      </c>
      <c r="L1372" s="11" t="n">
        <v>1</v>
      </c>
      <c r="M1372" s="8">
        <f>L1372*G1372</f>
        <v/>
      </c>
      <c r="P1372" s="9" t="n"/>
    </row>
    <row r="1373">
      <c r="A1373" s="11" t="inlineStr">
        <is>
          <t>Sagu Archer / Arqueiro de Sagu</t>
        </is>
      </c>
      <c r="B1373" s="11" t="inlineStr">
        <is>
          <t>Creature — Snake Archer / Criatura — Naga Arqueiro</t>
        </is>
      </c>
      <c r="C1373" s="11" t="inlineStr">
        <is>
          <t>Common / Comum</t>
        </is>
      </c>
      <c r="D1373" s="11"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73" s="11" t="inlineStr">
        <is>
          <t>{4}{G}</t>
        </is>
      </c>
      <c r="F1373" s="11" t="inlineStr">
        <is>
          <t>Verde</t>
        </is>
      </c>
      <c r="G1373" s="8" t="n">
        <v>0.06</v>
      </c>
      <c r="H1373" s="11" t="inlineStr">
        <is>
          <t>Khans of Tarkir (KTK)</t>
        </is>
      </c>
      <c r="I1373" s="11" t="inlineStr">
        <is>
          <t>Não</t>
        </is>
      </c>
      <c r="J1373" s="11" t="n">
        <v>2014</v>
      </c>
      <c r="K1373" s="10" t="n">
        <v>46144</v>
      </c>
      <c r="L1373" s="11" t="n">
        <v>1</v>
      </c>
      <c r="M1373" s="8">
        <f>L1373*G1373</f>
        <v/>
      </c>
      <c r="P1373" s="9" t="n"/>
    </row>
    <row r="1374">
      <c r="A1374" s="11" t="inlineStr">
        <is>
          <t>Flourishing Hunter / Caçadora Florescente</t>
        </is>
      </c>
      <c r="B1374" s="11" t="inlineStr">
        <is>
          <t>Creature — Wolf Spirit / Criatura — Lobo Espírito</t>
        </is>
      </c>
      <c r="C1374" s="11" t="inlineStr">
        <is>
          <t>Common / Comum</t>
        </is>
      </c>
      <c r="D1374" s="11"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74" s="11" t="inlineStr">
        <is>
          <t>{4}{G}{G}</t>
        </is>
      </c>
      <c r="F1374" s="11" t="inlineStr">
        <is>
          <t>Verde</t>
        </is>
      </c>
      <c r="G1374" s="8" t="n">
        <v>0.09</v>
      </c>
      <c r="H1374" s="11" t="inlineStr">
        <is>
          <t>Innistrad: Crimson Vow (VOW)</t>
        </is>
      </c>
      <c r="I1374" s="11" t="inlineStr">
        <is>
          <t>Não</t>
        </is>
      </c>
      <c r="J1374" s="11" t="n">
        <v>2021</v>
      </c>
      <c r="K1374" s="10" t="n">
        <v>46179</v>
      </c>
      <c r="L1374" s="11" t="n">
        <v>2</v>
      </c>
      <c r="M1374" s="8">
        <f>L1374*G1374</f>
        <v/>
      </c>
      <c r="P1374" s="9" t="n"/>
    </row>
    <row r="1375">
      <c r="A1375" s="11" t="inlineStr">
        <is>
          <t>Sentinel Spider / Aranha Sentinela</t>
        </is>
      </c>
      <c r="B1375" s="11" t="inlineStr">
        <is>
          <t>Creature — Spider / Criatura — Aranha</t>
        </is>
      </c>
      <c r="C1375" s="11" t="inlineStr">
        <is>
          <t>Common / Comum</t>
        </is>
      </c>
      <c r="D1375" s="11" t="inlineStr">
        <is>
          <t>Vigilance, reach / Vigilância (Esta criatura não é virada para atacar.) Alcance (Esta criatura pode bloquear criaturas com voar.)</t>
        </is>
      </c>
      <c r="E1375" s="11" t="inlineStr">
        <is>
          <t>{3}{G}{G}</t>
        </is>
      </c>
      <c r="F1375" s="11" t="inlineStr">
        <is>
          <t>Verde</t>
        </is>
      </c>
      <c r="G1375" s="8" t="n">
        <v>0.05</v>
      </c>
      <c r="H1375" s="11" t="inlineStr">
        <is>
          <t>Commander Legends (CMR)</t>
        </is>
      </c>
      <c r="I1375" s="11" t="inlineStr">
        <is>
          <t>Não</t>
        </is>
      </c>
      <c r="J1375" s="11" t="n">
        <v>2020</v>
      </c>
      <c r="K1375" s="10" t="n">
        <v>46116</v>
      </c>
      <c r="L1375" s="11" t="n">
        <v>2</v>
      </c>
      <c r="M1375" s="8">
        <f>L1375*G1375</f>
        <v/>
      </c>
      <c r="P1375" s="9" t="n"/>
    </row>
    <row r="1376">
      <c r="A1376" s="11" t="inlineStr">
        <is>
          <t>Oran-Rief Recluse / Eremita de Oran-Rief</t>
        </is>
      </c>
      <c r="B1376" s="11" t="inlineStr">
        <is>
          <t>Creature — Spider / Criatura — Aranha</t>
        </is>
      </c>
      <c r="C1376" s="11" t="inlineStr">
        <is>
          <t>Common / Comum</t>
        </is>
      </c>
      <c r="D1376" s="11"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6" s="11" t="inlineStr">
        <is>
          <t>{2}{G}</t>
        </is>
      </c>
      <c r="F1376" s="11" t="inlineStr">
        <is>
          <t>Verde</t>
        </is>
      </c>
      <c r="G1376" s="8" t="n">
        <v>0.05</v>
      </c>
      <c r="H1376" s="11" t="inlineStr">
        <is>
          <t>Zendikar (ZEN)</t>
        </is>
      </c>
      <c r="I1376" s="11" t="inlineStr">
        <is>
          <t>Não</t>
        </is>
      </c>
      <c r="J1376" s="11" t="n">
        <v>2009</v>
      </c>
      <c r="K1376" s="10" t="n">
        <v>46082</v>
      </c>
      <c r="L1376" s="11" t="n">
        <v>1</v>
      </c>
      <c r="M1376" s="8">
        <f>L1376*G1376</f>
        <v/>
      </c>
      <c r="P1376" s="9" t="n"/>
    </row>
    <row r="1377">
      <c r="A1377" s="11" t="inlineStr">
        <is>
          <t>Trained Armodon / Armodonte Adestrado</t>
        </is>
      </c>
      <c r="B1377" s="11" t="inlineStr">
        <is>
          <t>Creature — Elephant / Criatura — Elefante</t>
        </is>
      </c>
      <c r="C1377" s="11" t="inlineStr">
        <is>
          <t>Common / Comum</t>
        </is>
      </c>
      <c r="E1377" s="11" t="inlineStr">
        <is>
          <t>{1}{G}{G}</t>
        </is>
      </c>
      <c r="F1377" s="11" t="inlineStr">
        <is>
          <t>Verde</t>
        </is>
      </c>
      <c r="G1377" s="8" t="n">
        <v>0.05</v>
      </c>
      <c r="H1377" s="11" t="inlineStr">
        <is>
          <t>Duels of the Planeswalkers (DPA)</t>
        </is>
      </c>
      <c r="I1377" s="11" t="inlineStr">
        <is>
          <t>Não</t>
        </is>
      </c>
      <c r="J1377" s="11" t="n">
        <v>2010</v>
      </c>
      <c r="K1377" s="10" t="n">
        <v>46084</v>
      </c>
      <c r="L1377" s="11" t="n">
        <v>1</v>
      </c>
      <c r="M1377" s="8">
        <f>L1377*G1377</f>
        <v/>
      </c>
      <c r="P1377" s="9" t="n"/>
    </row>
    <row r="1378">
      <c r="A1378" s="11" t="inlineStr">
        <is>
          <t>Zombie Goliath / Golias Zumbi</t>
        </is>
      </c>
      <c r="B1378" s="11" t="inlineStr">
        <is>
          <t>Creature — Zombie Giant / Criatura — Zumbi Gigante</t>
        </is>
      </c>
      <c r="C1378" s="11" t="inlineStr">
        <is>
          <t>Common / Comum</t>
        </is>
      </c>
      <c r="E1378" s="11" t="inlineStr">
        <is>
          <t>{4}{B}</t>
        </is>
      </c>
      <c r="F1378" s="11" t="inlineStr">
        <is>
          <t>Preto</t>
        </is>
      </c>
      <c r="G1378" s="8" t="n">
        <v>0.05</v>
      </c>
      <c r="H1378" s="11" t="inlineStr">
        <is>
          <t>Magic 2012 (M12)</t>
        </is>
      </c>
      <c r="I1378" s="11" t="inlineStr">
        <is>
          <t>Não</t>
        </is>
      </c>
      <c r="J1378" s="11" t="n">
        <v>2011</v>
      </c>
      <c r="K1378" s="10" t="n">
        <v>46085</v>
      </c>
      <c r="L1378" s="11" t="n">
        <v>1</v>
      </c>
      <c r="M1378" s="8">
        <f>L1378*G1378</f>
        <v/>
      </c>
      <c r="P1378" s="9" t="n"/>
    </row>
    <row r="1379">
      <c r="A1379" s="11" t="inlineStr">
        <is>
          <t>Shrivel</t>
        </is>
      </c>
      <c r="B1379" s="11" t="inlineStr">
        <is>
          <t>Sorcery</t>
        </is>
      </c>
      <c r="C1379" s="11" t="inlineStr">
        <is>
          <t>Common</t>
        </is>
      </c>
      <c r="D1379" s="11" t="inlineStr">
        <is>
          <t>All creatures get -1/-1 until end of turn.</t>
        </is>
      </c>
      <c r="E1379" s="11" t="inlineStr">
        <is>
          <t>{1}{B}</t>
        </is>
      </c>
      <c r="F1379" s="11" t="inlineStr">
        <is>
          <t>Black</t>
        </is>
      </c>
      <c r="G1379" s="8" t="n">
        <v>0.3</v>
      </c>
      <c r="H1379" s="11" t="inlineStr">
        <is>
          <t>Modern Masters 2015 (MM2)</t>
        </is>
      </c>
      <c r="I1379" s="11" t="inlineStr">
        <is>
          <t>Sim</t>
        </is>
      </c>
      <c r="J1379" s="11" t="n">
        <v>2015</v>
      </c>
      <c r="L1379" s="11" t="n">
        <v>1</v>
      </c>
      <c r="M1379" s="8">
        <f>L1379*G1379</f>
        <v/>
      </c>
      <c r="P1379" s="9" t="n"/>
    </row>
    <row r="1380">
      <c r="A1380" s="11" t="inlineStr">
        <is>
          <t>Shrivel</t>
        </is>
      </c>
      <c r="B1380" s="11" t="inlineStr">
        <is>
          <t>Sorcery</t>
        </is>
      </c>
      <c r="C1380" s="11" t="inlineStr">
        <is>
          <t>Common</t>
        </is>
      </c>
      <c r="D1380" s="11" t="inlineStr">
        <is>
          <t>All creatures get -1/-1 until end of turn.</t>
        </is>
      </c>
      <c r="E1380" s="11" t="inlineStr">
        <is>
          <t>{1}{B}</t>
        </is>
      </c>
      <c r="F1380" s="11" t="inlineStr">
        <is>
          <t>Black</t>
        </is>
      </c>
      <c r="G1380" s="8" t="n">
        <v>0.08</v>
      </c>
      <c r="H1380" s="11" t="inlineStr">
        <is>
          <t>Modern Masters 2015 (MM2)</t>
        </is>
      </c>
      <c r="I1380" s="11" t="inlineStr">
        <is>
          <t>Não</t>
        </is>
      </c>
      <c r="J1380" s="11" t="n">
        <v>2015</v>
      </c>
      <c r="L1380" s="11" t="n">
        <v>1</v>
      </c>
      <c r="M1380" s="8">
        <f>L1380*G1380</f>
        <v/>
      </c>
      <c r="P1380" s="9" t="n"/>
    </row>
    <row r="1381">
      <c r="A1381" s="11" t="inlineStr">
        <is>
          <t>Maldição da Sede / Curse of Thirst</t>
        </is>
      </c>
      <c r="B1381" s="11" t="inlineStr">
        <is>
          <t>Encantamento — Aura Maldição / Enchantment — Aura Curse</t>
        </is>
      </c>
      <c r="C1381" s="11" t="inlineStr">
        <is>
          <t>Incomum / Uncommon</t>
        </is>
      </c>
      <c r="D1381" s="11"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81" s="11" t="inlineStr">
        <is>
          <t>{4}{B}</t>
        </is>
      </c>
      <c r="F1381" s="11" t="inlineStr">
        <is>
          <t>Preto / Black</t>
        </is>
      </c>
      <c r="G1381" s="8" t="n">
        <v>0.1</v>
      </c>
      <c r="H1381" s="11" t="inlineStr">
        <is>
          <t>Dark Ascension (DKA)</t>
        </is>
      </c>
      <c r="I1381" s="11" t="inlineStr">
        <is>
          <t>Não</t>
        </is>
      </c>
      <c r="J1381" s="11" t="n">
        <v>2012</v>
      </c>
      <c r="L1381" s="11" t="n">
        <v>1</v>
      </c>
      <c r="M1381" s="8">
        <f>L1381*G1381</f>
        <v/>
      </c>
      <c r="P1381" s="9" t="n"/>
    </row>
    <row r="1382">
      <c r="A1382" s="11" t="inlineStr">
        <is>
          <t>Aberração Consumidora / Consuming Aberration</t>
        </is>
      </c>
      <c r="B1382" s="11" t="inlineStr">
        <is>
          <t>Criatura — Horror / Creature — Horror</t>
        </is>
      </c>
      <c r="C1382" s="11" t="inlineStr">
        <is>
          <t>Rara / Rare</t>
        </is>
      </c>
      <c r="D1382" s="11"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82" s="11" t="inlineStr">
        <is>
          <t>{3}{U}{B}</t>
        </is>
      </c>
      <c r="F1382" s="11" t="inlineStr">
        <is>
          <t>Azul e Preto / Blue and Black</t>
        </is>
      </c>
      <c r="G1382" s="8" t="n">
        <v>0.3</v>
      </c>
      <c r="H1382" s="11" t="inlineStr">
        <is>
          <t>Gatecrash (GTC)</t>
        </is>
      </c>
      <c r="I1382" s="11" t="inlineStr">
        <is>
          <t>Não</t>
        </is>
      </c>
      <c r="J1382" s="11" t="n">
        <v>2013</v>
      </c>
      <c r="K1382" s="11" t="inlineStr">
        <is>
          <t>*/*</t>
        </is>
      </c>
      <c r="L1382" s="11" t="n">
        <v>1</v>
      </c>
      <c r="M1382" s="8">
        <f>L1382*G1382</f>
        <v/>
      </c>
      <c r="P1382" s="9" t="n"/>
    </row>
    <row r="1383">
      <c r="A1383" s="11" t="inlineStr">
        <is>
          <t>Colosso / Colossus // Colidir / Collision</t>
        </is>
      </c>
      <c r="B1383" s="11" t="inlineStr">
        <is>
          <t>Mágica Instantânea / Instant</t>
        </is>
      </c>
      <c r="C1383" s="11" t="inlineStr">
        <is>
          <t>Incomum / Uncommon</t>
        </is>
      </c>
      <c r="D1383" s="11"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83" s="11" t="inlineStr">
        <is>
          <t>{G/U}{R} // {1}{G/U}</t>
        </is>
      </c>
      <c r="F1383" s="11" t="inlineStr">
        <is>
          <t>Verde e Vermelho / Green and Red</t>
        </is>
      </c>
      <c r="G1383" s="8" t="n">
        <v>0.09</v>
      </c>
      <c r="H1383" s="11" t="inlineStr">
        <is>
          <t>Ravnica Allegiance (RNA)</t>
        </is>
      </c>
      <c r="I1383" s="11" t="inlineStr">
        <is>
          <t>Não</t>
        </is>
      </c>
      <c r="J1383" s="11" t="n">
        <v>2019</v>
      </c>
      <c r="L1383" s="11" t="n">
        <v>1</v>
      </c>
      <c r="M1383" s="8">
        <f>L1383*G1383</f>
        <v/>
      </c>
      <c r="P1383" s="9" t="n"/>
    </row>
    <row r="1384">
      <c r="A1384" s="11" t="inlineStr">
        <is>
          <t>Wasp Lancer / Lanceiro de Vespa</t>
        </is>
      </c>
      <c r="B1384" s="11" t="inlineStr">
        <is>
          <t>Creature — Faerie Soldier / Criatura — Fada Soldado</t>
        </is>
      </c>
      <c r="C1384" s="11" t="inlineStr">
        <is>
          <t>Uncommon / Incomum</t>
        </is>
      </c>
      <c r="D1384" s="11" t="inlineStr">
        <is>
          <t>Flying / Voar</t>
        </is>
      </c>
      <c r="E1384" s="11" t="inlineStr">
        <is>
          <t>{U/B}{U/B}{U/B}</t>
        </is>
      </c>
      <c r="F1384" s="11" t="inlineStr">
        <is>
          <t>Preto, Azul</t>
        </is>
      </c>
      <c r="G1384" s="8" t="n">
        <v>0.15</v>
      </c>
      <c r="H1384" s="11" t="inlineStr">
        <is>
          <t>Shadowmoor (SHM)</t>
        </is>
      </c>
      <c r="I1384" s="11" t="inlineStr">
        <is>
          <t>Não</t>
        </is>
      </c>
      <c r="J1384" s="11" t="n">
        <v>2008</v>
      </c>
      <c r="K1384" s="10" t="n">
        <v>46056</v>
      </c>
      <c r="L1384" s="11" t="n">
        <v>1</v>
      </c>
      <c r="M1384" s="8">
        <f>L1384*G1384</f>
        <v/>
      </c>
      <c r="P1384" s="9" t="n"/>
    </row>
    <row r="1385">
      <c r="A1385" s="11" t="inlineStr">
        <is>
          <t>Hypothesizzle / Hipótese Fulminante</t>
        </is>
      </c>
      <c r="B1385" s="11" t="inlineStr">
        <is>
          <t>Instant / Mágica Instantânea</t>
        </is>
      </c>
      <c r="C1385" s="11" t="inlineStr">
        <is>
          <t>Uncommon / Incomum</t>
        </is>
      </c>
      <c r="D1385" s="11"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85" s="11" t="inlineStr">
        <is>
          <t>{3}{U}{R}</t>
        </is>
      </c>
      <c r="F1385" s="11" t="inlineStr">
        <is>
          <t>Vermelho, Azul</t>
        </is>
      </c>
      <c r="G1385" s="8" t="n">
        <v>0.1</v>
      </c>
      <c r="H1385" s="11" t="inlineStr">
        <is>
          <t>Breaking News (OTP)</t>
        </is>
      </c>
      <c r="I1385" s="11" t="inlineStr">
        <is>
          <t>Não</t>
        </is>
      </c>
      <c r="J1385" s="11" t="n">
        <v>2024</v>
      </c>
      <c r="L1385" s="11" t="n">
        <v>1</v>
      </c>
      <c r="M1385" s="8">
        <f>L1385*G1385</f>
        <v/>
      </c>
      <c r="P1385" s="9" t="n"/>
    </row>
    <row r="1386">
      <c r="A1386" s="11" t="inlineStr">
        <is>
          <t>Chosen of Markov // Markov's Servant / Escolhida de Markov // Serva de Markov</t>
        </is>
      </c>
      <c r="B1386" s="11" t="inlineStr">
        <is>
          <t>Creature — Human // Creature — Vampire / Criatura — Humano</t>
        </is>
      </c>
      <c r="C1386" s="11" t="inlineStr">
        <is>
          <t>Common / Comum</t>
        </is>
      </c>
      <c r="D1386" s="11" t="inlineStr">
        <is>
          <t>Chosen of Markov: {T}, Tap an untapped Vampire you control: Transform this creature. / {T}, Vire um Vampiro desvirado que você controla: Transforme Escolhida de Markov.</t>
        </is>
      </c>
      <c r="E1386" s="11" t="inlineStr">
        <is>
          <t>{2}{B}</t>
        </is>
      </c>
      <c r="F1386" s="11" t="inlineStr">
        <is>
          <t>Preto</t>
        </is>
      </c>
      <c r="G1386" s="8" t="n">
        <v>0.09</v>
      </c>
      <c r="H1386" s="11" t="inlineStr">
        <is>
          <t>Dark Ascension (DKA)</t>
        </is>
      </c>
      <c r="I1386" s="11" t="inlineStr">
        <is>
          <t>Não</t>
        </is>
      </c>
      <c r="J1386" s="11" t="n">
        <v>2012</v>
      </c>
      <c r="K1386" s="10" t="n">
        <v>46055</v>
      </c>
      <c r="L1386" s="11" t="n">
        <v>2</v>
      </c>
      <c r="M1386" s="8">
        <f>L1386*G1386</f>
        <v/>
      </c>
      <c r="P1386" s="9" t="n"/>
    </row>
    <row r="1387">
      <c r="A1387" s="11" t="inlineStr">
        <is>
          <t>Enigma Drake / Dragonete dos Enigmas</t>
        </is>
      </c>
      <c r="B1387" s="11" t="inlineStr">
        <is>
          <t>Creature — Drake / Criatura — Dragonete</t>
        </is>
      </c>
      <c r="C1387" s="11" t="inlineStr">
        <is>
          <t>Uncommon / Incomum</t>
        </is>
      </c>
      <c r="D1387" s="11" t="inlineStr">
        <is>
          <t>Flying Enigma Drake's power is equal to the number of instant and sorcery cards in your graveyard. / Voar O poder de Dragonete dos Enigmas é igual ao número de cards de mágica instantânea e feitiço em seu cemitério.</t>
        </is>
      </c>
      <c r="E1387" s="11" t="inlineStr">
        <is>
          <t>{1}{U}{R}</t>
        </is>
      </c>
      <c r="F1387" s="11" t="inlineStr">
        <is>
          <t>Vermelho, Azul</t>
        </is>
      </c>
      <c r="G1387" s="8" t="n">
        <v>0.1</v>
      </c>
      <c r="H1387" s="11" t="inlineStr">
        <is>
          <t>Core Set 2019 (M19)</t>
        </is>
      </c>
      <c r="I1387" s="11" t="inlineStr">
        <is>
          <t>Não</t>
        </is>
      </c>
      <c r="J1387" s="11" t="n">
        <v>2018</v>
      </c>
      <c r="K1387" s="11" t="inlineStr">
        <is>
          <t>*/4</t>
        </is>
      </c>
      <c r="L1387" s="11" t="n">
        <v>1</v>
      </c>
      <c r="M1387" s="8">
        <f>L1387*G1387</f>
        <v/>
      </c>
      <c r="P1387" s="9" t="n"/>
    </row>
    <row r="1388">
      <c r="A1388" s="11" t="inlineStr">
        <is>
          <t>Visionary's Dance</t>
        </is>
      </c>
      <c r="B1388" s="11" t="inlineStr">
        <is>
          <t>Sorcery</t>
        </is>
      </c>
      <c r="C1388" s="11" t="inlineStr">
        <is>
          <t>Common / Comum</t>
        </is>
      </c>
      <c r="D1388" s="11" t="inlineStr">
        <is>
          <t>Create two 3/3 blue and red Elemental creature tokens with flying. {2}, Discard this card: Look at the top two cards of your library. Put one of them into your hand and the other into your graveyard.</t>
        </is>
      </c>
      <c r="E1388" s="11" t="inlineStr">
        <is>
          <t>{5}{U}{R}</t>
        </is>
      </c>
      <c r="F1388" s="11" t="inlineStr">
        <is>
          <t>Vermelho, Azul</t>
        </is>
      </c>
      <c r="G1388" s="8" t="n">
        <v>0.1</v>
      </c>
      <c r="H1388" s="11" t="inlineStr">
        <is>
          <t>Secrets of Strixhaven (SOS)</t>
        </is>
      </c>
      <c r="I1388" s="11" t="inlineStr">
        <is>
          <t>Não</t>
        </is>
      </c>
      <c r="J1388" s="11" t="n">
        <v>2026</v>
      </c>
      <c r="L1388" s="11" t="n">
        <v>1</v>
      </c>
      <c r="M1388" s="8">
        <f>L1388*G1388</f>
        <v/>
      </c>
      <c r="P1388" s="9" t="n"/>
    </row>
    <row r="1389">
      <c r="A1389" s="11" t="inlineStr">
        <is>
          <t>Sanar, Innovative First-Year</t>
        </is>
      </c>
      <c r="B1389" s="11" t="inlineStr">
        <is>
          <t>Legendary Creature — Goblin Sorcerer</t>
        </is>
      </c>
      <c r="C1389" s="11" t="inlineStr">
        <is>
          <t>Rare / Rara</t>
        </is>
      </c>
      <c r="D1389" s="11"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9" s="11" t="inlineStr">
        <is>
          <t>{2}{U/R}{U/R}</t>
        </is>
      </c>
      <c r="F1389" s="11" t="inlineStr">
        <is>
          <t>Vermelho, Azul</t>
        </is>
      </c>
      <c r="G1389" s="8" t="n">
        <v>0.27</v>
      </c>
      <c r="H1389" s="11" t="inlineStr">
        <is>
          <t>Lorwyn Eclipsed (ECL)</t>
        </is>
      </c>
      <c r="I1389" s="11" t="inlineStr">
        <is>
          <t>Não</t>
        </is>
      </c>
      <c r="J1389" s="11" t="n">
        <v>2026</v>
      </c>
      <c r="K1389" s="10" t="n">
        <v>46114</v>
      </c>
      <c r="L1389" s="11" t="n">
        <v>1</v>
      </c>
      <c r="M1389" s="8">
        <f>L1389*G1389</f>
        <v/>
      </c>
      <c r="P1389" s="9" t="n"/>
    </row>
    <row r="1390">
      <c r="A1390" s="11" t="inlineStr">
        <is>
          <t>Blistercoil Weird / Bizarro da Helicosfera</t>
        </is>
      </c>
      <c r="B1390" s="11" t="inlineStr">
        <is>
          <t>Creature — Weird / Criatura — Bizarro</t>
        </is>
      </c>
      <c r="C1390" s="11" t="inlineStr">
        <is>
          <t>Uncommon / Incomum</t>
        </is>
      </c>
      <c r="D1390" s="11" t="inlineStr">
        <is>
          <t>Whenever you cast an instant or sorcery spell, this creature gets +1/+1 until end of turn. Untap it. / Toda vez que você conjurar uma mágica instantânea ou feitiço, Bizarro da Helicosfera recebe +1/+1 até o final do turno. Desvire-o.</t>
        </is>
      </c>
      <c r="E1390" s="11" t="inlineStr">
        <is>
          <t>{U/R}</t>
        </is>
      </c>
      <c r="F1390" s="11" t="inlineStr">
        <is>
          <t>Vermelho, Azul</t>
        </is>
      </c>
      <c r="G1390" s="8" t="n">
        <v>0.09</v>
      </c>
      <c r="H1390" s="11" t="inlineStr">
        <is>
          <t>Return to Ravnica (RTR)</t>
        </is>
      </c>
      <c r="I1390" s="11" t="inlineStr">
        <is>
          <t>Não</t>
        </is>
      </c>
      <c r="J1390" s="11" t="n">
        <v>2012</v>
      </c>
      <c r="K1390" s="10" t="n">
        <v>46023</v>
      </c>
      <c r="L1390" s="11" t="n">
        <v>2</v>
      </c>
      <c r="M1390" s="8">
        <f>L1390*G1390</f>
        <v/>
      </c>
      <c r="P1390" s="9" t="n"/>
    </row>
    <row r="1391">
      <c r="A1391" s="11" t="inlineStr">
        <is>
          <t>Oko's Hospitality / Hospitalidade de Oko</t>
        </is>
      </c>
      <c r="B1391" s="11" t="inlineStr">
        <is>
          <t>Instant / Mágica Instantânea</t>
        </is>
      </c>
      <c r="C1391" s="11" t="inlineStr">
        <is>
          <t>Rare / Rara</t>
        </is>
      </c>
      <c r="D1391" s="11"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91" s="11" t="inlineStr">
        <is>
          <t>{3}{G}{U}</t>
        </is>
      </c>
      <c r="F1391" s="11" t="inlineStr">
        <is>
          <t>Verde, Azul</t>
        </is>
      </c>
      <c r="G1391" s="8" t="n">
        <v>0.25</v>
      </c>
      <c r="H1391" s="11" t="inlineStr">
        <is>
          <t>Throne of Eldraine (ELD)</t>
        </is>
      </c>
      <c r="I1391" s="11" t="inlineStr">
        <is>
          <t>Não</t>
        </is>
      </c>
      <c r="J1391" s="11" t="n">
        <v>2019</v>
      </c>
      <c r="L1391" s="11" t="n">
        <v>1</v>
      </c>
      <c r="M1391" s="8">
        <f>L1391*G1391</f>
        <v/>
      </c>
      <c r="P1391" s="9" t="n"/>
    </row>
    <row r="1392">
      <c r="A1392" s="11" t="inlineStr">
        <is>
          <t>Biomass Mutation / Mutação de Biomassa</t>
        </is>
      </c>
      <c r="B1392" s="11" t="inlineStr">
        <is>
          <t>Instant / Mágica Instantânea</t>
        </is>
      </c>
      <c r="C1392" s="11" t="inlineStr">
        <is>
          <t>Rare / Rara</t>
        </is>
      </c>
      <c r="D1392" s="11" t="inlineStr">
        <is>
          <t>Creatures you control have base power and toughness X/X until end of turn. / As criaturas que você controla se tornam X/X até o final do turno.</t>
        </is>
      </c>
      <c r="E1392" s="11" t="inlineStr">
        <is>
          <t>{X}{G/U}{G/U}</t>
        </is>
      </c>
      <c r="F1392" s="11" t="inlineStr">
        <is>
          <t>Verde, Azul</t>
        </is>
      </c>
      <c r="G1392" s="8" t="n">
        <v>0.2</v>
      </c>
      <c r="H1392" s="11" t="inlineStr">
        <is>
          <t>Gatecrash (GTC)</t>
        </is>
      </c>
      <c r="I1392" s="11" t="inlineStr">
        <is>
          <t>Não</t>
        </is>
      </c>
      <c r="J1392" s="11" t="n">
        <v>2013</v>
      </c>
      <c r="L1392" s="11" t="n">
        <v>2</v>
      </c>
      <c r="M1392" s="8">
        <f>L1392*G1392</f>
        <v/>
      </c>
      <c r="P1392" s="9" t="n"/>
    </row>
    <row r="1393">
      <c r="A1393" s="11" t="inlineStr">
        <is>
          <t>Hydroform / Hidroformar</t>
        </is>
      </c>
      <c r="B1393" s="11" t="inlineStr">
        <is>
          <t>Instant / Mágica Instantânea</t>
        </is>
      </c>
      <c r="C1393" s="11" t="inlineStr">
        <is>
          <t>Common / Comum</t>
        </is>
      </c>
      <c r="D1393" s="11" t="inlineStr">
        <is>
          <t>Target land becomes a 3/3 Elemental creature with flying until end of turn. It's still a land. / O terreno alvo torna-se uma criatura do tipo Elemental 3/3 com voar até o final do turno. Ela ainda conta como um terreno.</t>
        </is>
      </c>
      <c r="E1393" s="11" t="inlineStr">
        <is>
          <t>{G}{U}</t>
        </is>
      </c>
      <c r="F1393" s="11" t="inlineStr">
        <is>
          <t>Verde, Azul</t>
        </is>
      </c>
      <c r="G1393" s="8" t="n">
        <v>0.06</v>
      </c>
      <c r="H1393" s="11" t="inlineStr">
        <is>
          <t>Gatecrash (GTC)</t>
        </is>
      </c>
      <c r="I1393" s="11" t="inlineStr">
        <is>
          <t>Não</t>
        </is>
      </c>
      <c r="J1393" s="11" t="n">
        <v>2013</v>
      </c>
      <c r="L1393" s="11" t="n">
        <v>1</v>
      </c>
      <c r="M1393" s="8">
        <f>L1393*G1393</f>
        <v/>
      </c>
      <c r="P1393" s="9" t="n"/>
    </row>
    <row r="1394">
      <c r="A1394" s="11" t="inlineStr">
        <is>
          <t>Call to the Feast / Chamado ao Banquete</t>
        </is>
      </c>
      <c r="B1394" s="11" t="inlineStr">
        <is>
          <t>Sorcery / Feitiço</t>
        </is>
      </c>
      <c r="C1394" s="11" t="inlineStr">
        <is>
          <t>Common / Comum</t>
        </is>
      </c>
      <c r="D1394" s="11" t="inlineStr">
        <is>
          <t>Create three 1/1 white Vampire creature tokens with lifelink. / Crie três fichas de criatura branca 1/1 do tipo Vampiro com vínculo com a vida.</t>
        </is>
      </c>
      <c r="E1394" s="11" t="inlineStr">
        <is>
          <t>{2}{W}{B}</t>
        </is>
      </c>
      <c r="F1394" s="11" t="inlineStr">
        <is>
          <t>Preto, Branco</t>
        </is>
      </c>
      <c r="G1394" s="8" t="n">
        <v>0.25</v>
      </c>
      <c r="H1394" s="11" t="inlineStr">
        <is>
          <t>Double Masters 2022 (2X2)</t>
        </is>
      </c>
      <c r="I1394" s="11" t="inlineStr">
        <is>
          <t>Sim</t>
        </is>
      </c>
      <c r="J1394" s="11" t="n">
        <v>2022</v>
      </c>
      <c r="L1394" s="11" t="n">
        <v>2</v>
      </c>
      <c r="M1394" s="8">
        <f>L1394*G1394</f>
        <v/>
      </c>
      <c r="P1394" s="9" t="n"/>
    </row>
    <row r="1395">
      <c r="A1395" s="11" t="inlineStr">
        <is>
          <t>Incongruência / Incongruity // Incubação / Incubation</t>
        </is>
      </c>
      <c r="B1395" s="11" t="inlineStr">
        <is>
          <t>Mágica Instantânea / Instant // Feitiço / Sorcery</t>
        </is>
      </c>
      <c r="C1395" s="11" t="inlineStr">
        <is>
          <t>Incomum / Uncommon</t>
        </is>
      </c>
      <c r="D1395" s="11"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95" s="11" t="inlineStr">
        <is>
          <t>{1}{G}{U} // {G/U}</t>
        </is>
      </c>
      <c r="F1395" s="11" t="inlineStr">
        <is>
          <t>Verde e Azul / Green and Blue</t>
        </is>
      </c>
      <c r="G1395" s="8" t="n">
        <v>0.04</v>
      </c>
      <c r="H1395" s="11" t="inlineStr">
        <is>
          <t>Ravnica Allegiance (RNA)</t>
        </is>
      </c>
      <c r="I1395" s="11" t="inlineStr">
        <is>
          <t>Não</t>
        </is>
      </c>
      <c r="J1395" s="11" t="n">
        <v>2019</v>
      </c>
      <c r="L1395" s="11" t="n">
        <v>2</v>
      </c>
      <c r="M1395" s="8">
        <f>L1395*G1395</f>
        <v/>
      </c>
      <c r="P1395" s="9" t="n"/>
    </row>
    <row r="1396">
      <c r="A1396" s="11" t="inlineStr">
        <is>
          <t>Owlin Shieldmage / Escudomante Corujim</t>
        </is>
      </c>
      <c r="B1396" s="11" t="inlineStr">
        <is>
          <t>Creature — Bird Warlock / Criatura — Ave Bruxo</t>
        </is>
      </c>
      <c r="C1396" s="11" t="inlineStr">
        <is>
          <t>Common / Comum</t>
        </is>
      </c>
      <c r="D1396" s="11"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6" s="11" t="inlineStr">
        <is>
          <t>{3}{W}{B}</t>
        </is>
      </c>
      <c r="F1396" s="11" t="inlineStr">
        <is>
          <t>Preto, Branco</t>
        </is>
      </c>
      <c r="G1396" s="8" t="n">
        <v>0.05</v>
      </c>
      <c r="H1396" s="11" t="inlineStr">
        <is>
          <t>Strixhaven: School of Mages (STX)</t>
        </is>
      </c>
      <c r="I1396" s="11" t="inlineStr">
        <is>
          <t>Não</t>
        </is>
      </c>
      <c r="J1396" s="11" t="n">
        <v>2021</v>
      </c>
      <c r="K1396" s="10" t="n">
        <v>46084</v>
      </c>
      <c r="L1396" s="11" t="n">
        <v>2</v>
      </c>
      <c r="M1396" s="8">
        <f>L1396*G1396</f>
        <v/>
      </c>
      <c r="P1396" s="9" t="n"/>
    </row>
    <row r="1397">
      <c r="A1397" s="11" t="inlineStr">
        <is>
          <t>Harsh Sustenance / Sustento Árduo</t>
        </is>
      </c>
      <c r="B1397" s="11" t="inlineStr">
        <is>
          <t>Instant / Mágica Instantânea</t>
        </is>
      </c>
      <c r="C1397" s="11" t="inlineStr">
        <is>
          <t>Common / Comum</t>
        </is>
      </c>
      <c r="D1397" s="11"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7" s="11" t="inlineStr">
        <is>
          <t>{1}{W}{B}</t>
        </is>
      </c>
      <c r="F1397" s="11" t="inlineStr">
        <is>
          <t>Preto, Branco</t>
        </is>
      </c>
      <c r="G1397" s="8" t="n">
        <v>0.09</v>
      </c>
      <c r="H1397" s="11" t="inlineStr">
        <is>
          <t>Fate Reforged (FRF)</t>
        </is>
      </c>
      <c r="I1397" s="11" t="inlineStr">
        <is>
          <t>Não</t>
        </is>
      </c>
      <c r="J1397" s="11" t="n">
        <v>2015</v>
      </c>
      <c r="L1397" s="11" t="n">
        <v>2</v>
      </c>
      <c r="M1397" s="8">
        <f>L1397*G1397</f>
        <v/>
      </c>
      <c r="P1397" s="9" t="n"/>
    </row>
    <row r="1398">
      <c r="A1398" s="11" t="inlineStr">
        <is>
          <t>Spiteful Squad / Esquadrão Malévolo</t>
        </is>
      </c>
      <c r="B1398" s="11" t="inlineStr">
        <is>
          <t>Creature — Human Warlock / Criatura — Humano Bruxo</t>
        </is>
      </c>
      <c r="C1398" s="11" t="inlineStr">
        <is>
          <t>Common / Comum</t>
        </is>
      </c>
      <c r="D1398" s="11"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8" s="11" t="inlineStr">
        <is>
          <t>{2}{W}{B}</t>
        </is>
      </c>
      <c r="F1398" s="11" t="inlineStr">
        <is>
          <t>Preto, Branco</t>
        </is>
      </c>
      <c r="G1398" s="8" t="n">
        <v>0.05</v>
      </c>
      <c r="H1398" s="11" t="inlineStr">
        <is>
          <t>Strixhaven: School of Mages (STX)</t>
        </is>
      </c>
      <c r="I1398" s="11" t="inlineStr">
        <is>
          <t>Não</t>
        </is>
      </c>
      <c r="J1398" s="11" t="n">
        <v>2021</v>
      </c>
      <c r="K1398" s="11" t="inlineStr">
        <is>
          <t>0/0</t>
        </is>
      </c>
      <c r="L1398" s="11" t="n">
        <v>2</v>
      </c>
      <c r="M1398" s="8">
        <f>L1398*G1398</f>
        <v/>
      </c>
      <c r="P1398" s="9" t="n"/>
    </row>
    <row r="1399">
      <c r="A1399" s="11" t="inlineStr">
        <is>
          <t>Zealous Persecution / Perseguição Fervorosa</t>
        </is>
      </c>
      <c r="B1399" s="11" t="inlineStr">
        <is>
          <t>Instant / Mágica Instantânea</t>
        </is>
      </c>
      <c r="C1399" s="11" t="inlineStr">
        <is>
          <t>Uncommon / Incomum</t>
        </is>
      </c>
      <c r="D1399" s="11" t="inlineStr">
        <is>
          <t>Until end of turn, creatures you control get +1/+1 and creatures your opponents control get -1/-1. / Até o final do turno, as criaturas que você controla recebem +1/+1 e as criaturas que seus oponentes controlam recebem -1/-1.</t>
        </is>
      </c>
      <c r="E1399" s="11" t="inlineStr">
        <is>
          <t>{W}{B}</t>
        </is>
      </c>
      <c r="F1399" s="11" t="inlineStr">
        <is>
          <t>Preto, Branco</t>
        </is>
      </c>
      <c r="G1399" s="8" t="n">
        <v>0.09</v>
      </c>
      <c r="H1399" s="11" t="inlineStr">
        <is>
          <t>Eternal Masters (EMA)</t>
        </is>
      </c>
      <c r="I1399" s="11" t="inlineStr">
        <is>
          <t>Não</t>
        </is>
      </c>
      <c r="J1399" s="11" t="n">
        <v>2016</v>
      </c>
      <c r="L1399" s="11" t="n">
        <v>2</v>
      </c>
      <c r="M1399" s="8">
        <f>L1399*G1399</f>
        <v/>
      </c>
      <c r="P1399" s="9" t="n"/>
    </row>
    <row r="1400">
      <c r="A1400" s="11" t="inlineStr">
        <is>
          <t>Vizkopa Vampire / Vampiro do Vizkopa</t>
        </is>
      </c>
      <c r="B1400" s="11" t="inlineStr">
        <is>
          <t>Creature — Vampire / Criatura — Vampiro</t>
        </is>
      </c>
      <c r="C1400" s="11" t="inlineStr">
        <is>
          <t>Common / Comum</t>
        </is>
      </c>
      <c r="D1400" s="11" t="inlineStr">
        <is>
          <t>Lifelink / Vínculo com a vida</t>
        </is>
      </c>
      <c r="E1400" s="11" t="inlineStr">
        <is>
          <t>{2}{W/B}</t>
        </is>
      </c>
      <c r="F1400" s="11" t="inlineStr">
        <is>
          <t>Preto, Branco</t>
        </is>
      </c>
      <c r="G1400" s="8" t="n">
        <v>0.05</v>
      </c>
      <c r="H1400" s="11" t="inlineStr">
        <is>
          <t>Ravnica Allegiance (RNA)</t>
        </is>
      </c>
      <c r="I1400" s="11" t="inlineStr">
        <is>
          <t>Não</t>
        </is>
      </c>
      <c r="J1400" s="11" t="n">
        <v>2019</v>
      </c>
      <c r="K1400" s="10" t="n">
        <v>46025</v>
      </c>
      <c r="L1400" s="11" t="n">
        <v>2</v>
      </c>
      <c r="M1400" s="8">
        <f>L1400*G1400</f>
        <v/>
      </c>
      <c r="P1400" s="9" t="n"/>
    </row>
    <row r="1401">
      <c r="A1401" s="11" t="inlineStr">
        <is>
          <t>Beckon Apparition / Instigar Aparição</t>
        </is>
      </c>
      <c r="B1401" s="11" t="inlineStr">
        <is>
          <t>Instant / Mágica Instantânea</t>
        </is>
      </c>
      <c r="C1401" s="11" t="inlineStr">
        <is>
          <t>Common / Comum</t>
        </is>
      </c>
      <c r="D1401" s="11" t="inlineStr">
        <is>
          <t>Exile target card from a graveyard. Create a 1/1 white and black Spirit creature token with flying. / Exile o card alvo de um cemitério. Coloque no campo de batalha uma ficha de criatura branca e preta 1/1 do tipo Espírito com voar.</t>
        </is>
      </c>
      <c r="E1401" s="11" t="inlineStr">
        <is>
          <t>{W/B}</t>
        </is>
      </c>
      <c r="F1401" s="11" t="inlineStr">
        <is>
          <t>Preto, Branco</t>
        </is>
      </c>
      <c r="G1401" s="8" t="n">
        <v>0.05</v>
      </c>
      <c r="H1401" s="11" t="inlineStr">
        <is>
          <t>Ultimate Masters (UMA)</t>
        </is>
      </c>
      <c r="I1401" s="11" t="inlineStr">
        <is>
          <t>Não</t>
        </is>
      </c>
      <c r="J1401" s="11" t="n">
        <v>2018</v>
      </c>
      <c r="L1401" s="11" t="n">
        <v>2</v>
      </c>
      <c r="M1401" s="8">
        <f>L1401*G1401</f>
        <v/>
      </c>
      <c r="P1401" s="9" t="n"/>
    </row>
    <row r="1402">
      <c r="A1402" s="11" t="inlineStr">
        <is>
          <t>Abigale, Poet Laureate // Heroic Stanza</t>
        </is>
      </c>
      <c r="B1402" s="11" t="inlineStr">
        <is>
          <t>Legendary Creature — Bird Bard // Sorcery</t>
        </is>
      </c>
      <c r="C1402" s="11" t="inlineStr">
        <is>
          <t>Uncommon / Incomum</t>
        </is>
      </c>
      <c r="D1402" s="11" t="inlineStr">
        <is>
          <t>Abigale, Poet Laureate: Flying Whenever you cast a creature spell, Abigale becomes prepared. (While it's prepared, you may cast a copy of its spell. Doing so unprepares it.) // Heroic Stanza: Put a +1/+1 counter on target creature.</t>
        </is>
      </c>
      <c r="E1402" s="11" t="inlineStr">
        <is>
          <t>{1}{W}{B} // {1}{W/B}</t>
        </is>
      </c>
      <c r="F1402" s="11" t="inlineStr">
        <is>
          <t>Preto, Branco</t>
        </is>
      </c>
      <c r="G1402" s="8" t="n">
        <v>0.29</v>
      </c>
      <c r="H1402" s="11" t="inlineStr">
        <is>
          <t>Secrets of Strixhaven (SOS)</t>
        </is>
      </c>
      <c r="I1402" s="11" t="inlineStr">
        <is>
          <t>Não</t>
        </is>
      </c>
      <c r="J1402" s="11" t="n">
        <v>2026</v>
      </c>
      <c r="K1402" s="10" t="n">
        <v>46083</v>
      </c>
      <c r="L1402" s="11" t="n">
        <v>1</v>
      </c>
      <c r="M1402" s="8">
        <f>L1402*G1402</f>
        <v/>
      </c>
      <c r="P1402" s="9" t="n"/>
    </row>
    <row r="1403">
      <c r="A1403" s="11" t="inlineStr">
        <is>
          <t>High Priest of Penance / Alto Sacerdote de Penitência</t>
        </is>
      </c>
      <c r="B1403" s="11" t="inlineStr">
        <is>
          <t>Creature — Human Cleric / Criatura — Humano Clérigo</t>
        </is>
      </c>
      <c r="C1403" s="11" t="inlineStr">
        <is>
          <t>Rare / Rara</t>
        </is>
      </c>
      <c r="D1403" s="11" t="inlineStr">
        <is>
          <t>Whenever this creature is dealt damage, you may destroy target nonland permanent. / Toda vez que Alto Sacerdote de Penitência sofre dano, você pode destruir a permanente alvo que não seja um terreno.</t>
        </is>
      </c>
      <c r="E1403" s="11" t="inlineStr">
        <is>
          <t>{W}{B}</t>
        </is>
      </c>
      <c r="F1403" s="11" t="inlineStr">
        <is>
          <t>Preto, Branco</t>
        </is>
      </c>
      <c r="G1403" s="8" t="n">
        <v>0.25</v>
      </c>
      <c r="H1403" s="11" t="inlineStr">
        <is>
          <t>Gatecrash (GTC)</t>
        </is>
      </c>
      <c r="I1403" s="11" t="inlineStr">
        <is>
          <t>Não</t>
        </is>
      </c>
      <c r="J1403" s="11" t="n">
        <v>2013</v>
      </c>
      <c r="K1403" s="10" t="n">
        <v>46023</v>
      </c>
      <c r="L1403" s="11" t="n">
        <v>1</v>
      </c>
      <c r="M1403" s="8">
        <f>L1403*G1403</f>
        <v/>
      </c>
      <c r="P1403" s="9" t="n"/>
    </row>
    <row r="1404">
      <c r="A1404" s="11" t="inlineStr">
        <is>
          <t>Aron, Benalia's Ruin / Aron, Ruína de Benália</t>
        </is>
      </c>
      <c r="B1404" s="11" t="inlineStr">
        <is>
          <t>Legendary Creature — Phyrexian Human / Criatura Lendária — Phyrexiano Humano</t>
        </is>
      </c>
      <c r="C1404" s="11" t="inlineStr">
        <is>
          <t>Uncommon / Incomum</t>
        </is>
      </c>
      <c r="D1404" s="11"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404" s="11" t="inlineStr">
        <is>
          <t>{W}{W}{B}</t>
        </is>
      </c>
      <c r="F1404" s="11" t="inlineStr">
        <is>
          <t>Preto, Branco</t>
        </is>
      </c>
      <c r="G1404" s="8" t="n">
        <v>0.1</v>
      </c>
      <c r="H1404" s="11" t="inlineStr">
        <is>
          <t>Dominaria United (DMU)</t>
        </is>
      </c>
      <c r="I1404" s="11" t="inlineStr">
        <is>
          <t>Não</t>
        </is>
      </c>
      <c r="J1404" s="11" t="n">
        <v>2022</v>
      </c>
      <c r="K1404" s="10" t="n">
        <v>46084</v>
      </c>
      <c r="L1404" s="11" t="n">
        <v>1</v>
      </c>
      <c r="M1404" s="8">
        <f>L1404*G1404</f>
        <v/>
      </c>
      <c r="P1404" s="9" t="n"/>
    </row>
    <row r="1405">
      <c r="A1405" s="11" t="inlineStr">
        <is>
          <t>Nip Gwyllion / Gwyllion da Mordidela</t>
        </is>
      </c>
      <c r="B1405" s="11" t="inlineStr">
        <is>
          <t>Creature — Hag / Criatura — Bruxa</t>
        </is>
      </c>
      <c r="C1405" s="11" t="inlineStr">
        <is>
          <t>Common / Comum</t>
        </is>
      </c>
      <c r="D1405" s="11" t="inlineStr">
        <is>
          <t>Lifelink (Damage dealt by this creature also causes you to gain that much life.) / Vínculo com a vida (Toda vez que esta criatura causa dano, você ganha aquela quantidade em pontos de vida.)</t>
        </is>
      </c>
      <c r="E1405" s="11" t="inlineStr">
        <is>
          <t>{W/B}</t>
        </is>
      </c>
      <c r="F1405" s="11" t="inlineStr">
        <is>
          <t>Preto, Branco</t>
        </is>
      </c>
      <c r="G1405" s="8" t="n">
        <v>0.24</v>
      </c>
      <c r="H1405" s="11" t="inlineStr">
        <is>
          <t>Eventide (EVE)</t>
        </is>
      </c>
      <c r="I1405" s="11" t="inlineStr">
        <is>
          <t>Não</t>
        </is>
      </c>
      <c r="J1405" s="11" t="n">
        <v>2008</v>
      </c>
      <c r="K1405" s="10" t="n">
        <v>46023</v>
      </c>
      <c r="L1405" s="11" t="n">
        <v>1</v>
      </c>
      <c r="M1405" s="8">
        <f>L1405*G1405</f>
        <v/>
      </c>
      <c r="P1405" s="9" t="n"/>
    </row>
    <row r="1406">
      <c r="A1406" s="11" t="inlineStr">
        <is>
          <t>Restless Apparition / Aparição Inquieta</t>
        </is>
      </c>
      <c r="B1406" s="11" t="inlineStr">
        <is>
          <t>Creature — Spirit / Criatura — Espírito</t>
        </is>
      </c>
      <c r="C1406" s="11" t="inlineStr">
        <is>
          <t>Uncommon / Incomum</t>
        </is>
      </c>
      <c r="D1406" s="11"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6" s="11" t="inlineStr">
        <is>
          <t>{W/B}{W/B}{W/B}</t>
        </is>
      </c>
      <c r="F1406" s="11" t="inlineStr">
        <is>
          <t>Preto, Branco</t>
        </is>
      </c>
      <c r="G1406" s="8" t="n">
        <v>0.12</v>
      </c>
      <c r="H1406" s="11" t="inlineStr">
        <is>
          <t>Modern Masters 2015 (MM2)</t>
        </is>
      </c>
      <c r="I1406" s="11" t="inlineStr">
        <is>
          <t>Não</t>
        </is>
      </c>
      <c r="J1406" s="11" t="n">
        <v>2015</v>
      </c>
      <c r="K1406" s="10" t="n">
        <v>46055</v>
      </c>
      <c r="L1406" s="11" t="n">
        <v>1</v>
      </c>
      <c r="M1406" s="8">
        <f>L1406*G1406</f>
        <v/>
      </c>
      <c r="P1406" s="9" t="n"/>
    </row>
    <row r="1407">
      <c r="A1407" s="11" t="inlineStr">
        <is>
          <t>Regal Bloodlord / Senhor Vampiro Régio</t>
        </is>
      </c>
      <c r="B1407" s="11" t="inlineStr">
        <is>
          <t>Creature — Vampire Soldier / Criatura — Vampiro Soldado</t>
        </is>
      </c>
      <c r="C1407" s="11" t="inlineStr">
        <is>
          <t>Uncommon / Incomum</t>
        </is>
      </c>
      <c r="D1407" s="11"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7" s="11" t="inlineStr">
        <is>
          <t>{3}{W}{B}</t>
        </is>
      </c>
      <c r="F1407" s="11" t="inlineStr">
        <is>
          <t>Preto, Branco</t>
        </is>
      </c>
      <c r="G1407" s="8" t="n">
        <v>0.06</v>
      </c>
      <c r="H1407" s="11" t="inlineStr">
        <is>
          <t>Core Set 2019 (M19)</t>
        </is>
      </c>
      <c r="I1407" s="11" t="inlineStr">
        <is>
          <t>Não</t>
        </is>
      </c>
      <c r="J1407" s="11" t="n">
        <v>2018</v>
      </c>
      <c r="K1407" s="10" t="n">
        <v>46114</v>
      </c>
      <c r="L1407" s="11" t="n">
        <v>1</v>
      </c>
      <c r="M1407" s="8">
        <f>L1407*G1407</f>
        <v/>
      </c>
      <c r="P1407" s="9" t="n"/>
    </row>
    <row r="1408">
      <c r="A1408" s="11" t="inlineStr">
        <is>
          <t>Perda / Down // Lucro / Dirty</t>
        </is>
      </c>
      <c r="B1408" s="11" t="inlineStr">
        <is>
          <t>Mágica Instantânea / Instant</t>
        </is>
      </c>
      <c r="C1408" s="11" t="inlineStr">
        <is>
          <t>Incomum / Uncommon</t>
        </is>
      </c>
      <c r="D1408" s="11"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8" s="11" t="inlineStr">
        <is>
          <t>{2}{B} // {1}{W}</t>
        </is>
      </c>
      <c r="F1408" s="11" t="inlineStr">
        <is>
          <t>Preto e Branco / Black and White</t>
        </is>
      </c>
      <c r="G1408" s="8" t="n">
        <v>0.08</v>
      </c>
      <c r="H1408" s="11" t="inlineStr">
        <is>
          <t>Dragon's Maze (DGM)</t>
        </is>
      </c>
      <c r="I1408" s="11" t="inlineStr">
        <is>
          <t>Não</t>
        </is>
      </c>
      <c r="J1408" s="11" t="n">
        <v>2013</v>
      </c>
      <c r="L1408" s="11" t="n">
        <v>2</v>
      </c>
      <c r="M1408" s="8">
        <f>L1408*G1408</f>
        <v/>
      </c>
      <c r="P1408" s="9" t="n"/>
    </row>
    <row r="1409">
      <c r="A1409" s="11" t="inlineStr">
        <is>
          <t>Gravepurge / Expurgar Túmulo</t>
        </is>
      </c>
      <c r="B1409" s="11" t="inlineStr">
        <is>
          <t>Instant / Mágica Instantânea</t>
        </is>
      </c>
      <c r="C1409" s="11" t="inlineStr">
        <is>
          <t>Common / Comum</t>
        </is>
      </c>
      <c r="D1409" s="11" t="inlineStr">
        <is>
          <t>Put any number of target creature cards from your graveyard on top of your library. Draw a card. / Coloque qualquer número de cards de criatura alvo de seu cemitério no topo de seu grimório. Compre um card.</t>
        </is>
      </c>
      <c r="E1409" s="11" t="inlineStr">
        <is>
          <t>{2}{B}</t>
        </is>
      </c>
      <c r="F1409" s="11" t="inlineStr">
        <is>
          <t>Preto</t>
        </is>
      </c>
      <c r="G1409" s="8" t="n">
        <v>0.05</v>
      </c>
      <c r="H1409" s="11" t="inlineStr">
        <is>
          <t>Dark Ascension (DKA)</t>
        </is>
      </c>
      <c r="I1409" s="11" t="inlineStr">
        <is>
          <t>Não</t>
        </is>
      </c>
      <c r="J1409" s="11" t="n">
        <v>2012</v>
      </c>
      <c r="L1409" s="11" t="n">
        <v>1</v>
      </c>
      <c r="M1409" s="8">
        <f>L1409*G1409</f>
        <v/>
      </c>
      <c r="P1409" s="9" t="n"/>
    </row>
    <row r="1410">
      <c r="A1410" s="11" t="inlineStr">
        <is>
          <t>Grim Roustabout / Servente Macabro</t>
        </is>
      </c>
      <c r="B1410" s="11" t="inlineStr">
        <is>
          <t>Creature — Skeleton Warrior / Criatura — Esqueleto Guerreiro</t>
        </is>
      </c>
      <c r="C1410" s="11" t="inlineStr">
        <is>
          <t>Common / Comum</t>
        </is>
      </c>
      <c r="D1410" s="11"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10" s="11" t="inlineStr">
        <is>
          <t>{1}{B}</t>
        </is>
      </c>
      <c r="F1410" s="11" t="inlineStr">
        <is>
          <t>Preto</t>
        </is>
      </c>
      <c r="G1410" s="8" t="n">
        <v>0.05</v>
      </c>
      <c r="H1410" s="11" t="inlineStr">
        <is>
          <t>Return to Ravnica (RTR)</t>
        </is>
      </c>
      <c r="I1410" s="11" t="inlineStr">
        <is>
          <t>Não</t>
        </is>
      </c>
      <c r="J1410" s="11" t="n">
        <v>2012</v>
      </c>
      <c r="K1410" s="10" t="n">
        <v>46023</v>
      </c>
      <c r="L1410" s="11" t="n">
        <v>1</v>
      </c>
      <c r="M1410" s="8">
        <f>L1410*G1410</f>
        <v/>
      </c>
      <c r="P1410" s="9" t="n"/>
    </row>
    <row r="1411">
      <c r="A1411" s="11" t="inlineStr">
        <is>
          <t>Nocturnal Feeder</t>
        </is>
      </c>
      <c r="B1411" s="11" t="inlineStr">
        <is>
          <t>Creature — Vampire Rogue</t>
        </is>
      </c>
      <c r="C1411" s="11" t="inlineStr">
        <is>
          <t>Common / Comum</t>
        </is>
      </c>
      <c r="D1411" s="11" t="inlineStr">
        <is>
          <t>Flying When this creature dies, each opponent loses 2 life and you gain 2 life.</t>
        </is>
      </c>
      <c r="E1411" s="11" t="inlineStr">
        <is>
          <t>{2}{B}</t>
        </is>
      </c>
      <c r="F1411" s="11" t="inlineStr">
        <is>
          <t>Preto</t>
        </is>
      </c>
      <c r="G1411" s="8" t="n">
        <v>0.13</v>
      </c>
      <c r="H1411" s="11" t="inlineStr">
        <is>
          <t>Jumpstart (JMP)</t>
        </is>
      </c>
      <c r="I1411" s="11" t="inlineStr">
        <is>
          <t>Não</t>
        </is>
      </c>
      <c r="J1411" s="11" t="n">
        <v>2020</v>
      </c>
      <c r="K1411" s="10" t="n">
        <v>46024</v>
      </c>
      <c r="L1411" s="11" t="n">
        <v>1</v>
      </c>
      <c r="M1411" s="8">
        <f>L1411*G1411</f>
        <v/>
      </c>
      <c r="P1411" s="9" t="n"/>
    </row>
    <row r="1412">
      <c r="A1412" s="11" t="inlineStr">
        <is>
          <t>Diregraf Ghoul / Carniçal do Cemitério do Terror</t>
        </is>
      </c>
      <c r="B1412" s="11" t="inlineStr">
        <is>
          <t>Creature — Zombie / Criatura — Zumbi</t>
        </is>
      </c>
      <c r="C1412" s="11" t="inlineStr">
        <is>
          <t>Uncommon / Incomum</t>
        </is>
      </c>
      <c r="D1412" s="11" t="inlineStr">
        <is>
          <t>This creature enters tapped. / Carniçal do Cemitério do Terror entra no campo de batalha virado.</t>
        </is>
      </c>
      <c r="E1412" s="11" t="inlineStr">
        <is>
          <t>{B}</t>
        </is>
      </c>
      <c r="F1412" s="11" t="inlineStr">
        <is>
          <t>Preto</t>
        </is>
      </c>
      <c r="G1412" s="8" t="n">
        <v>0.1</v>
      </c>
      <c r="H1412" s="11" t="inlineStr">
        <is>
          <t>Innistrad (ISD)</t>
        </is>
      </c>
      <c r="I1412" s="11" t="inlineStr">
        <is>
          <t>Não</t>
        </is>
      </c>
      <c r="J1412" s="11" t="n">
        <v>2011</v>
      </c>
      <c r="K1412" s="10" t="n">
        <v>46055</v>
      </c>
      <c r="L1412" s="11" t="n">
        <v>1</v>
      </c>
      <c r="M1412" s="8">
        <f>L1412*G1412</f>
        <v/>
      </c>
      <c r="P1412" s="9" t="n"/>
    </row>
    <row r="1413">
      <c r="A1413" s="11" t="inlineStr">
        <is>
          <t>Netcaster Spider / Aranha Lançadora de Rede</t>
        </is>
      </c>
      <c r="B1413" s="11" t="inlineStr">
        <is>
          <t>Creature — Spider / Criatura — Aranha</t>
        </is>
      </c>
      <c r="C1413" s="11" t="inlineStr">
        <is>
          <t>Common / Comum</t>
        </is>
      </c>
      <c r="D1413" s="11"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13" s="11" t="inlineStr">
        <is>
          <t>{2}{G}</t>
        </is>
      </c>
      <c r="F1413" s="11" t="inlineStr">
        <is>
          <t>Verde</t>
        </is>
      </c>
      <c r="G1413" s="8" t="n">
        <v>0.03</v>
      </c>
      <c r="H1413" s="11" t="inlineStr">
        <is>
          <t>Core Set 2020 (M20)</t>
        </is>
      </c>
      <c r="I1413" s="11" t="inlineStr">
        <is>
          <t>Não</t>
        </is>
      </c>
      <c r="J1413" s="11" t="n">
        <v>2019</v>
      </c>
      <c r="K1413" s="10" t="n">
        <v>46083</v>
      </c>
      <c r="L1413" s="11" t="n">
        <v>1</v>
      </c>
      <c r="M1413" s="8">
        <f>L1413*G1413</f>
        <v/>
      </c>
      <c r="P1413" s="9" t="n"/>
    </row>
    <row r="1414">
      <c r="A1414" s="11" t="inlineStr">
        <is>
          <t>Mammoth Spider / Aranha Mamute</t>
        </is>
      </c>
      <c r="B1414" s="11" t="inlineStr">
        <is>
          <t>Creature — Spider / Criatura — Aranha</t>
        </is>
      </c>
      <c r="C1414" s="11" t="inlineStr">
        <is>
          <t>Common / Comum</t>
        </is>
      </c>
      <c r="D1414" s="11" t="inlineStr">
        <is>
          <t>Reach (This creature can block creatures with flying.) / Alcance</t>
        </is>
      </c>
      <c r="E1414" s="11" t="inlineStr">
        <is>
          <t>{4}{G}</t>
        </is>
      </c>
      <c r="F1414" s="11" t="inlineStr">
        <is>
          <t>Verde</t>
        </is>
      </c>
      <c r="G1414" s="8" t="n">
        <v>0.03</v>
      </c>
      <c r="H1414" s="11" t="inlineStr">
        <is>
          <t>Core Set 2020 (M20)</t>
        </is>
      </c>
      <c r="I1414" s="11" t="inlineStr">
        <is>
          <t>Não</t>
        </is>
      </c>
      <c r="J1414" s="11" t="n">
        <v>2019</v>
      </c>
      <c r="K1414" s="10" t="n">
        <v>46145</v>
      </c>
      <c r="L1414" s="11" t="n">
        <v>1</v>
      </c>
      <c r="M1414" s="8">
        <f>L1414*G1414</f>
        <v/>
      </c>
      <c r="P1414" s="9" t="n"/>
    </row>
    <row r="1415">
      <c r="A1415" s="11" t="inlineStr">
        <is>
          <t>Sejiri Steppe / Estepe de Sejiri</t>
        </is>
      </c>
      <c r="B1415" s="11" t="inlineStr">
        <is>
          <t>Land / Terreno</t>
        </is>
      </c>
      <c r="C1415" s="11" t="inlineStr">
        <is>
          <t>Common / Comum</t>
        </is>
      </c>
      <c r="D1415" s="11"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15" s="11" t="inlineStr">
        <is>
          <t>Branco</t>
        </is>
      </c>
      <c r="G1415" s="8" t="n">
        <v>0.3</v>
      </c>
      <c r="H1415" s="11" t="inlineStr">
        <is>
          <t>Worldwake (WWK)</t>
        </is>
      </c>
      <c r="I1415" s="11" t="inlineStr">
        <is>
          <t>Não</t>
        </is>
      </c>
      <c r="J1415" s="11" t="n">
        <v>2010</v>
      </c>
      <c r="L1415" s="11" t="n">
        <v>2</v>
      </c>
      <c r="M1415" s="8">
        <f>L1415*G1415</f>
        <v/>
      </c>
      <c r="P1415" s="9" t="n"/>
    </row>
    <row r="1416">
      <c r="A1416" s="11" t="inlineStr">
        <is>
          <t>Tocasia's Dig Site / Sítio de Escavação de Tocasia</t>
        </is>
      </c>
      <c r="B1416" s="11" t="inlineStr">
        <is>
          <t>Land / Terreno</t>
        </is>
      </c>
      <c r="C1416" s="11" t="inlineStr">
        <is>
          <t>Common / Comum</t>
        </is>
      </c>
      <c r="D1416" s="11" t="inlineStr">
        <is>
          <t>{T}: Add {C}. {3}, {T}: Surveil 1. (Look at the top card of your library. You may put it into your graveyard.) / {T}: Adicione {C}. {3}, {T}: Use vigiar 1. (Olhe o card do topo de seu grimório. Você pode colocar aquele card em seu cemitério.)</t>
        </is>
      </c>
      <c r="F1416" s="11" t="inlineStr">
        <is>
          <t>Incolor</t>
        </is>
      </c>
      <c r="G1416" s="8" t="n">
        <v>0.14</v>
      </c>
      <c r="H1416" s="11" t="inlineStr">
        <is>
          <t>The Brothers' War (BRO)</t>
        </is>
      </c>
      <c r="I1416" s="11" t="inlineStr">
        <is>
          <t>Não</t>
        </is>
      </c>
      <c r="J1416" s="11" t="n">
        <v>2022</v>
      </c>
      <c r="L1416" s="11" t="n">
        <v>1</v>
      </c>
      <c r="M1416" s="8">
        <f>L1416*G1416</f>
        <v/>
      </c>
      <c r="P1416" s="9" t="n"/>
    </row>
    <row r="1417">
      <c r="A1417" s="11" t="inlineStr">
        <is>
          <t>Shed Weakness / Eliminar Fraqueza</t>
        </is>
      </c>
      <c r="B1417" s="11" t="inlineStr">
        <is>
          <t>Instant / Mágica Instantânea</t>
        </is>
      </c>
      <c r="C1417" s="11" t="inlineStr">
        <is>
          <t>Common / Comum</t>
        </is>
      </c>
      <c r="D1417" s="11" t="inlineStr">
        <is>
          <t>Target creature gets +2/+2 until end of turn. You may remove a -1/-1 counter from it. / A criatura alvo recebe +2/+2 até o final do turno. Você pode remover um marcador -1/-1 dela.</t>
        </is>
      </c>
      <c r="E1417" s="11" t="inlineStr">
        <is>
          <t>{G}</t>
        </is>
      </c>
      <c r="F1417" s="11" t="inlineStr">
        <is>
          <t>Verde</t>
        </is>
      </c>
      <c r="G1417" s="8" t="n">
        <v>0.03</v>
      </c>
      <c r="H1417" s="11" t="inlineStr">
        <is>
          <t>Amonkhet (AKH)</t>
        </is>
      </c>
      <c r="I1417" s="11" t="inlineStr">
        <is>
          <t>Não</t>
        </is>
      </c>
      <c r="J1417" s="11" t="n">
        <v>2017</v>
      </c>
      <c r="L1417" s="11" t="n">
        <v>1</v>
      </c>
      <c r="M1417" s="8">
        <f>L1417*G1417</f>
        <v/>
      </c>
      <c r="P1417" s="9" t="n"/>
    </row>
    <row r="1418">
      <c r="A1418" s="11" t="inlineStr">
        <is>
          <t>Greater Tanuki / Grande Tanuki</t>
        </is>
      </c>
      <c r="B1418" s="11" t="inlineStr">
        <is>
          <t>Enchantment Creature — Dog / Criatura Encantamento — Cão</t>
        </is>
      </c>
      <c r="C1418" s="11" t="inlineStr">
        <is>
          <t>Common / Comum</t>
        </is>
      </c>
      <c r="D1418" s="11"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8" s="11" t="inlineStr">
        <is>
          <t>{4}{G}{G}</t>
        </is>
      </c>
      <c r="F1418" s="11" t="inlineStr">
        <is>
          <t>Verde</t>
        </is>
      </c>
      <c r="G1418" s="8" t="n">
        <v>0.1</v>
      </c>
      <c r="H1418" s="11" t="inlineStr">
        <is>
          <t>Kamigawa: Neon Dynasty (NEO)</t>
        </is>
      </c>
      <c r="I1418" s="11" t="inlineStr">
        <is>
          <t>Não</t>
        </is>
      </c>
      <c r="J1418" s="11" t="n">
        <v>2022</v>
      </c>
      <c r="K1418" s="10" t="n">
        <v>46148</v>
      </c>
      <c r="L1418" s="11" t="n">
        <v>1</v>
      </c>
      <c r="M1418" s="8">
        <f>L1418*G1418</f>
        <v/>
      </c>
      <c r="P1418" s="9" t="n"/>
    </row>
    <row r="1419">
      <c r="A1419" s="11" t="inlineStr">
        <is>
          <t>Bearer of Memory / Portadora da Memória</t>
        </is>
      </c>
      <c r="B1419" s="11" t="inlineStr">
        <is>
          <t>Enchantment Creature — Human Monk / Criatura Encantamento — Humano Monge</t>
        </is>
      </c>
      <c r="C1419" s="11" t="inlineStr">
        <is>
          <t>Common / Comum</t>
        </is>
      </c>
      <c r="D1419" s="11" t="inlineStr">
        <is>
          <t>{5}{G}: Put a +1/+1 counter on target enchantment creature. It gains trample until end of turn. / {5}{G}: Coloque um marcador +1/+1 na criatura encantamento alvo. Ela ganha atropelar até o final do turno.</t>
        </is>
      </c>
      <c r="E1419" s="11" t="inlineStr">
        <is>
          <t>{2}{G}</t>
        </is>
      </c>
      <c r="F1419" s="11" t="inlineStr">
        <is>
          <t>Verde</t>
        </is>
      </c>
      <c r="G1419" s="8" t="n">
        <v>0.05</v>
      </c>
      <c r="H1419" s="11" t="inlineStr">
        <is>
          <t>Kamigawa: Neon Dynasty (NEO)</t>
        </is>
      </c>
      <c r="I1419" s="11" t="inlineStr">
        <is>
          <t>Não</t>
        </is>
      </c>
      <c r="J1419" s="11" t="n">
        <v>2022</v>
      </c>
      <c r="K1419" s="10" t="n">
        <v>46056</v>
      </c>
      <c r="L1419" s="11" t="n">
        <v>1</v>
      </c>
      <c r="M1419" s="8">
        <f>L1419*G1419</f>
        <v/>
      </c>
      <c r="P1419" s="9" t="n"/>
    </row>
    <row r="1420">
      <c r="A1420" s="11" t="inlineStr">
        <is>
          <t>Ionizar / Ionize</t>
        </is>
      </c>
      <c r="B1420" s="11" t="inlineStr">
        <is>
          <t>Mágica Instantânea / Instant</t>
        </is>
      </c>
      <c r="C1420" s="11" t="inlineStr">
        <is>
          <t>Rara / Rare</t>
        </is>
      </c>
      <c r="D1420" s="11" t="inlineStr">
        <is>
          <t>Anule a mágica alvo. Ionizar causa 2 pontos de dano ao controlador daquela mágica. / Counter target spell. Ionize deals 2 damage to that spell's controller.</t>
        </is>
      </c>
      <c r="E1420" s="11" t="inlineStr">
        <is>
          <t>{1}{U}{R}</t>
        </is>
      </c>
      <c r="F1420" s="11" t="inlineStr">
        <is>
          <t>Azul e Vermelho / Blue and Red</t>
        </is>
      </c>
      <c r="G1420" s="8" t="n">
        <v>0.55</v>
      </c>
      <c r="H1420" s="11" t="inlineStr">
        <is>
          <t>Guilds of Ravnica (GRN)</t>
        </is>
      </c>
      <c r="I1420" s="11" t="inlineStr">
        <is>
          <t>Não</t>
        </is>
      </c>
      <c r="J1420" s="11" t="n">
        <v>2018</v>
      </c>
      <c r="L1420" s="11" t="n">
        <v>1</v>
      </c>
      <c r="M1420" s="8">
        <f>L1420*G1420</f>
        <v/>
      </c>
      <c r="P1420" s="9" t="n"/>
    </row>
    <row r="1421">
      <c r="A1421" s="11" t="inlineStr">
        <is>
          <t>Estupefazer / Bedazzle // Embelezar / Biggify</t>
        </is>
      </c>
      <c r="B1421" s="11" t="inlineStr">
        <is>
          <t>Mágica Instantânea / Instant</t>
        </is>
      </c>
      <c r="C1421" s="11" t="inlineStr">
        <is>
          <t>Rara / Rare</t>
        </is>
      </c>
      <c r="D1421" s="11"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21" s="11" t="inlineStr">
        <is>
          <t>{4}{B}{R} // {R/G}{R/G}</t>
        </is>
      </c>
      <c r="F1421" s="11" t="inlineStr">
        <is>
          <t>Preto e Vermelho / Black and Red</t>
        </is>
      </c>
      <c r="G1421" s="8" t="n">
        <v>0.05</v>
      </c>
      <c r="H1421" s="11" t="inlineStr">
        <is>
          <t>Ravnica Allegiance (RNA)</t>
        </is>
      </c>
      <c r="I1421" s="11" t="inlineStr">
        <is>
          <t>Não</t>
        </is>
      </c>
      <c r="J1421" s="11" t="n">
        <v>2019</v>
      </c>
      <c r="L1421" s="11" t="n">
        <v>1</v>
      </c>
      <c r="M1421" s="8">
        <f>L1421*G1421</f>
        <v/>
      </c>
      <c r="P1421" s="9" t="n"/>
    </row>
    <row r="1422">
      <c r="A1422" s="11" t="inlineStr">
        <is>
          <t>Desarticulação / Connive // Descoberta / Discovery</t>
        </is>
      </c>
      <c r="B1422" s="11" t="inlineStr">
        <is>
          <t>Mágica Instantânea / Instant // Feitiço / Sorcery</t>
        </is>
      </c>
      <c r="C1422" s="11" t="inlineStr">
        <is>
          <t>Incomum / Uncommon</t>
        </is>
      </c>
      <c r="D1422" s="11"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22" s="11" t="inlineStr">
        <is>
          <t>{3}{U}{B} // {1}{U/B}</t>
        </is>
      </c>
      <c r="F1422" s="11" t="inlineStr">
        <is>
          <t>Azul e Preto / Blue and Black</t>
        </is>
      </c>
      <c r="G1422" s="8" t="n">
        <v>0.04</v>
      </c>
      <c r="H1422" s="11" t="inlineStr">
        <is>
          <t>Guilds of Ravnica (GRN)</t>
        </is>
      </c>
      <c r="I1422" s="11" t="inlineStr">
        <is>
          <t>Não</t>
        </is>
      </c>
      <c r="J1422" s="11" t="n">
        <v>2018</v>
      </c>
      <c r="L1422" s="11" t="n">
        <v>4</v>
      </c>
      <c r="M1422" s="8">
        <f>L1422*G1422</f>
        <v/>
      </c>
      <c r="P1422" s="9" t="n"/>
    </row>
    <row r="1423">
      <c r="A1423" s="11" t="inlineStr">
        <is>
          <t>Akoum Hellhound / Sabujo Infernal de Akoum</t>
        </is>
      </c>
      <c r="B1423" s="11" t="inlineStr">
        <is>
          <t>Creature — Elemental Dog / Criatura — Elemental Cão</t>
        </is>
      </c>
      <c r="C1423" s="11" t="inlineStr">
        <is>
          <t>Common / Comum</t>
        </is>
      </c>
      <c r="D1423" s="11" t="inlineStr">
        <is>
          <t>Landfall — Whenever a land you control enters, this creature gets +2/+2 until end of turn. / Aterragem — Toda vez que um terreno entra no campo de batalha sob seu controle, Sabujo Infernal de Akoum recebe +2/+2 até o final do turno.</t>
        </is>
      </c>
      <c r="E1423" s="11" t="inlineStr">
        <is>
          <t>{R}</t>
        </is>
      </c>
      <c r="F1423" s="11" t="inlineStr">
        <is>
          <t>Vermelho</t>
        </is>
      </c>
      <c r="G1423" s="8" t="n">
        <v>0.13</v>
      </c>
      <c r="H1423" s="11" t="inlineStr">
        <is>
          <t>Zendikar Rising (ZNR)</t>
        </is>
      </c>
      <c r="I1423" s="11" t="inlineStr">
        <is>
          <t>Não</t>
        </is>
      </c>
      <c r="J1423" s="11" t="n">
        <v>2020</v>
      </c>
      <c r="K1423" s="11" t="inlineStr">
        <is>
          <t>0/1</t>
        </is>
      </c>
      <c r="L1423" s="11" t="n">
        <v>1</v>
      </c>
      <c r="M1423" s="8">
        <f>L1423*G1423</f>
        <v/>
      </c>
      <c r="P1423" s="9" t="n"/>
    </row>
    <row r="1424">
      <c r="A1424" s="11" t="inlineStr">
        <is>
          <t>Skyclave Geopede / Geopede do Enclave Celeste</t>
        </is>
      </c>
      <c r="B1424" s="11" t="inlineStr">
        <is>
          <t>Creature — Insect / Criatura — Inseto</t>
        </is>
      </c>
      <c r="C1424" s="11" t="inlineStr">
        <is>
          <t>Uncommon / Incomum</t>
        </is>
      </c>
      <c r="D1424" s="11" t="inlineStr">
        <is>
          <t>Trample Landfall — Whenever a land you control enters, this creature gets +2/+2 until end of turn. / Atropelar Aterragem — Toda vez que um terreno entra no campo de batalha sob seu controle, Geopede do Enclave Celeste recebe +2/+2 até o final do turno.</t>
        </is>
      </c>
      <c r="E1424" s="11" t="inlineStr">
        <is>
          <t>{2}{R}</t>
        </is>
      </c>
      <c r="F1424" s="11" t="inlineStr">
        <is>
          <t>Vermelho</t>
        </is>
      </c>
      <c r="G1424" s="8" t="n">
        <v>0.08</v>
      </c>
      <c r="H1424" s="11" t="inlineStr">
        <is>
          <t>Zendikar Rising (ZNR)</t>
        </is>
      </c>
      <c r="I1424" s="11" t="inlineStr">
        <is>
          <t>Não</t>
        </is>
      </c>
      <c r="J1424" s="11" t="n">
        <v>2020</v>
      </c>
      <c r="K1424" s="10" t="n">
        <v>46025</v>
      </c>
      <c r="L1424" s="11" t="n">
        <v>1</v>
      </c>
      <c r="M1424" s="8">
        <f>L1424*G1424</f>
        <v/>
      </c>
      <c r="P1424" s="9" t="n"/>
    </row>
    <row r="1425">
      <c r="A1425" s="11" t="inlineStr">
        <is>
          <t>Maw of Kozilek / Gorja de Kozilek</t>
        </is>
      </c>
      <c r="B1425" s="11" t="inlineStr">
        <is>
          <t>Creature — Eldrazi Drone / Criatura — Eldrazi Zangão</t>
        </is>
      </c>
      <c r="C1425" s="11" t="inlineStr">
        <is>
          <t>Common / Comum</t>
        </is>
      </c>
      <c r="D1425" s="11" t="inlineStr">
        <is>
          <t>Devoid (This card has no color.) {C}: This creature gets +2/-2 until end of turn. ({C} represents colorless mana.) / Desprovido (Este card não tem cor.) {C}: Gorja de Kozilek recebe +2/-2 até o final do turno. ({C} representa mana incolor.)</t>
        </is>
      </c>
      <c r="E1425" s="11" t="inlineStr">
        <is>
          <t>{3}{R}</t>
        </is>
      </c>
      <c r="F1425" s="11" t="inlineStr">
        <is>
          <t>Vermelho</t>
        </is>
      </c>
      <c r="G1425" s="8" t="n">
        <v>0.06</v>
      </c>
      <c r="H1425" s="11" t="inlineStr">
        <is>
          <t>Oath of the Gatewatch (OGW)</t>
        </is>
      </c>
      <c r="I1425" s="11" t="inlineStr">
        <is>
          <t>Não</t>
        </is>
      </c>
      <c r="J1425" s="11" t="n">
        <v>2016</v>
      </c>
      <c r="K1425" s="10" t="n">
        <v>46144</v>
      </c>
      <c r="L1425" s="11" t="n">
        <v>12</v>
      </c>
      <c r="M1425" s="8">
        <f>L1425*G1425</f>
        <v/>
      </c>
      <c r="P1425" s="9" t="n"/>
    </row>
    <row r="1426">
      <c r="A1426" s="11" t="inlineStr">
        <is>
          <t>Eldrazi Aggressor / Agressor Eldrazi</t>
        </is>
      </c>
      <c r="B1426" s="11" t="inlineStr">
        <is>
          <t>Creature — Eldrazi Drone / Criatura — Eldrazi Zangão</t>
        </is>
      </c>
      <c r="C1426" s="11" t="inlineStr">
        <is>
          <t>Common / Comum</t>
        </is>
      </c>
      <c r="D1426" s="11" t="inlineStr">
        <is>
          <t>Devoid (This card has no color.) This creature has haste as long as you control another colorless creature. / Desprovido (Este card não tem cor.) Agressor Eldrazi terá ímpeto enquanto você controlar outra criatura incolor.</t>
        </is>
      </c>
      <c r="E1426" s="11" t="inlineStr">
        <is>
          <t>{2}{R}</t>
        </is>
      </c>
      <c r="F1426" s="11" t="inlineStr">
        <is>
          <t>Vermelho</t>
        </is>
      </c>
      <c r="G1426" s="8" t="n">
        <v>0.04</v>
      </c>
      <c r="H1426" s="11" t="inlineStr">
        <is>
          <t>Oath of the Gatewatch (OGW)</t>
        </is>
      </c>
      <c r="I1426" s="11" t="inlineStr">
        <is>
          <t>Não</t>
        </is>
      </c>
      <c r="J1426" s="11" t="n">
        <v>2016</v>
      </c>
      <c r="K1426" s="10" t="n">
        <v>46083</v>
      </c>
      <c r="L1426" s="11" t="n">
        <v>1</v>
      </c>
      <c r="M1426" s="8">
        <f>L1426*G1426</f>
        <v/>
      </c>
      <c r="P1426" s="9" t="n"/>
    </row>
    <row r="1427">
      <c r="A1427" s="11" t="inlineStr">
        <is>
          <t>Fire Elemental / Elemental do Fogo</t>
        </is>
      </c>
      <c r="B1427" s="11" t="inlineStr">
        <is>
          <t>Creature — Elemental / Criatura — Elemental</t>
        </is>
      </c>
      <c r="C1427" s="11" t="inlineStr">
        <is>
          <t>Common / Comum</t>
        </is>
      </c>
      <c r="E1427" s="11" t="inlineStr">
        <is>
          <t>{3}{R}{R}</t>
        </is>
      </c>
      <c r="F1427" s="11" t="inlineStr">
        <is>
          <t>Vermelho</t>
        </is>
      </c>
      <c r="G1427" s="8" t="n">
        <v>0.03</v>
      </c>
      <c r="H1427" s="11" t="inlineStr">
        <is>
          <t>Dominaria (DOM)</t>
        </is>
      </c>
      <c r="I1427" s="11" t="inlineStr">
        <is>
          <t>Não</t>
        </is>
      </c>
      <c r="J1427" s="11" t="n">
        <v>2018</v>
      </c>
      <c r="K1427" s="10" t="n">
        <v>46117</v>
      </c>
      <c r="L1427" s="11" t="n">
        <v>2</v>
      </c>
      <c r="M1427" s="8">
        <f>L1427*G1427</f>
        <v/>
      </c>
      <c r="P1427" s="9" t="n"/>
    </row>
    <row r="1428">
      <c r="A1428" s="11" t="inlineStr">
        <is>
          <t>Fling / Arremessar</t>
        </is>
      </c>
      <c r="B1428" s="11" t="inlineStr">
        <is>
          <t>Instant / Mágica Instantânea</t>
        </is>
      </c>
      <c r="C1428" s="11" t="inlineStr">
        <is>
          <t>Common / Comum</t>
        </is>
      </c>
      <c r="D1428" s="11"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8" s="11" t="inlineStr">
        <is>
          <t>{1}{R}</t>
        </is>
      </c>
      <c r="F1428" s="11" t="inlineStr">
        <is>
          <t>Vermelho</t>
        </is>
      </c>
      <c r="G1428" s="8" t="n">
        <v>0.5</v>
      </c>
      <c r="H1428" s="11" t="inlineStr">
        <is>
          <t>Throne of Eldraine (ELD)</t>
        </is>
      </c>
      <c r="I1428" s="11" t="inlineStr">
        <is>
          <t>Sim</t>
        </is>
      </c>
      <c r="J1428" s="11" t="n">
        <v>2019</v>
      </c>
      <c r="L1428" s="11" t="n">
        <v>2</v>
      </c>
      <c r="M1428" s="8">
        <f>L1428*G1428</f>
        <v/>
      </c>
      <c r="P1428" s="9" t="n"/>
    </row>
    <row r="1429">
      <c r="A1429" s="11" t="inlineStr">
        <is>
          <t>Blindblast / Explosão Cegante</t>
        </is>
      </c>
      <c r="B1429" s="11" t="inlineStr">
        <is>
          <t>Instant / Mágica Instantânea</t>
        </is>
      </c>
      <c r="C1429" s="11" t="inlineStr">
        <is>
          <t>Common / Comum</t>
        </is>
      </c>
      <c r="D1429" s="11" t="inlineStr">
        <is>
          <t>Blindblast deals 1 damage to target creature. That creature can't block this turn. Draw a card. / Explosão Cegante causa 1 ponto de dano à criatura alvo. Aquela criatura não pode bloquear neste turno. Compre um card.</t>
        </is>
      </c>
      <c r="E1429" s="11" t="inlineStr">
        <is>
          <t>{2}{R}</t>
        </is>
      </c>
      <c r="F1429" s="11" t="inlineStr">
        <is>
          <t>Vermelho</t>
        </is>
      </c>
      <c r="G1429" s="8" t="n">
        <v>0.03</v>
      </c>
      <c r="H1429" s="11" t="inlineStr">
        <is>
          <t>War of the Spark (WAR)</t>
        </is>
      </c>
      <c r="I1429" s="11" t="inlineStr">
        <is>
          <t>Não</t>
        </is>
      </c>
      <c r="J1429" s="11" t="n">
        <v>2019</v>
      </c>
      <c r="L1429" s="11" t="n">
        <v>2</v>
      </c>
      <c r="M1429" s="8">
        <f>L1429*G1429</f>
        <v/>
      </c>
      <c r="P1429" s="9" t="n"/>
    </row>
    <row r="1430">
      <c r="A1430" s="11" t="inlineStr">
        <is>
          <t>Boulderfall / Queda-de-pedra</t>
        </is>
      </c>
      <c r="B1430" s="11" t="inlineStr">
        <is>
          <t>Instant / Mágica Instantânea</t>
        </is>
      </c>
      <c r="C1430" s="11" t="inlineStr">
        <is>
          <t>Common / Comum</t>
        </is>
      </c>
      <c r="D1430" s="11" t="inlineStr">
        <is>
          <t>Boulderfall deals 5 damage divided as you choose among any number of targets. / Queda-de-pedra causa 5 pontos de dano distribuídos à sua escolha entre qualquer número de criaturas e/ou jogadores alvo.</t>
        </is>
      </c>
      <c r="E1430" s="11" t="inlineStr">
        <is>
          <t>{6}{R}{R}</t>
        </is>
      </c>
      <c r="F1430" s="11" t="inlineStr">
        <is>
          <t>Vermelho</t>
        </is>
      </c>
      <c r="G1430" s="8" t="n">
        <v>0.05</v>
      </c>
      <c r="H1430" s="11" t="inlineStr">
        <is>
          <t>Theros (THS)</t>
        </is>
      </c>
      <c r="I1430" s="11" t="inlineStr">
        <is>
          <t>Não</t>
        </is>
      </c>
      <c r="J1430" s="11" t="n">
        <v>2013</v>
      </c>
      <c r="L1430" s="11" t="n">
        <v>1</v>
      </c>
      <c r="M1430" s="8">
        <f>L1430*G1430</f>
        <v/>
      </c>
      <c r="P1430" s="9" t="n"/>
    </row>
    <row r="1431">
      <c r="A1431" s="11" t="inlineStr">
        <is>
          <t>Magma Jet</t>
        </is>
      </c>
      <c r="B1431" s="11" t="inlineStr">
        <is>
          <t>Instant</t>
        </is>
      </c>
      <c r="C1431" s="11" t="inlineStr">
        <is>
          <t>Common</t>
        </is>
      </c>
      <c r="D1431" s="11" t="inlineStr">
        <is>
          <t>Magma Jet deals 2 damage to target creature or player. Scry 2. (To scry 2, look at the top two cards of your library, then put any number of them on the bottom of your library and the rest on top in any order.)</t>
        </is>
      </c>
      <c r="E1431" s="11" t="inlineStr">
        <is>
          <t>{1}{R}</t>
        </is>
      </c>
      <c r="F1431" s="11" t="inlineStr">
        <is>
          <t>Red</t>
        </is>
      </c>
      <c r="G1431" s="8" t="n">
        <v>0.15</v>
      </c>
      <c r="H1431" s="11" t="inlineStr">
        <is>
          <t xml:space="preserve">Duel Decks: Jace vs. Chandra </t>
        </is>
      </c>
      <c r="I1431" s="11" t="inlineStr">
        <is>
          <t>No</t>
        </is>
      </c>
      <c r="J1431" s="11" t="n">
        <v>2014</v>
      </c>
      <c r="L1431" s="11" t="n">
        <v>4</v>
      </c>
      <c r="M1431" s="8">
        <f>L1431*G1431</f>
        <v/>
      </c>
      <c r="P1431" s="9" t="n"/>
    </row>
    <row r="1432">
      <c r="A1432" s="11" t="inlineStr">
        <is>
          <t>Ancient Grudge / Rancor Antigo</t>
        </is>
      </c>
      <c r="B1432" s="11" t="inlineStr">
        <is>
          <t>Instant / Mágica Instantânea</t>
        </is>
      </c>
      <c r="C1432" s="11" t="inlineStr">
        <is>
          <t>Common / Comum</t>
        </is>
      </c>
      <c r="D1432" s="11" t="inlineStr">
        <is>
          <t>Destroy target artifact. Flashback {G} (You may cast this card from your graveyard for its flashback cost. Then exile it.) / Destrua o artefato alvo. Recapitular {G} (Você pode conjurar este card de seu cemitério pagando seu custo de recapitular. Depois, exile-o.)</t>
        </is>
      </c>
      <c r="E1432" s="11" t="inlineStr">
        <is>
          <t>{1}{R}</t>
        </is>
      </c>
      <c r="F1432" s="11" t="inlineStr">
        <is>
          <t>Vermelho</t>
        </is>
      </c>
      <c r="G1432" s="8" t="n">
        <v>0.3</v>
      </c>
      <c r="H1432" s="11" t="inlineStr">
        <is>
          <t>Time Spiral Remastered (TSR)</t>
        </is>
      </c>
      <c r="I1432" s="11" t="inlineStr">
        <is>
          <t>Não</t>
        </is>
      </c>
      <c r="J1432" s="11" t="n">
        <v>2020</v>
      </c>
      <c r="L1432" s="11" t="n">
        <v>2</v>
      </c>
      <c r="M1432" s="8">
        <f>L1432*G1432</f>
        <v/>
      </c>
      <c r="P1432" s="9" t="n"/>
    </row>
    <row r="1433">
      <c r="A1433" s="11" t="inlineStr">
        <is>
          <t>Scorching Dragonfire / Fogo Dracônico Escaldante</t>
        </is>
      </c>
      <c r="B1433" s="11" t="inlineStr">
        <is>
          <t>Instant / Mágica Instantânea</t>
        </is>
      </c>
      <c r="C1433" s="11" t="inlineStr">
        <is>
          <t>Common / Comum</t>
        </is>
      </c>
      <c r="D1433" s="11"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33" s="11" t="inlineStr">
        <is>
          <t>{1}{R}</t>
        </is>
      </c>
      <c r="F1433" s="11" t="inlineStr">
        <is>
          <t>Vermelho</t>
        </is>
      </c>
      <c r="G1433" s="8" t="n">
        <v>0.06</v>
      </c>
      <c r="H1433" s="11" t="inlineStr">
        <is>
          <t>Throne of Eldraine (ELD)</t>
        </is>
      </c>
      <c r="I1433" s="11" t="inlineStr">
        <is>
          <t>Não</t>
        </is>
      </c>
      <c r="J1433" s="11" t="n">
        <v>2019</v>
      </c>
      <c r="L1433" s="11" t="n">
        <v>1</v>
      </c>
      <c r="M1433" s="8">
        <f>L1433*G1433</f>
        <v/>
      </c>
      <c r="P1433" s="9" t="n"/>
    </row>
    <row r="1434">
      <c r="A1434" s="11" t="inlineStr">
        <is>
          <t>Electrickery / Eletrotruque</t>
        </is>
      </c>
      <c r="B1434" s="11" t="inlineStr">
        <is>
          <t>Instant / Mágica Instantânea</t>
        </is>
      </c>
      <c r="C1434" s="11" t="inlineStr">
        <is>
          <t>Common / Comum</t>
        </is>
      </c>
      <c r="D1434" s="11"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34" s="11" t="inlineStr">
        <is>
          <t>{R}</t>
        </is>
      </c>
      <c r="F1434" s="11" t="inlineStr">
        <is>
          <t>Vermelho</t>
        </is>
      </c>
      <c r="G1434" s="8" t="n">
        <v>0.38</v>
      </c>
      <c r="H1434" s="11" t="inlineStr">
        <is>
          <t>Return to Ravnica (RTR)</t>
        </is>
      </c>
      <c r="I1434" s="11" t="inlineStr">
        <is>
          <t>Não</t>
        </is>
      </c>
      <c r="J1434" s="11" t="n">
        <v>2012</v>
      </c>
      <c r="L1434" s="11" t="n">
        <v>4</v>
      </c>
      <c r="M1434" s="8">
        <f>L1434*G1434</f>
        <v/>
      </c>
      <c r="P1434" s="9" t="n"/>
    </row>
    <row r="1435">
      <c r="A1435" s="11" t="inlineStr">
        <is>
          <t>Galvanic Blast / Explosão Galvânica</t>
        </is>
      </c>
      <c r="B1435" s="11" t="inlineStr">
        <is>
          <t>Instant / Mágica Instantânea</t>
        </is>
      </c>
      <c r="C1435" s="11" t="inlineStr">
        <is>
          <t>Common / Comum</t>
        </is>
      </c>
      <c r="D1435" s="11"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35" s="11" t="inlineStr">
        <is>
          <t>{R}</t>
        </is>
      </c>
      <c r="F1435" s="11" t="inlineStr">
        <is>
          <t>Vermelho</t>
        </is>
      </c>
      <c r="G1435" s="8" t="n">
        <v>12.26</v>
      </c>
      <c r="H1435" s="11" t="inlineStr">
        <is>
          <t>Scars of Mirrodin (SOM)</t>
        </is>
      </c>
      <c r="I1435" s="11" t="inlineStr">
        <is>
          <t>Não</t>
        </is>
      </c>
      <c r="J1435" s="11" t="n">
        <v>2010</v>
      </c>
      <c r="L1435" s="11" t="n">
        <v>4</v>
      </c>
      <c r="M1435" s="8">
        <f>L1435*G1435</f>
        <v/>
      </c>
      <c r="P1435" s="9" t="n"/>
    </row>
    <row r="1436">
      <c r="A1436" s="11" t="inlineStr">
        <is>
          <t>Abrade / Abrasão</t>
        </is>
      </c>
      <c r="B1436" s="11" t="inlineStr">
        <is>
          <t>Instant / Mágica Instantânea</t>
        </is>
      </c>
      <c r="C1436" s="11" t="inlineStr">
        <is>
          <t>Common / Comum</t>
        </is>
      </c>
      <c r="D1436" s="11" t="inlineStr">
        <is>
          <t>Choose one — • Abrade deals 3 damage to target creature. • Destroy target artifact. / Escolha um — • Abrasão causa 3 pontos de dano à criatura alvo. • Destrua o artefato alvo.</t>
        </is>
      </c>
      <c r="E1436" s="11" t="inlineStr">
        <is>
          <t>{1}{R}</t>
        </is>
      </c>
      <c r="F1436" s="11" t="inlineStr">
        <is>
          <t>Vermelho</t>
        </is>
      </c>
      <c r="G1436" s="8" t="n">
        <v>0.3</v>
      </c>
      <c r="H1436" s="11" t="inlineStr">
        <is>
          <t>Innistrad: Crimson Vow (VOW)</t>
        </is>
      </c>
      <c r="I1436" s="11" t="inlineStr">
        <is>
          <t>Não</t>
        </is>
      </c>
      <c r="J1436" s="11" t="n">
        <v>2021</v>
      </c>
      <c r="L1436" s="11" t="n">
        <v>3</v>
      </c>
      <c r="M1436" s="8">
        <f>L1436*G1436</f>
        <v/>
      </c>
      <c r="P1436" s="9" t="n"/>
    </row>
    <row r="1437">
      <c r="A1437" s="11" t="inlineStr">
        <is>
          <t>Mardu Warshrieker / Bradador de Guerra Mardu</t>
        </is>
      </c>
      <c r="B1437" s="11" t="inlineStr">
        <is>
          <t>Creature — Orc Shaman / Criatura — Orc Xamã</t>
        </is>
      </c>
      <c r="C1437" s="11" t="inlineStr">
        <is>
          <t>Common / Comum</t>
        </is>
      </c>
      <c r="D1437" s="11" t="inlineStr">
        <is>
          <t>Raid — When this creature enters, if you attacked this turn, add {R}{W}{B}. / Raide — Quando Bradador de Guerra Mardu entra no campo de batalha, se você atacou com uma criatura neste turno, adicione {R}{W}{B} à sua reserva de mana.</t>
        </is>
      </c>
      <c r="E1437" s="11" t="inlineStr">
        <is>
          <t>{3}{R}</t>
        </is>
      </c>
      <c r="F1437" s="11" t="inlineStr">
        <is>
          <t>Vermelho</t>
        </is>
      </c>
      <c r="G1437" s="8" t="n">
        <v>0.03</v>
      </c>
      <c r="H1437" s="11" t="inlineStr">
        <is>
          <t>Khans of Tarkir (KTK)</t>
        </is>
      </c>
      <c r="I1437" s="11" t="inlineStr">
        <is>
          <t>Não</t>
        </is>
      </c>
      <c r="J1437" s="11" t="n">
        <v>2014</v>
      </c>
      <c r="K1437" s="10" t="n">
        <v>46084</v>
      </c>
      <c r="L1437" s="11" t="n">
        <v>3</v>
      </c>
      <c r="M1437" s="8">
        <f>L1437*G1437</f>
        <v/>
      </c>
      <c r="P1437" s="9" t="n"/>
    </row>
    <row r="1438">
      <c r="A1438" s="11" t="inlineStr">
        <is>
          <t>Tuktuk Rubblefort / Forte dos Escombros Tuktuk</t>
        </is>
      </c>
      <c r="B1438" s="11" t="inlineStr">
        <is>
          <t>Creature — Wall / Criatura — Barreira</t>
        </is>
      </c>
      <c r="C1438" s="11" t="inlineStr">
        <is>
          <t>Common / Comum</t>
        </is>
      </c>
      <c r="D1438" s="11" t="inlineStr">
        <is>
          <t>Defender, reach Creatures you control have haste. / Defensor, alcance As criaturas que você controla têm ímpeto.</t>
        </is>
      </c>
      <c r="E1438" s="11" t="inlineStr">
        <is>
          <t>{2}{R}</t>
        </is>
      </c>
      <c r="F1438" s="11" t="inlineStr">
        <is>
          <t>Vermelho</t>
        </is>
      </c>
      <c r="G1438" s="8" t="n">
        <v>0.25</v>
      </c>
      <c r="H1438" s="11" t="inlineStr">
        <is>
          <t>Zendikar Rising (ZNR)</t>
        </is>
      </c>
      <c r="I1438" s="11" t="inlineStr">
        <is>
          <t>Não</t>
        </is>
      </c>
      <c r="J1438" s="11" t="n">
        <v>2020</v>
      </c>
      <c r="K1438" s="11" t="inlineStr">
        <is>
          <t>0/3</t>
        </is>
      </c>
      <c r="L1438" s="11" t="n">
        <v>2</v>
      </c>
      <c r="M1438" s="8">
        <f>L1438*G1438</f>
        <v/>
      </c>
      <c r="P1438" s="9" t="n"/>
    </row>
    <row r="1439">
      <c r="A1439" s="11" t="inlineStr">
        <is>
          <t>Raging Kronch / Kronch Enfurecido</t>
        </is>
      </c>
      <c r="B1439" s="11" t="inlineStr">
        <is>
          <t>Creature — Beast / Criatura — Besta</t>
        </is>
      </c>
      <c r="C1439" s="11" t="inlineStr">
        <is>
          <t>Common / Comum</t>
        </is>
      </c>
      <c r="D1439" s="11" t="inlineStr">
        <is>
          <t>This creature can't attack alone. / Kronch Enfurecido não pode atacar sozinho.</t>
        </is>
      </c>
      <c r="E1439" s="11" t="inlineStr">
        <is>
          <t>{2}{R}</t>
        </is>
      </c>
      <c r="F1439" s="11" t="inlineStr">
        <is>
          <t>Vermelho</t>
        </is>
      </c>
      <c r="G1439" s="8" t="n">
        <v>0.03</v>
      </c>
      <c r="H1439" s="11" t="inlineStr">
        <is>
          <t>War of the Spark (WAR)</t>
        </is>
      </c>
      <c r="I1439" s="11" t="inlineStr">
        <is>
          <t>Não</t>
        </is>
      </c>
      <c r="J1439" s="11" t="n">
        <v>2019</v>
      </c>
      <c r="K1439" s="10" t="n">
        <v>46085</v>
      </c>
      <c r="L1439" s="11" t="n">
        <v>3</v>
      </c>
      <c r="M1439" s="8">
        <f>L1439*G1439</f>
        <v/>
      </c>
      <c r="P1439" s="9" t="n"/>
    </row>
    <row r="1440">
      <c r="A1440" s="11" t="inlineStr">
        <is>
          <t>Hyena Pack / Alcateia de Hienas</t>
        </is>
      </c>
      <c r="B1440" s="11" t="inlineStr">
        <is>
          <t>Creature — Hyena / Criatura — Hiena</t>
        </is>
      </c>
      <c r="C1440" s="11" t="inlineStr">
        <is>
          <t>Common / Comum</t>
        </is>
      </c>
      <c r="E1440" s="11" t="inlineStr">
        <is>
          <t>{2}{R}{R}</t>
        </is>
      </c>
      <c r="F1440" s="11" t="inlineStr">
        <is>
          <t>Vermelho</t>
        </is>
      </c>
      <c r="G1440" s="8" t="n">
        <v>0.03</v>
      </c>
      <c r="H1440" s="11" t="inlineStr">
        <is>
          <t>Amonkhet (AKH)</t>
        </is>
      </c>
      <c r="I1440" s="11" t="inlineStr">
        <is>
          <t>Não</t>
        </is>
      </c>
      <c r="J1440" s="11" t="n">
        <v>2017</v>
      </c>
      <c r="K1440" s="10" t="n">
        <v>46115</v>
      </c>
      <c r="L1440" s="11" t="n">
        <v>4</v>
      </c>
      <c r="M1440" s="8">
        <f>L1440*G1440</f>
        <v/>
      </c>
      <c r="P1440" s="9" t="n"/>
    </row>
    <row r="1441">
      <c r="A1441" s="11" t="inlineStr">
        <is>
          <t>Crimson Fleet Commodore / Comodoro da Frota Carmesim</t>
        </is>
      </c>
      <c r="B1441" s="11" t="inlineStr">
        <is>
          <t>Creature — Ogre Pirate / Criatura — Ogro Pirata</t>
        </is>
      </c>
      <c r="C1441" s="11" t="inlineStr">
        <is>
          <t>Common / Comum</t>
        </is>
      </c>
      <c r="D1441" s="11" t="inlineStr">
        <is>
          <t>Trample When this creature enters, you become the monarch. / Atropelar Quando Comodoro da Frota Carmesim entra no campo de batalha, você se torna o monarca.</t>
        </is>
      </c>
      <c r="E1441" s="11" t="inlineStr">
        <is>
          <t>{3}{R}</t>
        </is>
      </c>
      <c r="F1441" s="11" t="inlineStr">
        <is>
          <t>Vermelho</t>
        </is>
      </c>
      <c r="G1441" s="8" t="n">
        <v>0.49</v>
      </c>
      <c r="H1441" s="11" t="inlineStr">
        <is>
          <t>Commander Legends (CMR)</t>
        </is>
      </c>
      <c r="I1441" s="11" t="inlineStr">
        <is>
          <t>Não</t>
        </is>
      </c>
      <c r="J1441" s="11" t="n">
        <v>2020</v>
      </c>
      <c r="K1441" s="10" t="n">
        <v>46058</v>
      </c>
      <c r="L1441" s="11" t="n">
        <v>4</v>
      </c>
      <c r="M1441" s="8">
        <f>L1441*G1441</f>
        <v/>
      </c>
      <c r="P1441" s="9" t="n"/>
    </row>
    <row r="1442">
      <c r="A1442" s="11" t="inlineStr">
        <is>
          <t>Lay of the Land / Configuração do Terreno</t>
        </is>
      </c>
      <c r="B1442" s="11" t="inlineStr">
        <is>
          <t>Sorcery / Feitiço</t>
        </is>
      </c>
      <c r="C1442" s="11" t="inlineStr">
        <is>
          <t>Common / Comum</t>
        </is>
      </c>
      <c r="D1442" s="11" t="inlineStr">
        <is>
          <t>Search your library for a basic land card, reveal it, put it into your hand, then shuffle. / Procure um card de terreno básico em seu grimório, revele-o, coloque-o em sua mão e, depois, embaralhe seu grimório.</t>
        </is>
      </c>
      <c r="E1442" s="11" t="inlineStr">
        <is>
          <t>{G}</t>
        </is>
      </c>
      <c r="F1442" s="11" t="inlineStr">
        <is>
          <t>Verde</t>
        </is>
      </c>
      <c r="G1442" s="8" t="n">
        <v>0.08</v>
      </c>
      <c r="H1442" s="11" t="inlineStr">
        <is>
          <t>Magic 2014 (M14)</t>
        </is>
      </c>
      <c r="I1442" s="11" t="inlineStr">
        <is>
          <t>Não</t>
        </is>
      </c>
      <c r="J1442" s="11" t="n">
        <v>2013</v>
      </c>
      <c r="L1442" s="11" t="n">
        <v>2</v>
      </c>
      <c r="M1442" s="8">
        <f>L1442*G1442</f>
        <v/>
      </c>
      <c r="P1442" s="9" t="n"/>
    </row>
    <row r="1443">
      <c r="A1443" s="11" t="inlineStr">
        <is>
          <t>Defiant Khenra / Khenra Audaz</t>
        </is>
      </c>
      <c r="B1443" s="11" t="inlineStr">
        <is>
          <t>Creature — Jackal Warrior / Criatura — Chacal Guerreiro</t>
        </is>
      </c>
      <c r="C1443" s="11" t="inlineStr">
        <is>
          <t>Common / Comum</t>
        </is>
      </c>
      <c r="E1443" s="11" t="inlineStr">
        <is>
          <t>{1}{R}</t>
        </is>
      </c>
      <c r="F1443" s="11" t="inlineStr">
        <is>
          <t>Vermelho</t>
        </is>
      </c>
      <c r="G1443" s="8" t="n">
        <v>0.03</v>
      </c>
      <c r="H1443" s="11" t="inlineStr">
        <is>
          <t>Hour of Devastation (HOU)</t>
        </is>
      </c>
      <c r="I1443" s="11" t="inlineStr">
        <is>
          <t>Não</t>
        </is>
      </c>
      <c r="J1443" s="11" t="n">
        <v>2017</v>
      </c>
      <c r="K1443" s="10" t="n">
        <v>46055</v>
      </c>
      <c r="L1443" s="11" t="n">
        <v>3</v>
      </c>
      <c r="M1443" s="8">
        <f>L1443*G1443</f>
        <v/>
      </c>
      <c r="P1443" s="9" t="n"/>
    </row>
    <row r="1444">
      <c r="A1444" s="11" t="inlineStr">
        <is>
          <t>Stampeding Horncrest / Cristocórneo Desembestado</t>
        </is>
      </c>
      <c r="B1444" s="11" t="inlineStr">
        <is>
          <t>Creature — Dinosaur / Criatura — Dinossauro</t>
        </is>
      </c>
      <c r="C1444" s="11" t="inlineStr">
        <is>
          <t>Common / Comum</t>
        </is>
      </c>
      <c r="D1444" s="11" t="inlineStr">
        <is>
          <t>This creature has haste as long as you control another Dinosaur. / Cristocórneo Desembestado terá ímpeto enquanto você controlar outro Dinossauro.</t>
        </is>
      </c>
      <c r="E1444" s="11" t="inlineStr">
        <is>
          <t>{4}{R}</t>
        </is>
      </c>
      <c r="F1444" s="11" t="inlineStr">
        <is>
          <t>Vermelho</t>
        </is>
      </c>
      <c r="G1444" s="8" t="n">
        <v>0.03</v>
      </c>
      <c r="H1444" s="11" t="inlineStr">
        <is>
          <t>Rivals of Ixalan (RIX)</t>
        </is>
      </c>
      <c r="I1444" s="11" t="inlineStr">
        <is>
          <t>Não</t>
        </is>
      </c>
      <c r="J1444" s="11" t="n">
        <v>2018</v>
      </c>
      <c r="K1444" s="10" t="n">
        <v>46116</v>
      </c>
      <c r="L1444" s="11" t="n">
        <v>4</v>
      </c>
      <c r="M1444" s="8">
        <f>L1444*G1444</f>
        <v/>
      </c>
      <c r="P1444" s="9" t="n"/>
    </row>
    <row r="1445">
      <c r="A1445" s="11" t="inlineStr">
        <is>
          <t>Lathnu Sailback / Dorsoveleiro de Lathnu</t>
        </is>
      </c>
      <c r="B1445" s="11" t="inlineStr">
        <is>
          <t>Creature — Lizard / Criatura — Lagarto</t>
        </is>
      </c>
      <c r="C1445" s="11" t="inlineStr">
        <is>
          <t>Common / Comum</t>
        </is>
      </c>
      <c r="E1445" s="11" t="inlineStr">
        <is>
          <t>{4}{R}</t>
        </is>
      </c>
      <c r="F1445" s="11" t="inlineStr">
        <is>
          <t>Vermelho</t>
        </is>
      </c>
      <c r="G1445" s="8" t="n">
        <v>0.03</v>
      </c>
      <c r="H1445" s="11" t="inlineStr">
        <is>
          <t>Aether Revolt (AER)</t>
        </is>
      </c>
      <c r="I1445" s="11" t="inlineStr">
        <is>
          <t>Não</t>
        </is>
      </c>
      <c r="J1445" s="11" t="n">
        <v>2017</v>
      </c>
      <c r="K1445" s="10" t="n">
        <v>46117</v>
      </c>
      <c r="L1445" s="11" t="n">
        <v>5</v>
      </c>
      <c r="M1445" s="8">
        <f>L1445*G1445</f>
        <v/>
      </c>
      <c r="P1445" s="9" t="n"/>
    </row>
    <row r="1446">
      <c r="A1446" s="11" t="inlineStr">
        <is>
          <t>Burn the Accursed / Queimar os Amaldiçoados</t>
        </is>
      </c>
      <c r="B1446" s="11" t="inlineStr">
        <is>
          <t>Instant / Mágica Instantânea</t>
        </is>
      </c>
      <c r="C1446" s="11" t="inlineStr">
        <is>
          <t>Common / Comum</t>
        </is>
      </c>
      <c r="D1446" s="11"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6" s="11" t="inlineStr">
        <is>
          <t>{4}{R}</t>
        </is>
      </c>
      <c r="F1446" s="11" t="inlineStr">
        <is>
          <t>Vermelho</t>
        </is>
      </c>
      <c r="G1446" s="8" t="n">
        <v>0.05</v>
      </c>
      <c r="H1446" s="11" t="inlineStr">
        <is>
          <t>Innistrad: Midnight Hunt (MID)</t>
        </is>
      </c>
      <c r="I1446" s="11" t="inlineStr">
        <is>
          <t>Não</t>
        </is>
      </c>
      <c r="J1446" s="11" t="n">
        <v>2021</v>
      </c>
      <c r="L1446" s="11" t="n">
        <v>2</v>
      </c>
      <c r="M1446" s="8">
        <f>L1446*G1446</f>
        <v/>
      </c>
      <c r="P1446" s="9" t="n"/>
    </row>
    <row r="1447">
      <c r="A1447" s="11" t="inlineStr">
        <is>
          <t>Heartfire / Fogo Interior</t>
        </is>
      </c>
      <c r="B1447" s="11" t="inlineStr">
        <is>
          <t>Instant / Mágica Instantânea</t>
        </is>
      </c>
      <c r="C1447" s="11" t="inlineStr">
        <is>
          <t>Common / Comum</t>
        </is>
      </c>
      <c r="D1447" s="11"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7" s="11" t="inlineStr">
        <is>
          <t>{1}{R}</t>
        </is>
      </c>
      <c r="F1447" s="11" t="inlineStr">
        <is>
          <t>Vermelho</t>
        </is>
      </c>
      <c r="G1447" s="8" t="n">
        <v>0.06</v>
      </c>
      <c r="H1447" s="11" t="inlineStr">
        <is>
          <t>War of the Spark (WAR)</t>
        </is>
      </c>
      <c r="I1447" s="11" t="inlineStr">
        <is>
          <t>Não</t>
        </is>
      </c>
      <c r="J1447" s="11" t="n">
        <v>2019</v>
      </c>
      <c r="L1447" s="11" t="n">
        <v>1</v>
      </c>
      <c r="M1447" s="8">
        <f>L1447*G1447</f>
        <v/>
      </c>
      <c r="P1447" s="9" t="n"/>
    </row>
    <row r="1448">
      <c r="A1448" s="11" t="inlineStr">
        <is>
          <t>Sure Strike / Golpe Certeiro</t>
        </is>
      </c>
      <c r="B1448" s="11" t="inlineStr">
        <is>
          <t>Instant / Mágica Instantânea</t>
        </is>
      </c>
      <c r="C1448" s="11" t="inlineStr">
        <is>
          <t>Common / Comum</t>
        </is>
      </c>
      <c r="D1448" s="11" t="inlineStr">
        <is>
          <t>Target creature gets +3/+0 and gains first strike until end of turn. (It deals combat damage before creatures without first strike.) / A criatura alvo recebe +3/+0 e ganha iniciativa até o final do turno.</t>
        </is>
      </c>
      <c r="E1448" s="11" t="inlineStr">
        <is>
          <t>{1}{R}</t>
        </is>
      </c>
      <c r="F1448" s="11" t="inlineStr">
        <is>
          <t>Vermelho</t>
        </is>
      </c>
      <c r="G1448" s="8" t="n">
        <v>0.03</v>
      </c>
      <c r="H1448" s="11" t="inlineStr">
        <is>
          <t>Core Set 2019 (M19)</t>
        </is>
      </c>
      <c r="I1448" s="11" t="inlineStr">
        <is>
          <t>Não</t>
        </is>
      </c>
      <c r="J1448" s="11" t="n">
        <v>2018</v>
      </c>
      <c r="L1448" s="11" t="n">
        <v>1</v>
      </c>
      <c r="M1448" s="8">
        <f>L1448*G1448</f>
        <v/>
      </c>
      <c r="P1448" s="9" t="n"/>
    </row>
    <row r="1449">
      <c r="A1449" s="11" t="inlineStr">
        <is>
          <t>Final Flare / Fulgor Final</t>
        </is>
      </c>
      <c r="B1449" s="11" t="inlineStr">
        <is>
          <t>Instant / Mágica Instantânea</t>
        </is>
      </c>
      <c r="C1449" s="11" t="inlineStr">
        <is>
          <t>Common / Comum</t>
        </is>
      </c>
      <c r="D1449" s="11"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9" s="11" t="inlineStr">
        <is>
          <t>{2}{R}</t>
        </is>
      </c>
      <c r="F1449" s="11" t="inlineStr">
        <is>
          <t>Vermelho</t>
        </is>
      </c>
      <c r="G1449" s="8" t="n">
        <v>0.03</v>
      </c>
      <c r="H1449" s="11" t="inlineStr">
        <is>
          <t>Theros Beyond Death (THB)</t>
        </is>
      </c>
      <c r="I1449" s="11" t="inlineStr">
        <is>
          <t>Não</t>
        </is>
      </c>
      <c r="J1449" s="11" t="n">
        <v>2020</v>
      </c>
      <c r="L1449" s="11" t="n">
        <v>1</v>
      </c>
      <c r="M1449" s="8">
        <f>L1449*G1449</f>
        <v/>
      </c>
      <c r="P1449" s="9" t="n"/>
    </row>
    <row r="1450">
      <c r="A1450" s="11" t="inlineStr">
        <is>
          <t>Inordinate Rage / Fúria Desmedida</t>
        </is>
      </c>
      <c r="B1450" s="11" t="inlineStr">
        <is>
          <t>Instant / Mágica Instantânea</t>
        </is>
      </c>
      <c r="C1450" s="11" t="inlineStr">
        <is>
          <t>Common / Comum</t>
        </is>
      </c>
      <c r="D1450" s="11" t="inlineStr">
        <is>
          <t>Target creature gets +3/+2 until end of turn. Scry 1. / A criatura alvo recebe +3/+2 até o final do turno. Use vidência 1.</t>
        </is>
      </c>
      <c r="E1450" s="11" t="inlineStr">
        <is>
          <t>{1}{R}</t>
        </is>
      </c>
      <c r="F1450" s="11" t="inlineStr">
        <is>
          <t>Vermelho</t>
        </is>
      </c>
      <c r="G1450" s="8" t="n">
        <v>0.05</v>
      </c>
      <c r="H1450" s="11" t="inlineStr">
        <is>
          <t>Zendikar Rising (ZNR)</t>
        </is>
      </c>
      <c r="I1450" s="11" t="inlineStr">
        <is>
          <t>Não</t>
        </is>
      </c>
      <c r="J1450" s="11" t="n">
        <v>2020</v>
      </c>
      <c r="L1450" s="11" t="n">
        <v>1</v>
      </c>
      <c r="M1450" s="8">
        <f>L1450*G1450</f>
        <v/>
      </c>
      <c r="P1450" s="9" t="n"/>
    </row>
    <row r="1451">
      <c r="A1451" s="11" t="inlineStr">
        <is>
          <t>Smash to Smithereens / Reduzir a Cacos</t>
        </is>
      </c>
      <c r="B1451" s="11" t="inlineStr">
        <is>
          <t>Instant / Mágica Instantânea</t>
        </is>
      </c>
      <c r="C1451" s="11" t="inlineStr">
        <is>
          <t>Rare / Rara</t>
        </is>
      </c>
      <c r="D1451" s="11" t="inlineStr">
        <is>
          <t>Destroy target artifact. Smash to Smithereens deals 3 damage to that artifact's controller. / Destrua o artefato alvo. Reduzir a Cacos causa 3 pontos de dano ao controlador daquele artefato.</t>
        </is>
      </c>
      <c r="E1451" s="11" t="inlineStr">
        <is>
          <t>{1}{R}</t>
        </is>
      </c>
      <c r="F1451" s="11" t="inlineStr">
        <is>
          <t>Vermelho</t>
        </is>
      </c>
      <c r="G1451" s="8" t="n">
        <v>1.6</v>
      </c>
      <c r="H1451" s="11" t="inlineStr">
        <is>
          <t>Friday Night Magic 2016 (F16)</t>
        </is>
      </c>
      <c r="I1451" s="11" t="inlineStr">
        <is>
          <t>Sim</t>
        </is>
      </c>
      <c r="J1451" s="11" t="n">
        <v>2016</v>
      </c>
      <c r="L1451" s="11" t="n">
        <v>1</v>
      </c>
      <c r="M1451" s="8">
        <f>L1451*G1451</f>
        <v/>
      </c>
      <c r="P1451" s="9" t="n"/>
    </row>
    <row r="1452">
      <c r="A1452" s="11" t="inlineStr">
        <is>
          <t>Smash to Smithereens / Reduzir a Cacos</t>
        </is>
      </c>
      <c r="B1452" s="11" t="inlineStr">
        <is>
          <t>Instant / Mágica Instantânea</t>
        </is>
      </c>
      <c r="C1452" s="11" t="inlineStr">
        <is>
          <t>Rare / Rara</t>
        </is>
      </c>
      <c r="D1452" s="11" t="inlineStr">
        <is>
          <t>Destroy target artifact. Smash to Smithereens deals 3 damage to that artifact's controller. / Destrua o artefato alvo. Reduzir a Cacos causa 3 pontos de dano ao controlador daquele artefato.</t>
        </is>
      </c>
      <c r="E1452" s="11" t="inlineStr">
        <is>
          <t>{1}{R}</t>
        </is>
      </c>
      <c r="F1452" s="11" t="inlineStr">
        <is>
          <t>Vermelho</t>
        </is>
      </c>
      <c r="G1452" s="8" t="n">
        <v>0.39</v>
      </c>
      <c r="H1452" s="11" t="inlineStr">
        <is>
          <t xml:space="preserve">Pântano Sombrio </t>
        </is>
      </c>
      <c r="I1452" s="11" t="inlineStr">
        <is>
          <t>Não</t>
        </is>
      </c>
      <c r="J1452" s="11" t="n">
        <v>2008</v>
      </c>
      <c r="L1452" s="11" t="n">
        <v>1</v>
      </c>
      <c r="M1452" s="8">
        <f>L1452*G1452</f>
        <v/>
      </c>
      <c r="P1452" s="9" t="n"/>
    </row>
    <row r="1453">
      <c r="A1453" s="11" t="inlineStr">
        <is>
          <t>Tiamat's Fanatics / Fanáticos de Tiamat</t>
        </is>
      </c>
      <c r="B1453" s="11" t="inlineStr">
        <is>
          <t>Creature — Dragon Warrior / Criatura — Dragão Guerreiro</t>
        </is>
      </c>
      <c r="C1453" s="11" t="inlineStr">
        <is>
          <t>Common / Comum</t>
        </is>
      </c>
      <c r="D1453" s="11"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53" s="11" t="inlineStr">
        <is>
          <t>{4}{R}</t>
        </is>
      </c>
      <c r="F1453" s="11" t="inlineStr">
        <is>
          <t>Vermelho</t>
        </is>
      </c>
      <c r="G1453" s="8" t="n">
        <v>0.09</v>
      </c>
      <c r="H1453" s="11" t="inlineStr">
        <is>
          <t>Commander Legends: Battle for Baldur's Gate (CLB)</t>
        </is>
      </c>
      <c r="I1453" s="11" t="inlineStr">
        <is>
          <t>Não</t>
        </is>
      </c>
      <c r="J1453" s="11" t="n">
        <v>2022</v>
      </c>
      <c r="K1453" s="10" t="n">
        <v>46085</v>
      </c>
      <c r="L1453" s="11" t="n">
        <v>1</v>
      </c>
      <c r="M1453" s="8">
        <f>L1453*G1453</f>
        <v/>
      </c>
      <c r="P1453" s="9" t="n"/>
    </row>
    <row r="1454">
      <c r="A1454" s="11" t="inlineStr">
        <is>
          <t>Hulking Devil / Diabo Brutamontes</t>
        </is>
      </c>
      <c r="B1454" s="11" t="inlineStr">
        <is>
          <t>Creature — Devil / Criatura — Diabo</t>
        </is>
      </c>
      <c r="C1454" s="11" t="inlineStr">
        <is>
          <t>Common / Comum</t>
        </is>
      </c>
      <c r="E1454" s="11" t="inlineStr">
        <is>
          <t>{3}{R}</t>
        </is>
      </c>
      <c r="F1454" s="11" t="inlineStr">
        <is>
          <t>Vermelho</t>
        </is>
      </c>
      <c r="G1454" s="8" t="n">
        <v>0.05</v>
      </c>
      <c r="H1454" s="11" t="inlineStr">
        <is>
          <t>Shadows over Innistrad (SOI)</t>
        </is>
      </c>
      <c r="I1454" s="11" t="inlineStr">
        <is>
          <t>Não</t>
        </is>
      </c>
      <c r="J1454" s="11" t="n">
        <v>2016</v>
      </c>
      <c r="K1454" s="10" t="n">
        <v>46058</v>
      </c>
      <c r="L1454" s="11" t="n">
        <v>1</v>
      </c>
      <c r="M1454" s="8">
        <f>L1454*G1454</f>
        <v/>
      </c>
      <c r="P1454" s="9" t="n"/>
    </row>
    <row r="1455">
      <c r="A1455" s="11" t="inlineStr">
        <is>
          <t>Hoarding Ogre / Ogro Acumulador</t>
        </is>
      </c>
      <c r="B1455" s="11" t="inlineStr">
        <is>
          <t>Creature — Ogre / Criatura — Ogro</t>
        </is>
      </c>
      <c r="C1455" s="11" t="inlineStr">
        <is>
          <t>Common / Comum</t>
        </is>
      </c>
      <c r="D1455" s="11"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55" s="11" t="inlineStr">
        <is>
          <t>{3}{R}</t>
        </is>
      </c>
      <c r="F1455" s="11" t="inlineStr">
        <is>
          <t>Vermelho</t>
        </is>
      </c>
      <c r="G1455" s="8" t="n">
        <v>0.06</v>
      </c>
      <c r="H1455" s="11" t="inlineStr">
        <is>
          <t>Commander Legends: Battle for Baldur's Gate (CLB)</t>
        </is>
      </c>
      <c r="I1455" s="11" t="inlineStr">
        <is>
          <t>Não</t>
        </is>
      </c>
      <c r="J1455" s="11" t="n">
        <v>2022</v>
      </c>
      <c r="K1455" s="10" t="n">
        <v>46084</v>
      </c>
      <c r="L1455" s="11" t="n">
        <v>1</v>
      </c>
      <c r="M1455" s="8">
        <f>L1455*G1455</f>
        <v/>
      </c>
      <c r="P1455" s="9" t="n"/>
    </row>
    <row r="1456">
      <c r="A1456" s="11" t="inlineStr">
        <is>
          <t>Bloodfire Expert / Especialista Sangue-ígneo</t>
        </is>
      </c>
      <c r="B1456" s="11" t="inlineStr">
        <is>
          <t>Creature — Efreet Monk / Criatura — Efrite Monge</t>
        </is>
      </c>
      <c r="C1456" s="11" t="inlineStr">
        <is>
          <t>Common / Comum</t>
        </is>
      </c>
      <c r="D1456" s="11" t="inlineStr">
        <is>
          <t>Prowess (Whenever you cast a noncreature spell, this creature gets +1/+1 until end of turn.) / Destreza (Toda vez que você conjura uma mágica que não seja de criatura, esta criatura recebe +1/+1 até o final do turno.)</t>
        </is>
      </c>
      <c r="E1456" s="11" t="inlineStr">
        <is>
          <t>{2}{R}</t>
        </is>
      </c>
      <c r="F1456" s="11" t="inlineStr">
        <is>
          <t>Vermelho</t>
        </is>
      </c>
      <c r="G1456" s="8" t="n">
        <v>0.05</v>
      </c>
      <c r="H1456" s="11" t="inlineStr">
        <is>
          <t>Khans of Tarkir (KTK)</t>
        </is>
      </c>
      <c r="I1456" s="11" t="inlineStr">
        <is>
          <t>Não</t>
        </is>
      </c>
      <c r="J1456" s="11" t="n">
        <v>2014</v>
      </c>
      <c r="K1456" s="10" t="n">
        <v>46025</v>
      </c>
      <c r="L1456" s="11" t="n">
        <v>1</v>
      </c>
      <c r="M1456" s="8">
        <f>L1456*G1456</f>
        <v/>
      </c>
      <c r="P1456" s="9" t="n"/>
    </row>
    <row r="1457">
      <c r="A1457" s="11" t="inlineStr">
        <is>
          <t>Nyxborn Brute / Bruto Nyxnato</t>
        </is>
      </c>
      <c r="B1457" s="11" t="inlineStr">
        <is>
          <t>Enchantment Creature — Cyclops / Criatura Encantamento — Ciclope</t>
        </is>
      </c>
      <c r="C1457" s="11" t="inlineStr">
        <is>
          <t>Common / Comum</t>
        </is>
      </c>
      <c r="E1457" s="11" t="inlineStr">
        <is>
          <t>{3}{R}{R}</t>
        </is>
      </c>
      <c r="F1457" s="11" t="inlineStr">
        <is>
          <t>Vermelho</t>
        </is>
      </c>
      <c r="G1457" s="8" t="n">
        <v>0.03</v>
      </c>
      <c r="H1457" s="11" t="inlineStr">
        <is>
          <t>Theros Beyond Death (THB)</t>
        </is>
      </c>
      <c r="I1457" s="11" t="inlineStr">
        <is>
          <t>Não</t>
        </is>
      </c>
      <c r="J1457" s="11" t="n">
        <v>2020</v>
      </c>
      <c r="K1457" s="10" t="n">
        <v>46088</v>
      </c>
      <c r="L1457" s="11" t="n">
        <v>1</v>
      </c>
      <c r="M1457" s="8">
        <f>L1457*G1457</f>
        <v/>
      </c>
      <c r="P1457" s="9" t="n"/>
    </row>
    <row r="1458">
      <c r="A1458" s="11" t="inlineStr">
        <is>
          <t>Cyclops of One-Eyed Pass / Ciclope da Passagem Caolha</t>
        </is>
      </c>
      <c r="B1458" s="11" t="inlineStr">
        <is>
          <t>Creature — Cyclops / Criatura — Ciclope</t>
        </is>
      </c>
      <c r="C1458" s="11" t="inlineStr">
        <is>
          <t>Common / Comum</t>
        </is>
      </c>
      <c r="E1458" s="11" t="inlineStr">
        <is>
          <t>{2}{R}{R}</t>
        </is>
      </c>
      <c r="F1458" s="11" t="inlineStr">
        <is>
          <t>Vermelho</t>
        </is>
      </c>
      <c r="G1458" s="8" t="n">
        <v>0.03</v>
      </c>
      <c r="H1458" s="11" t="inlineStr">
        <is>
          <t>Born of the Gods (BNG)</t>
        </is>
      </c>
      <c r="I1458" s="11" t="inlineStr">
        <is>
          <t>Não</t>
        </is>
      </c>
      <c r="J1458" s="11" t="n">
        <v>2014</v>
      </c>
      <c r="K1458" s="10" t="n">
        <v>46058</v>
      </c>
      <c r="L1458" s="11" t="n">
        <v>1</v>
      </c>
      <c r="M1458" s="8">
        <f>L1458*G1458</f>
        <v/>
      </c>
      <c r="P1458" s="9" t="n"/>
    </row>
    <row r="1459">
      <c r="A1459" s="11" t="inlineStr">
        <is>
          <t>Nahiri's Stoneblades / Litolâminas de Nahiri</t>
        </is>
      </c>
      <c r="B1459" s="11" t="inlineStr">
        <is>
          <t>Instant / Mágica Instantânea</t>
        </is>
      </c>
      <c r="C1459" s="11" t="inlineStr">
        <is>
          <t>Common / Comum</t>
        </is>
      </c>
      <c r="D1459" s="11" t="inlineStr">
        <is>
          <t>Up to two target creatures each get +2/+0 until end of turn. / Até duas criaturas alvo recebem +2/+0 cada uma até o final do turno.</t>
        </is>
      </c>
      <c r="E1459" s="11" t="inlineStr">
        <is>
          <t>{1}{R}</t>
        </is>
      </c>
      <c r="F1459" s="11" t="inlineStr">
        <is>
          <t>Vermelho</t>
        </is>
      </c>
      <c r="G1459" s="8" t="n">
        <v>0.03</v>
      </c>
      <c r="H1459" s="11" t="inlineStr">
        <is>
          <t>War of the Spark (WAR)</t>
        </is>
      </c>
      <c r="I1459" s="11" t="inlineStr">
        <is>
          <t>Não</t>
        </is>
      </c>
      <c r="J1459" s="11" t="n">
        <v>2019</v>
      </c>
      <c r="L1459" s="11" t="n">
        <v>1</v>
      </c>
      <c r="M1459" s="8">
        <f>L1459*G1459</f>
        <v/>
      </c>
      <c r="P1459" s="9" t="n"/>
    </row>
    <row r="1460">
      <c r="A1460" s="11" t="inlineStr">
        <is>
          <t>Shatter / Estilhaçar</t>
        </is>
      </c>
      <c r="B1460" s="11" t="inlineStr">
        <is>
          <t>Instant / Mágica Instantânea</t>
        </is>
      </c>
      <c r="C1460" s="11" t="inlineStr">
        <is>
          <t>Common / Comum</t>
        </is>
      </c>
      <c r="D1460" s="11" t="inlineStr">
        <is>
          <t>Destroy target artifact. / Destrua o artefato alvo.</t>
        </is>
      </c>
      <c r="E1460" s="11" t="inlineStr">
        <is>
          <t>{1}{R}</t>
        </is>
      </c>
      <c r="F1460" s="11" t="inlineStr">
        <is>
          <t>Vermelho</t>
        </is>
      </c>
      <c r="G1460" s="8" t="n">
        <v>0.01</v>
      </c>
      <c r="H1460" s="11" t="inlineStr">
        <is>
          <t>Khans of Tarkir (KTK)</t>
        </is>
      </c>
      <c r="I1460" s="11" t="inlineStr">
        <is>
          <t>Não</t>
        </is>
      </c>
      <c r="J1460" s="11" t="n">
        <v>2014</v>
      </c>
      <c r="L1460" s="11" t="n">
        <v>1</v>
      </c>
      <c r="M1460" s="8">
        <f>L1460*G1460</f>
        <v/>
      </c>
      <c r="P1460" s="9" t="n"/>
    </row>
    <row r="1461">
      <c r="A1461" s="11" t="inlineStr">
        <is>
          <t>Clash of Titans / Batalha dos Titãs</t>
        </is>
      </c>
      <c r="B1461" s="11" t="inlineStr">
        <is>
          <t>Instant / Mágica Instantânea</t>
        </is>
      </c>
      <c r="C1461" s="11" t="inlineStr">
        <is>
          <t>Uncommon / Incomum</t>
        </is>
      </c>
      <c r="D1461" s="11" t="inlineStr">
        <is>
          <t>Target creature fights another target creature. (Each deals damage equal to its power to the other.) / A criatura alvo luta com outra criatura alvo. (Cada uma causa dano igual ao seu poder à outra.)</t>
        </is>
      </c>
      <c r="E1461" s="11" t="inlineStr">
        <is>
          <t>{3}{R}{R}</t>
        </is>
      </c>
      <c r="F1461" s="11" t="inlineStr">
        <is>
          <t>Vermelho</t>
        </is>
      </c>
      <c r="G1461" s="8" t="n">
        <v>0.08</v>
      </c>
      <c r="H1461" s="11" t="inlineStr">
        <is>
          <t>Ikoria: Lair of Behemoths (IKO)</t>
        </is>
      </c>
      <c r="I1461" s="11" t="inlineStr">
        <is>
          <t>Não</t>
        </is>
      </c>
      <c r="J1461" s="11" t="n">
        <v>2020</v>
      </c>
      <c r="L1461" s="11" t="n">
        <v>1</v>
      </c>
      <c r="M1461" s="8">
        <f>L1461*G1461</f>
        <v/>
      </c>
      <c r="P1461" s="9" t="n"/>
    </row>
    <row r="1462">
      <c r="A1462" s="11" t="inlineStr">
        <is>
          <t>Swift Kick / Chute Veloz</t>
        </is>
      </c>
      <c r="B1462" s="11" t="inlineStr">
        <is>
          <t>Instant / Mágica Instantânea</t>
        </is>
      </c>
      <c r="C1462" s="11" t="inlineStr">
        <is>
          <t>Common / Comum</t>
        </is>
      </c>
      <c r="D1462" s="11" t="inlineStr">
        <is>
          <t>Target creature you control gets +1/+0 until end of turn. It fights target creature you don't control. / A criatura alvo que você controla recebe +1/+0 até o final do turno. Ela luta com a criatura alvo que você não controla.</t>
        </is>
      </c>
      <c r="E1462" s="11" t="inlineStr">
        <is>
          <t>{3}{R}</t>
        </is>
      </c>
      <c r="F1462" s="11" t="inlineStr">
        <is>
          <t>Vermelho</t>
        </is>
      </c>
      <c r="G1462" s="8" t="n">
        <v>0.04</v>
      </c>
      <c r="H1462" s="11" t="inlineStr">
        <is>
          <t>Khans of Tarkir (KTK)</t>
        </is>
      </c>
      <c r="I1462" s="11" t="inlineStr">
        <is>
          <t>Não</t>
        </is>
      </c>
      <c r="J1462" s="11" t="n">
        <v>2014</v>
      </c>
      <c r="L1462" s="11" t="n">
        <v>1</v>
      </c>
      <c r="M1462" s="8">
        <f>L1462*G1462</f>
        <v/>
      </c>
      <c r="P1462" s="9" t="n"/>
    </row>
    <row r="1463">
      <c r="A1463" s="11" t="inlineStr">
        <is>
          <t>Trumpet Blast / Soar da Trombeta</t>
        </is>
      </c>
      <c r="B1463" s="11" t="inlineStr">
        <is>
          <t>Instant / Mágica Instantânea</t>
        </is>
      </c>
      <c r="C1463" s="11" t="inlineStr">
        <is>
          <t>Common / Comum</t>
        </is>
      </c>
      <c r="D1463" s="11" t="inlineStr">
        <is>
          <t>Attacking creatures get +2/+0 until end of turn. / As criaturas atacantes recebem +2/+0 até o final do turno.</t>
        </is>
      </c>
      <c r="E1463" s="11" t="inlineStr">
        <is>
          <t>{2}{R}</t>
        </is>
      </c>
      <c r="F1463" s="11" t="inlineStr">
        <is>
          <t>Vermelho</t>
        </is>
      </c>
      <c r="G1463" s="8" t="n">
        <v>0.03</v>
      </c>
      <c r="H1463" s="11" t="inlineStr">
        <is>
          <t>Magic 2010 (M10)</t>
        </is>
      </c>
      <c r="I1463" s="11" t="inlineStr">
        <is>
          <t>Não</t>
        </is>
      </c>
      <c r="J1463" s="11" t="n">
        <v>2009</v>
      </c>
      <c r="L1463" s="11" t="n">
        <v>1</v>
      </c>
      <c r="M1463" s="8">
        <f>L1463*G1463</f>
        <v/>
      </c>
      <c r="P1463" s="9" t="n"/>
    </row>
    <row r="1464">
      <c r="A1464" s="11" t="inlineStr">
        <is>
          <t>Dangerous Wager / Aposta Arriscada</t>
        </is>
      </c>
      <c r="B1464" s="11" t="inlineStr">
        <is>
          <t>Instant / Mágica Instantânea</t>
        </is>
      </c>
      <c r="C1464" s="11" t="inlineStr">
        <is>
          <t>Common / Comum</t>
        </is>
      </c>
      <c r="D1464" s="11" t="inlineStr">
        <is>
          <t>Discard your hand, then draw two cards. / Descarte sua mão e depois compre dois cards.</t>
        </is>
      </c>
      <c r="E1464" s="11" t="inlineStr">
        <is>
          <t>{1}{R}</t>
        </is>
      </c>
      <c r="F1464" s="11" t="inlineStr">
        <is>
          <t>Vermelho</t>
        </is>
      </c>
      <c r="G1464" s="8" t="n">
        <v>0.05</v>
      </c>
      <c r="H1464" s="11" t="inlineStr">
        <is>
          <t>Avacyn Restored (AVR)</t>
        </is>
      </c>
      <c r="I1464" s="11" t="inlineStr">
        <is>
          <t>Não</t>
        </is>
      </c>
      <c r="J1464" s="11" t="n">
        <v>2012</v>
      </c>
      <c r="L1464" s="11" t="n">
        <v>1</v>
      </c>
      <c r="M1464" s="8">
        <f>L1464*G1464</f>
        <v/>
      </c>
      <c r="P1464" s="9" t="n"/>
    </row>
    <row r="1465">
      <c r="A1465" s="11" t="inlineStr">
        <is>
          <t>Earth Elemental / Elemental da Terra</t>
        </is>
      </c>
      <c r="B1465" s="11" t="inlineStr">
        <is>
          <t>Creature — Elemental / Criatura — Elemental</t>
        </is>
      </c>
      <c r="C1465" s="11" t="inlineStr">
        <is>
          <t>Uncommon / Incomum</t>
        </is>
      </c>
      <c r="E1465" s="11" t="inlineStr">
        <is>
          <t>{3}{R}{R}</t>
        </is>
      </c>
      <c r="F1465" s="11" t="inlineStr">
        <is>
          <t>Vermelho</t>
        </is>
      </c>
      <c r="G1465" s="8" t="n">
        <v>0.05</v>
      </c>
      <c r="H1465" s="11" t="inlineStr">
        <is>
          <t>Décima edição</t>
        </is>
      </c>
      <c r="I1465" s="11" t="inlineStr">
        <is>
          <t>Não</t>
        </is>
      </c>
      <c r="J1465" s="11" t="n">
        <v>2007</v>
      </c>
      <c r="K1465" s="10" t="n">
        <v>46146</v>
      </c>
      <c r="L1465" s="11" t="n">
        <v>1</v>
      </c>
      <c r="M1465" s="8">
        <f>L1465*G1465</f>
        <v/>
      </c>
      <c r="P1465" s="9" t="n"/>
    </row>
    <row r="1466">
      <c r="A1466" s="11" t="inlineStr">
        <is>
          <t>Ohran Yeti / Yeti de Ohran</t>
        </is>
      </c>
      <c r="B1466" s="11" t="inlineStr">
        <is>
          <t>Snow Creature — Yeti / Criatura da Neve — Yeti</t>
        </is>
      </c>
      <c r="C1466" s="11" t="inlineStr">
        <is>
          <t>Common / Comum</t>
        </is>
      </c>
      <c r="D1466" s="11" t="inlineStr">
        <is>
          <t>{2}{S}: Target snow creature gains first strike until end of turn. ({S} can be paid with one mana from a snow source.) / {2}{S}: A criatura da neve alvo ganha iniciativa até o final do turno. ({S} pode ser pago com um mana de uma permanente da neve.)</t>
        </is>
      </c>
      <c r="E1466" s="11" t="inlineStr">
        <is>
          <t>{3}{R}</t>
        </is>
      </c>
      <c r="F1466" s="11" t="inlineStr">
        <is>
          <t>Vermelho</t>
        </is>
      </c>
      <c r="G1466" s="8" t="n">
        <v>0.09</v>
      </c>
      <c r="H1466" s="11" t="inlineStr">
        <is>
          <t>Coldsnap (CSP)</t>
        </is>
      </c>
      <c r="I1466" s="11" t="inlineStr">
        <is>
          <t>Não</t>
        </is>
      </c>
      <c r="J1466" s="11" t="n">
        <v>2006</v>
      </c>
      <c r="K1466" s="10" t="n">
        <v>46084</v>
      </c>
      <c r="L1466" s="11" t="n">
        <v>1</v>
      </c>
      <c r="M1466" s="8">
        <f>L1466*G1466</f>
        <v/>
      </c>
      <c r="P1466" s="9" t="n"/>
    </row>
    <row r="1467">
      <c r="A1467" s="11" t="inlineStr">
        <is>
          <t>Skyraker Giant / Gigante Varredor do Céu</t>
        </is>
      </c>
      <c r="B1467" s="11" t="inlineStr">
        <is>
          <t>Creature — Giant / Criatura — Gigante</t>
        </is>
      </c>
      <c r="C1467" s="11" t="inlineStr">
        <is>
          <t>Common / Comum</t>
        </is>
      </c>
      <c r="D1467" s="11" t="inlineStr">
        <is>
          <t>Reach (This creature can block creatures with flying.) / Alcance (Esta criatura pode bloquear criaturas com voar.)</t>
        </is>
      </c>
      <c r="E1467" s="11" t="inlineStr">
        <is>
          <t>{2}{R}{R}</t>
        </is>
      </c>
      <c r="F1467" s="11" t="inlineStr">
        <is>
          <t>Vermelho</t>
        </is>
      </c>
      <c r="G1467" s="8" t="n">
        <v>0.05</v>
      </c>
      <c r="H1467" s="11" t="inlineStr">
        <is>
          <t>Commander Legends (CMR)</t>
        </is>
      </c>
      <c r="I1467" s="11" t="inlineStr">
        <is>
          <t>Não</t>
        </is>
      </c>
      <c r="J1467" s="11" t="n">
        <v>2020</v>
      </c>
      <c r="K1467" s="10" t="n">
        <v>46085</v>
      </c>
      <c r="L1467" s="11" t="n">
        <v>1</v>
      </c>
      <c r="M1467" s="8">
        <f>L1467*G1467</f>
        <v/>
      </c>
      <c r="P1467" s="9" t="n"/>
    </row>
    <row r="1468">
      <c r="A1468" s="11" t="inlineStr">
        <is>
          <t>Pharagax Giant / Gigante de Faragax</t>
        </is>
      </c>
      <c r="B1468" s="11" t="inlineStr">
        <is>
          <t>Creature — Giant / Criatura — Gigante</t>
        </is>
      </c>
      <c r="C1468" s="11" t="inlineStr">
        <is>
          <t>Common / Comum</t>
        </is>
      </c>
      <c r="D1468" s="11"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8" s="11" t="inlineStr">
        <is>
          <t>{4}{R}</t>
        </is>
      </c>
      <c r="F1468" s="11" t="inlineStr">
        <is>
          <t>Vermelho</t>
        </is>
      </c>
      <c r="G1468" s="8" t="n">
        <v>0.03</v>
      </c>
      <c r="H1468" s="11" t="inlineStr">
        <is>
          <t>Born of the Gods (BNG)</t>
        </is>
      </c>
      <c r="I1468" s="11" t="inlineStr">
        <is>
          <t>Não</t>
        </is>
      </c>
      <c r="J1468" s="11" t="n">
        <v>2014</v>
      </c>
      <c r="K1468" s="10" t="n">
        <v>46084</v>
      </c>
      <c r="L1468" s="11" t="n">
        <v>1</v>
      </c>
      <c r="M1468" s="8">
        <f>L1468*G1468</f>
        <v/>
      </c>
      <c r="P1468" s="9" t="n"/>
    </row>
    <row r="1469">
      <c r="A1469" s="11" t="inlineStr">
        <is>
          <t>Hagi Mob / Turba de Hagis</t>
        </is>
      </c>
      <c r="B1469" s="11" t="inlineStr">
        <is>
          <t>Creature — Troll Berserker / Criatura — Trol Amoque</t>
        </is>
      </c>
      <c r="C1469" s="11" t="inlineStr">
        <is>
          <t>Common / Comum</t>
        </is>
      </c>
      <c r="D1469" s="11"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9" s="11" t="inlineStr">
        <is>
          <t>{4}{R}</t>
        </is>
      </c>
      <c r="F1469" s="11" t="inlineStr">
        <is>
          <t>Vermelho</t>
        </is>
      </c>
      <c r="G1469" s="8" t="n">
        <v>0.06</v>
      </c>
      <c r="H1469" s="11" t="inlineStr">
        <is>
          <t>Kaldheim (KHM)</t>
        </is>
      </c>
      <c r="I1469" s="11" t="inlineStr">
        <is>
          <t>Não</t>
        </is>
      </c>
      <c r="J1469" s="11" t="n">
        <v>2021</v>
      </c>
      <c r="K1469" s="10" t="n">
        <v>46117</v>
      </c>
      <c r="L1469" s="11" t="n">
        <v>1</v>
      </c>
      <c r="M1469" s="8">
        <f>L1469*G1469</f>
        <v/>
      </c>
      <c r="P1469" s="9" t="n"/>
    </row>
    <row r="1470">
      <c r="A1470" s="11" t="inlineStr">
        <is>
          <t>Summit Prowler / Espreitador do Cume</t>
        </is>
      </c>
      <c r="B1470" s="11" t="inlineStr">
        <is>
          <t>Creature — Yeti / Criatura — Yeti</t>
        </is>
      </c>
      <c r="C1470" s="11" t="inlineStr">
        <is>
          <t>Common / Comum</t>
        </is>
      </c>
      <c r="E1470" s="11" t="inlineStr">
        <is>
          <t>{2}{R}{R}</t>
        </is>
      </c>
      <c r="F1470" s="11" t="inlineStr">
        <is>
          <t>Vermelho</t>
        </is>
      </c>
      <c r="G1470" s="8" t="n">
        <v>0.05</v>
      </c>
      <c r="H1470" s="11" t="inlineStr">
        <is>
          <t>Khans of Tarkir (KTK)</t>
        </is>
      </c>
      <c r="I1470" s="11" t="inlineStr">
        <is>
          <t>Não</t>
        </is>
      </c>
      <c r="J1470" s="11" t="n">
        <v>2014</v>
      </c>
      <c r="K1470" s="10" t="n">
        <v>46085</v>
      </c>
      <c r="L1470" s="11" t="n">
        <v>1</v>
      </c>
      <c r="M1470" s="8">
        <f>L1470*G1470</f>
        <v/>
      </c>
      <c r="P1470" s="9" t="n"/>
    </row>
    <row r="1471">
      <c r="A1471" s="11" t="inlineStr">
        <is>
          <t>Jiwari, the Earth Aflame / Jiwari, a Terra em Chamas</t>
        </is>
      </c>
      <c r="B1471" s="11" t="inlineStr">
        <is>
          <t>Legendary Creature — Spirit / Criatura Lendária - Espírito</t>
        </is>
      </c>
      <c r="C1471" s="11" t="inlineStr">
        <is>
          <t>Rare / Rara</t>
        </is>
      </c>
      <c r="D1471" s="11"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71" s="11" t="inlineStr">
        <is>
          <t>{3}{R}{R}</t>
        </is>
      </c>
      <c r="F1471" s="11" t="inlineStr">
        <is>
          <t>Vermelho</t>
        </is>
      </c>
      <c r="G1471" s="8" t="n">
        <v>0.25</v>
      </c>
      <c r="H1471" s="11" t="inlineStr">
        <is>
          <t>Saviors of Kamigawa (SOK)</t>
        </is>
      </c>
      <c r="I1471" s="11" t="inlineStr">
        <is>
          <t>Não</t>
        </is>
      </c>
      <c r="J1471" s="11" t="n">
        <v>2005</v>
      </c>
      <c r="K1471" s="10" t="n">
        <v>46084</v>
      </c>
      <c r="L1471" s="11" t="n">
        <v>1</v>
      </c>
      <c r="M1471" s="8">
        <f>L1471*G1471</f>
        <v/>
      </c>
      <c r="P1471" s="9" t="n"/>
    </row>
    <row r="1472">
      <c r="A1472" s="11" t="inlineStr">
        <is>
          <t>Goblin Roughrider / Cavaleiro Valente Goblin</t>
        </is>
      </c>
      <c r="B1472" s="11" t="inlineStr">
        <is>
          <t>Creature — Goblin Knight / Criatura — Goblin Cavaleiro</t>
        </is>
      </c>
      <c r="C1472" s="11" t="inlineStr">
        <is>
          <t>Common / Comum</t>
        </is>
      </c>
      <c r="E1472" s="11" t="inlineStr">
        <is>
          <t>{2}{R}</t>
        </is>
      </c>
      <c r="F1472" s="11" t="inlineStr">
        <is>
          <t>Vermelho</t>
        </is>
      </c>
      <c r="G1472" s="8" t="n">
        <v>0.05</v>
      </c>
      <c r="H1472" s="11" t="inlineStr">
        <is>
          <t>Worldwake (WWK)</t>
        </is>
      </c>
      <c r="I1472" s="11" t="inlineStr">
        <is>
          <t>Não</t>
        </is>
      </c>
      <c r="J1472" s="11" t="n">
        <v>2010</v>
      </c>
      <c r="K1472" s="10" t="n">
        <v>46056</v>
      </c>
      <c r="L1472" s="11" t="n">
        <v>1</v>
      </c>
      <c r="M1472" s="8">
        <f>L1472*G1472</f>
        <v/>
      </c>
      <c r="P1472" s="9" t="n"/>
    </row>
    <row r="1473">
      <c r="A1473" s="11" t="inlineStr">
        <is>
          <t>Grotag Bug-Catcher / Pega-bicho Grotag</t>
        </is>
      </c>
      <c r="B1473" s="11" t="inlineStr">
        <is>
          <t>Creature — Goblin Warrior / Criatura — Goblin Guerreiro</t>
        </is>
      </c>
      <c r="C1473" s="11" t="inlineStr">
        <is>
          <t>Common / Comum</t>
        </is>
      </c>
      <c r="D1473" s="11"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73" s="11" t="inlineStr">
        <is>
          <t>{1}{R}</t>
        </is>
      </c>
      <c r="F1473" s="11" t="inlineStr">
        <is>
          <t>Vermelho</t>
        </is>
      </c>
      <c r="G1473" s="8" t="n">
        <v>0.05</v>
      </c>
      <c r="H1473" s="11" t="inlineStr">
        <is>
          <t>Zendikar Rising (ZNR)</t>
        </is>
      </c>
      <c r="I1473" s="11" t="inlineStr">
        <is>
          <t>Não</t>
        </is>
      </c>
      <c r="J1473" s="11" t="n">
        <v>2020</v>
      </c>
      <c r="K1473" s="10" t="n">
        <v>46054</v>
      </c>
      <c r="L1473" s="11" t="n">
        <v>1</v>
      </c>
      <c r="M1473" s="8">
        <f>L1473*G1473</f>
        <v/>
      </c>
      <c r="P1473" s="9" t="n"/>
    </row>
    <row r="1474">
      <c r="A1474" s="11" t="inlineStr">
        <is>
          <t>Russet Wolves / Lobos Castanhos</t>
        </is>
      </c>
      <c r="B1474" s="11" t="inlineStr">
        <is>
          <t>Creature — Wolf / Criatura — Lobo</t>
        </is>
      </c>
      <c r="C1474" s="11" t="inlineStr">
        <is>
          <t>Common / Comum</t>
        </is>
      </c>
      <c r="E1474" s="11" t="inlineStr">
        <is>
          <t>{3}{R}</t>
        </is>
      </c>
      <c r="F1474" s="11" t="inlineStr">
        <is>
          <t>Vermelho</t>
        </is>
      </c>
      <c r="G1474" s="8" t="n">
        <v>0.06</v>
      </c>
      <c r="H1474" s="11" t="inlineStr">
        <is>
          <t>Dark Ascension (DKA)</t>
        </is>
      </c>
      <c r="I1474" s="11" t="inlineStr">
        <is>
          <t>Não</t>
        </is>
      </c>
      <c r="J1474" s="11" t="n">
        <v>2012</v>
      </c>
      <c r="K1474" s="10" t="n">
        <v>46084</v>
      </c>
      <c r="L1474" s="11" t="n">
        <v>1</v>
      </c>
      <c r="M1474" s="8">
        <f>L1474*G1474</f>
        <v/>
      </c>
      <c r="P1474" s="9" t="n"/>
    </row>
    <row r="1475">
      <c r="A1475" s="11" t="inlineStr">
        <is>
          <t>Swarming Goblins / Enxame de Goblins</t>
        </is>
      </c>
      <c r="B1475" s="11" t="inlineStr">
        <is>
          <t>Creature — Goblin / Criatura — Goblin</t>
        </is>
      </c>
      <c r="C1475" s="11" t="inlineStr">
        <is>
          <t>Common / Comum</t>
        </is>
      </c>
      <c r="D1475" s="11"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75" s="11" t="inlineStr">
        <is>
          <t>{4}{R}</t>
        </is>
      </c>
      <c r="F1475" s="11" t="inlineStr">
        <is>
          <t>Vermelho</t>
        </is>
      </c>
      <c r="G1475" s="8" t="n">
        <v>0.1</v>
      </c>
      <c r="H1475" s="11" t="inlineStr">
        <is>
          <t>Adventures in the Forgotten Realms (AFR)</t>
        </is>
      </c>
      <c r="I1475" s="11" t="inlineStr">
        <is>
          <t>Não</t>
        </is>
      </c>
      <c r="J1475" s="11" t="n">
        <v>2021</v>
      </c>
      <c r="K1475" s="10" t="n">
        <v>46085</v>
      </c>
      <c r="L1475" s="11" t="n">
        <v>1</v>
      </c>
      <c r="M1475" s="8">
        <f>L1475*G1475</f>
        <v/>
      </c>
      <c r="P1475" s="9" t="n"/>
    </row>
    <row r="1476">
      <c r="A1476" s="11" t="inlineStr">
        <is>
          <t>Stampede Rider / Ginete da Debandada</t>
        </is>
      </c>
      <c r="B1476" s="11" t="inlineStr">
        <is>
          <t>Creature — Satyr / Criatura — Sátiro</t>
        </is>
      </c>
      <c r="C1476" s="11" t="inlineStr">
        <is>
          <t>Common / Comum</t>
        </is>
      </c>
      <c r="D1476" s="11"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6" s="11" t="inlineStr">
        <is>
          <t>{2}{R}</t>
        </is>
      </c>
      <c r="F1476" s="11" t="inlineStr">
        <is>
          <t>Vermelho</t>
        </is>
      </c>
      <c r="G1476" s="8" t="n">
        <v>0.03</v>
      </c>
      <c r="H1476" s="11" t="inlineStr">
        <is>
          <t>Theros Beyond Death (THB)</t>
        </is>
      </c>
      <c r="I1476" s="11" t="inlineStr">
        <is>
          <t>Não</t>
        </is>
      </c>
      <c r="J1476" s="11" t="n">
        <v>2020</v>
      </c>
      <c r="K1476" s="10" t="n">
        <v>46083</v>
      </c>
      <c r="L1476" s="11" t="n">
        <v>1</v>
      </c>
      <c r="M1476" s="8">
        <f>L1476*G1476</f>
        <v/>
      </c>
      <c r="P1476" s="9" t="n"/>
    </row>
    <row r="1477">
      <c r="A1477" s="11" t="inlineStr">
        <is>
          <t>Precise Strike / Golpe Preciso</t>
        </is>
      </c>
      <c r="B1477" s="11" t="inlineStr">
        <is>
          <t>Instant / Mágica Instantânea</t>
        </is>
      </c>
      <c r="C1477" s="11" t="inlineStr">
        <is>
          <t>Common / Comum</t>
        </is>
      </c>
      <c r="D1477" s="11" t="inlineStr">
        <is>
          <t>Target creature gets +1/+0 and gains first strike until end of turn. / A criatura alvo recebe +1/+0 e ganha iniciativa até o final do turno.</t>
        </is>
      </c>
      <c r="E1477" s="11" t="inlineStr">
        <is>
          <t>{R}</t>
        </is>
      </c>
      <c r="F1477" s="11" t="inlineStr">
        <is>
          <t>Vermelho</t>
        </is>
      </c>
      <c r="G1477" s="8" t="n">
        <v>0.03</v>
      </c>
      <c r="H1477" s="11" t="inlineStr">
        <is>
          <t>Aether Revolt (AER)</t>
        </is>
      </c>
      <c r="I1477" s="11" t="inlineStr">
        <is>
          <t>Não</t>
        </is>
      </c>
      <c r="J1477" s="11" t="n">
        <v>2017</v>
      </c>
      <c r="L1477" s="11" t="n">
        <v>1</v>
      </c>
      <c r="M1477" s="8">
        <f>L1477*G1477</f>
        <v/>
      </c>
      <c r="P1477" s="9" t="n"/>
    </row>
    <row r="1478">
      <c r="A1478" s="11" t="inlineStr">
        <is>
          <t>Stonefury / Litofúria</t>
        </is>
      </c>
      <c r="B1478" s="11" t="inlineStr">
        <is>
          <t>Instant / Mágica Instantânea</t>
        </is>
      </c>
      <c r="C1478" s="11" t="inlineStr">
        <is>
          <t>Common / Comum</t>
        </is>
      </c>
      <c r="D1478" s="11" t="inlineStr">
        <is>
          <t>Stonefury deals damage to target creature equal to the number of lands you control. / Litofúria causa à criatura alvo uma quantidade de dano igual ao número de terrenos que você controla.</t>
        </is>
      </c>
      <c r="E1478" s="11" t="inlineStr">
        <is>
          <t>{3}{R}{R}</t>
        </is>
      </c>
      <c r="F1478" s="11" t="inlineStr">
        <is>
          <t>Vermelho</t>
        </is>
      </c>
      <c r="G1478" s="8" t="n">
        <v>0.05</v>
      </c>
      <c r="H1478" s="11" t="inlineStr">
        <is>
          <t>Commander Legends (CMR)</t>
        </is>
      </c>
      <c r="I1478" s="11" t="inlineStr">
        <is>
          <t>Não</t>
        </is>
      </c>
      <c r="J1478" s="11" t="n">
        <v>2020</v>
      </c>
      <c r="L1478" s="11" t="n">
        <v>1</v>
      </c>
      <c r="M1478" s="8">
        <f>L1478*G1478</f>
        <v/>
      </c>
      <c r="P1478" s="9" t="n"/>
    </row>
    <row r="1479">
      <c r="A1479" s="11" t="inlineStr">
        <is>
          <t>Lunar Frenzy / Frenesi Lunar</t>
        </is>
      </c>
      <c r="B1479" s="11" t="inlineStr">
        <is>
          <t>Instant / Mágica Instantânea</t>
        </is>
      </c>
      <c r="C1479" s="11" t="inlineStr">
        <is>
          <t>Uncommon / Incomum</t>
        </is>
      </c>
      <c r="D1479" s="11" t="inlineStr">
        <is>
          <t>Target creature you control gets +X/+0 and gains first strike and trample until end of turn. / A criatura alvo que você controla recebe +X/+0 e ganha iniciativa e atropelar até o final do turno.</t>
        </is>
      </c>
      <c r="E1479" s="11" t="inlineStr">
        <is>
          <t>{X}{R}</t>
        </is>
      </c>
      <c r="F1479" s="11" t="inlineStr">
        <is>
          <t>Vermelho</t>
        </is>
      </c>
      <c r="G1479" s="8" t="n">
        <v>0.15</v>
      </c>
      <c r="H1479" s="11" t="inlineStr">
        <is>
          <t>Innistrad: Midnight Hunt (MID)</t>
        </is>
      </c>
      <c r="I1479" s="11" t="inlineStr">
        <is>
          <t>Não</t>
        </is>
      </c>
      <c r="J1479" s="11" t="n">
        <v>2021</v>
      </c>
      <c r="L1479" s="11" t="n">
        <v>1</v>
      </c>
      <c r="M1479" s="8">
        <f>L1479*G1479</f>
        <v/>
      </c>
      <c r="P1479" s="9" t="n"/>
    </row>
    <row r="1480">
      <c r="A1480" s="11" t="inlineStr">
        <is>
          <t>Electrify / Eletrificar</t>
        </is>
      </c>
      <c r="B1480" s="11" t="inlineStr">
        <is>
          <t>Instant / Mágica Instantânea</t>
        </is>
      </c>
      <c r="C1480" s="11" t="inlineStr">
        <is>
          <t>Common / Comum</t>
        </is>
      </c>
      <c r="D1480" s="11" t="inlineStr">
        <is>
          <t>Electrify deals 4 damage to target creature. / Eletrificar causa 4 pontos de dano à criatura alvo.</t>
        </is>
      </c>
      <c r="E1480" s="11" t="inlineStr">
        <is>
          <t>{3}{R}</t>
        </is>
      </c>
      <c r="F1480" s="11" t="inlineStr">
        <is>
          <t>Vermelho</t>
        </is>
      </c>
      <c r="G1480" s="8" t="n">
        <v>0.03</v>
      </c>
      <c r="H1480" s="11" t="inlineStr">
        <is>
          <t>Amonkhet (AKH)</t>
        </is>
      </c>
      <c r="I1480" s="11" t="inlineStr">
        <is>
          <t>Não</t>
        </is>
      </c>
      <c r="J1480" s="11" t="n">
        <v>2017</v>
      </c>
      <c r="L1480" s="11" t="n">
        <v>1</v>
      </c>
      <c r="M1480" s="8">
        <f>L1480*G1480</f>
        <v/>
      </c>
      <c r="P1480" s="9" t="n"/>
    </row>
    <row r="1481">
      <c r="A1481" s="11" t="inlineStr">
        <is>
          <t>Unholy Heat / Calor Profano</t>
        </is>
      </c>
      <c r="B1481" s="11" t="inlineStr">
        <is>
          <t>Instant / Mágica Instantânea</t>
        </is>
      </c>
      <c r="C1481" s="11" t="inlineStr">
        <is>
          <t>Rare / Rara</t>
        </is>
      </c>
      <c r="D1481" s="11"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81" s="11" t="inlineStr">
        <is>
          <t>{R}</t>
        </is>
      </c>
      <c r="F1481" s="11" t="inlineStr">
        <is>
          <t>Vermelho</t>
        </is>
      </c>
      <c r="G1481" s="8" t="n">
        <v>1.24</v>
      </c>
      <c r="H1481" s="11" t="inlineStr">
        <is>
          <t>Secret Lair Promo (SLP)</t>
        </is>
      </c>
      <c r="I1481" s="11" t="inlineStr">
        <is>
          <t>Não</t>
        </is>
      </c>
      <c r="J1481" s="11" t="n">
        <v>2023</v>
      </c>
      <c r="L1481" s="11" t="n">
        <v>4</v>
      </c>
      <c r="M1481" s="8">
        <f>L1481*G1481</f>
        <v/>
      </c>
      <c r="P1481" s="9" t="n"/>
    </row>
    <row r="1482">
      <c r="A1482" s="11" t="inlineStr">
        <is>
          <t>Fight with Fire / Enfrentar com Fogo</t>
        </is>
      </c>
      <c r="B1482" s="11" t="inlineStr">
        <is>
          <t>Sorcery / Feitiço</t>
        </is>
      </c>
      <c r="C1482" s="11" t="inlineStr">
        <is>
          <t>Uncommon / Incomum</t>
        </is>
      </c>
      <c r="D1482" s="11"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82" s="11" t="inlineStr">
        <is>
          <t>{2}{R}</t>
        </is>
      </c>
      <c r="F1482" s="11" t="inlineStr">
        <is>
          <t>Vermelho</t>
        </is>
      </c>
      <c r="G1482" s="8" t="n">
        <v>0.04</v>
      </c>
      <c r="H1482" s="11" t="inlineStr">
        <is>
          <t>Dominaria (DOM)</t>
        </is>
      </c>
      <c r="I1482" s="11" t="inlineStr">
        <is>
          <t>Não</t>
        </is>
      </c>
      <c r="J1482" s="11" t="n">
        <v>2018</v>
      </c>
      <c r="L1482" s="11" t="n">
        <v>2</v>
      </c>
      <c r="M1482" s="8">
        <f>L1482*G1482</f>
        <v/>
      </c>
      <c r="P1482" s="9" t="n"/>
    </row>
    <row r="1483">
      <c r="A1483" s="11" t="inlineStr">
        <is>
          <t>Craterize / Craterizar</t>
        </is>
      </c>
      <c r="B1483" s="11" t="inlineStr">
        <is>
          <t>Sorcery / Feitiço</t>
        </is>
      </c>
      <c r="C1483" s="11" t="inlineStr">
        <is>
          <t>Common / Comum</t>
        </is>
      </c>
      <c r="D1483" s="11" t="inlineStr">
        <is>
          <t>Destroy target land. / Destrua o terreno alvo.</t>
        </is>
      </c>
      <c r="E1483" s="11" t="inlineStr">
        <is>
          <t>{3}{R}</t>
        </is>
      </c>
      <c r="F1483" s="11" t="inlineStr">
        <is>
          <t>Vermelho</t>
        </is>
      </c>
      <c r="G1483" s="8" t="n">
        <v>0.05</v>
      </c>
      <c r="H1483" s="11" t="inlineStr">
        <is>
          <t>Magic 2013 (M13)</t>
        </is>
      </c>
      <c r="I1483" s="11" t="inlineStr">
        <is>
          <t>Não</t>
        </is>
      </c>
      <c r="J1483" s="11" t="n">
        <v>2012</v>
      </c>
      <c r="L1483" s="11" t="n">
        <v>1</v>
      </c>
      <c r="M1483" s="8">
        <f>L1483*G1483</f>
        <v/>
      </c>
      <c r="P1483" s="9" t="n"/>
    </row>
    <row r="1484">
      <c r="A1484" s="11" t="inlineStr">
        <is>
          <t>Chain Lightning / Relâmpago em Cadeia</t>
        </is>
      </c>
      <c r="B1484" s="11" t="inlineStr">
        <is>
          <t>Sorcery / Feitiço</t>
        </is>
      </c>
      <c r="C1484" s="11" t="inlineStr">
        <is>
          <t>Common / Comum</t>
        </is>
      </c>
      <c r="D1484" s="11"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4" s="11" t="inlineStr">
        <is>
          <t>{R}</t>
        </is>
      </c>
      <c r="F1484" s="11" t="inlineStr">
        <is>
          <t>Vermelho</t>
        </is>
      </c>
      <c r="G1484" s="8" t="n">
        <v>3.15</v>
      </c>
      <c r="H1484" s="11" t="inlineStr">
        <is>
          <t>Dominaria Remastered (DMR)</t>
        </is>
      </c>
      <c r="I1484" s="11" t="inlineStr">
        <is>
          <t>Não</t>
        </is>
      </c>
      <c r="J1484" s="11" t="n">
        <v>2023</v>
      </c>
      <c r="L1484" s="11" t="n">
        <v>3</v>
      </c>
      <c r="M1484" s="8">
        <f>L1484*G1484</f>
        <v/>
      </c>
      <c r="P1484" s="9" t="n"/>
    </row>
    <row r="1485">
      <c r="A1485" s="11" t="inlineStr">
        <is>
          <t>Chain Lightning / Relâmpago em Cadeia</t>
        </is>
      </c>
      <c r="B1485" s="11" t="inlineStr">
        <is>
          <t>Sorcery / Feitiço</t>
        </is>
      </c>
      <c r="C1485" s="11" t="inlineStr">
        <is>
          <t>Common / Comum</t>
        </is>
      </c>
      <c r="D1485" s="11"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5" s="11" t="inlineStr">
        <is>
          <t>{R}</t>
        </is>
      </c>
      <c r="F1485" s="11" t="inlineStr">
        <is>
          <t>Vermelho</t>
        </is>
      </c>
      <c r="G1485" s="8" t="n">
        <v>4.75</v>
      </c>
      <c r="H1485" s="11" t="inlineStr">
        <is>
          <t>Jumpstart (JMP)</t>
        </is>
      </c>
      <c r="I1485" s="11" t="inlineStr">
        <is>
          <t>Não</t>
        </is>
      </c>
      <c r="J1485" s="11" t="n">
        <v>2020</v>
      </c>
      <c r="L1485" s="11" t="n">
        <v>1</v>
      </c>
      <c r="M1485" s="8">
        <f>L1485*G1485</f>
        <v/>
      </c>
      <c r="P1485" s="9" t="n"/>
    </row>
    <row r="1486">
      <c r="A1486" s="11" t="inlineStr">
        <is>
          <t>Fanged Flames / Chamas Dentadas</t>
        </is>
      </c>
      <c r="B1486" s="11" t="inlineStr">
        <is>
          <t>Sorcery / Feitiço</t>
        </is>
      </c>
      <c r="C1486" s="11" t="inlineStr">
        <is>
          <t>Common / Comum</t>
        </is>
      </c>
      <c r="D1486" s="11"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6" s="11" t="inlineStr">
        <is>
          <t>{1}{R}</t>
        </is>
      </c>
      <c r="F1486" s="11" t="inlineStr">
        <is>
          <t>Vermelho</t>
        </is>
      </c>
      <c r="G1486" s="8" t="n">
        <v>0.28</v>
      </c>
      <c r="H1486" s="11" t="inlineStr">
        <is>
          <t>Modern Horizons 3 (MH3)</t>
        </is>
      </c>
      <c r="I1486" s="11" t="inlineStr">
        <is>
          <t>Não</t>
        </is>
      </c>
      <c r="J1486" s="11" t="n">
        <v>2024</v>
      </c>
      <c r="L1486" s="11" t="n">
        <v>2</v>
      </c>
      <c r="M1486" s="8">
        <f>L1486*G1486</f>
        <v/>
      </c>
      <c r="P1486" s="9" t="n"/>
    </row>
    <row r="1487">
      <c r="A1487" s="11" t="inlineStr">
        <is>
          <t>Skewer the Critics / Alfinetada nos Críticos</t>
        </is>
      </c>
      <c r="B1487" s="11" t="inlineStr">
        <is>
          <t>Sorcery / Feitiço</t>
        </is>
      </c>
      <c r="C1487" s="11" t="inlineStr">
        <is>
          <t>Common / Comum</t>
        </is>
      </c>
      <c r="D1487" s="11"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7" s="11" t="inlineStr">
        <is>
          <t>{2}{R}</t>
        </is>
      </c>
      <c r="F1487" s="11" t="inlineStr">
        <is>
          <t>Vermelho</t>
        </is>
      </c>
      <c r="G1487" s="8" t="n">
        <v>0.21</v>
      </c>
      <c r="H1487" s="11" t="inlineStr">
        <is>
          <t>Ravnica Allegiance (RNA)</t>
        </is>
      </c>
      <c r="I1487" s="11" t="inlineStr">
        <is>
          <t>Não</t>
        </is>
      </c>
      <c r="J1487" s="11" t="n">
        <v>2019</v>
      </c>
      <c r="L1487" s="11" t="n">
        <v>4</v>
      </c>
      <c r="M1487" s="8">
        <f>L1487*G1487</f>
        <v/>
      </c>
      <c r="P1487" s="9" t="n"/>
    </row>
    <row r="1488">
      <c r="A1488" s="11" t="inlineStr">
        <is>
          <t>Faithless Looting / Pilhagem Infiel</t>
        </is>
      </c>
      <c r="B1488" s="11" t="inlineStr">
        <is>
          <t>Sorcery / Feitiço</t>
        </is>
      </c>
      <c r="C1488" s="11" t="inlineStr">
        <is>
          <t>Common / Comum</t>
        </is>
      </c>
      <c r="D1488" s="11"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8" s="11" t="inlineStr">
        <is>
          <t>{R}</t>
        </is>
      </c>
      <c r="F1488" s="11" t="inlineStr">
        <is>
          <t>Vermelho</t>
        </is>
      </c>
      <c r="G1488" s="8" t="n">
        <v>3.07</v>
      </c>
      <c r="H1488" s="11" t="inlineStr">
        <is>
          <t>Dark Ascension (DKA)</t>
        </is>
      </c>
      <c r="I1488" s="11" t="inlineStr">
        <is>
          <t>Não</t>
        </is>
      </c>
      <c r="J1488" s="11" t="n">
        <v>2012</v>
      </c>
      <c r="L1488" s="11" t="n">
        <v>1</v>
      </c>
      <c r="M1488" s="8">
        <f>L1488*G1488</f>
        <v/>
      </c>
      <c r="P1488" s="9" t="n"/>
    </row>
    <row r="1489">
      <c r="A1489" s="11" t="inlineStr">
        <is>
          <t>Destructive Tampering / Modificação Destrutiva</t>
        </is>
      </c>
      <c r="B1489" s="11" t="inlineStr">
        <is>
          <t>Sorcery / Feitiço</t>
        </is>
      </c>
      <c r="C1489" s="11" t="inlineStr">
        <is>
          <t>Common / Comum</t>
        </is>
      </c>
      <c r="D1489" s="11" t="inlineStr">
        <is>
          <t>Choose one — • Destroy target artifact. • Creatures without flying can't block this turn. / Escolha um — • Destrua o artefato alvo. • As criaturas sem voar não podem bloquear neste turno.</t>
        </is>
      </c>
      <c r="E1489" s="11" t="inlineStr">
        <is>
          <t>{2}{R}</t>
        </is>
      </c>
      <c r="F1489" s="11" t="inlineStr">
        <is>
          <t>Vermelho</t>
        </is>
      </c>
      <c r="G1489" s="8" t="n">
        <v>0.03</v>
      </c>
      <c r="H1489" s="11" t="inlineStr">
        <is>
          <t>Aether Revolt (AER)</t>
        </is>
      </c>
      <c r="I1489" s="11" t="inlineStr">
        <is>
          <t>Não</t>
        </is>
      </c>
      <c r="J1489" s="11" t="n">
        <v>2017</v>
      </c>
      <c r="L1489" s="11" t="n">
        <v>1</v>
      </c>
      <c r="M1489" s="8">
        <f>L1489*G1489</f>
        <v/>
      </c>
      <c r="P1489" s="9" t="n"/>
    </row>
    <row r="1490">
      <c r="A1490" s="11" t="inlineStr">
        <is>
          <t>Mugging / Assaltar</t>
        </is>
      </c>
      <c r="B1490" s="11" t="inlineStr">
        <is>
          <t>Sorcery / Feitiço</t>
        </is>
      </c>
      <c r="C1490" s="11" t="inlineStr">
        <is>
          <t>Common / Comum</t>
        </is>
      </c>
      <c r="D1490" s="11" t="inlineStr">
        <is>
          <t>Mugging deals 2 damage to target creature. That creature can't block this turn. / Assaltar causa 2 pontos de dano à criatura alvo. Aquela criatura não pode bloquear neste turno.</t>
        </is>
      </c>
      <c r="E1490" s="11" t="inlineStr">
        <is>
          <t>{R}</t>
        </is>
      </c>
      <c r="F1490" s="11" t="inlineStr">
        <is>
          <t>Vermelho</t>
        </is>
      </c>
      <c r="G1490" s="8" t="n">
        <v>0.05</v>
      </c>
      <c r="H1490" s="11" t="inlineStr">
        <is>
          <t>Gatecrash (GTC)</t>
        </is>
      </c>
      <c r="I1490" s="11" t="inlineStr">
        <is>
          <t>Não</t>
        </is>
      </c>
      <c r="J1490" s="11" t="n">
        <v>2013</v>
      </c>
      <c r="L1490" s="11" t="n">
        <v>1</v>
      </c>
      <c r="M1490" s="8">
        <f>L1490*G1490</f>
        <v/>
      </c>
      <c r="P1490" s="9" t="n"/>
    </row>
    <row r="1491">
      <c r="A1491" s="11" t="inlineStr">
        <is>
          <t>Thundering Rebuke / Repreensão Trovejante</t>
        </is>
      </c>
      <c r="B1491" s="11" t="inlineStr">
        <is>
          <t>Sorcery / Feitiço</t>
        </is>
      </c>
      <c r="C1491" s="11" t="inlineStr">
        <is>
          <t>Uncommon / Incomum</t>
        </is>
      </c>
      <c r="D1491" s="11" t="inlineStr">
        <is>
          <t>Thundering Rebuke deals 4 damage to target creature or planeswalker. / Repreensão Trovejante causa 4 pontos de dano à criatura ou ao planeswalker alvo.</t>
        </is>
      </c>
      <c r="E1491" s="11" t="inlineStr">
        <is>
          <t>{1}{R}</t>
        </is>
      </c>
      <c r="F1491" s="11" t="inlineStr">
        <is>
          <t>Vermelho</t>
        </is>
      </c>
      <c r="G1491" s="8" t="n">
        <v>0.1</v>
      </c>
      <c r="H1491" s="11" t="inlineStr">
        <is>
          <t>Zendikar Rising (ZNR)</t>
        </is>
      </c>
      <c r="I1491" s="11" t="inlineStr">
        <is>
          <t>Não</t>
        </is>
      </c>
      <c r="J1491" s="11" t="n">
        <v>2020</v>
      </c>
      <c r="L1491" s="11" t="n">
        <v>1</v>
      </c>
      <c r="M1491" s="8">
        <f>L1491*G1491</f>
        <v/>
      </c>
      <c r="P1491" s="9" t="n"/>
    </row>
    <row r="1492">
      <c r="A1492" s="11" t="inlineStr">
        <is>
          <t>Reduce to Ashes / Reduzir a Cinzas</t>
        </is>
      </c>
      <c r="B1492" s="11" t="inlineStr">
        <is>
          <t>Sorcery / Feitiço</t>
        </is>
      </c>
      <c r="C1492" s="11" t="inlineStr">
        <is>
          <t>Common / Comum</t>
        </is>
      </c>
      <c r="D1492" s="11" t="inlineStr">
        <is>
          <t>Reduce to Ashes deals 5 damage to target creature. If that creature would die this turn, exile it instead. / Reduzir a Cinzas causa 5 pontos de dano à criatura alvo. Se aquela criatura for morrer neste turno, em vez disso, exile-a.</t>
        </is>
      </c>
      <c r="E1492" s="11" t="inlineStr">
        <is>
          <t>{4}{R}</t>
        </is>
      </c>
      <c r="F1492" s="11" t="inlineStr">
        <is>
          <t>Vermelho</t>
        </is>
      </c>
      <c r="G1492" s="8" t="n">
        <v>0.06</v>
      </c>
      <c r="H1492" s="11" t="inlineStr">
        <is>
          <t>Shadows over Innistrad (SOI)</t>
        </is>
      </c>
      <c r="I1492" s="11" t="inlineStr">
        <is>
          <t>Não</t>
        </is>
      </c>
      <c r="J1492" s="11" t="n">
        <v>2016</v>
      </c>
      <c r="L1492" s="11" t="n">
        <v>1</v>
      </c>
      <c r="M1492" s="8">
        <f>L1492*G1492</f>
        <v/>
      </c>
      <c r="P1492" s="9" t="n"/>
    </row>
    <row r="1493">
      <c r="A1493" s="11" t="inlineStr">
        <is>
          <t>Goblin Gathering / Encontro de Goblins</t>
        </is>
      </c>
      <c r="B1493" s="11" t="inlineStr">
        <is>
          <t>Sorcery / Feitiço</t>
        </is>
      </c>
      <c r="C1493" s="11" t="inlineStr">
        <is>
          <t>Common / Comum</t>
        </is>
      </c>
      <c r="D1493" s="11"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93" s="11" t="inlineStr">
        <is>
          <t>{2}{R}</t>
        </is>
      </c>
      <c r="F1493" s="11" t="inlineStr">
        <is>
          <t>Vermelho</t>
        </is>
      </c>
      <c r="G1493" s="8" t="n">
        <v>0.06</v>
      </c>
      <c r="H1493" s="11" t="inlineStr">
        <is>
          <t>Ravnica Allegiance (RNA)</t>
        </is>
      </c>
      <c r="I1493" s="11" t="inlineStr">
        <is>
          <t>Não</t>
        </is>
      </c>
      <c r="J1493" s="11" t="n">
        <v>2019</v>
      </c>
      <c r="L1493" s="11" t="n">
        <v>1</v>
      </c>
      <c r="M1493" s="8">
        <f>L1493*G1493</f>
        <v/>
      </c>
      <c r="P1493" s="9" t="n"/>
    </row>
    <row r="1494">
      <c r="A1494" s="11" t="inlineStr">
        <is>
          <t>Hordeling Outburst / Ataque da Mini-horda</t>
        </is>
      </c>
      <c r="B1494" s="11" t="inlineStr">
        <is>
          <t>Sorcery / Feitiço</t>
        </is>
      </c>
      <c r="C1494" s="11" t="inlineStr">
        <is>
          <t>Common / Comum</t>
        </is>
      </c>
      <c r="D1494" s="11" t="inlineStr">
        <is>
          <t>Create three 1/1 red Goblin creature tokens. / Coloque no campo de batalha três fichas de criatura vermelhas 1/1 do tipo Goblin.</t>
        </is>
      </c>
      <c r="E1494" s="11" t="inlineStr">
        <is>
          <t>{1}{R}{R}</t>
        </is>
      </c>
      <c r="F1494" s="11" t="inlineStr">
        <is>
          <t>Vermelho</t>
        </is>
      </c>
      <c r="G1494" s="8" t="n">
        <v>1.31</v>
      </c>
      <c r="H1494" s="11" t="inlineStr">
        <is>
          <t>Masters 25 (A25)</t>
        </is>
      </c>
      <c r="I1494" s="11" t="inlineStr">
        <is>
          <t>Não</t>
        </is>
      </c>
      <c r="J1494" s="11" t="n">
        <v>2018</v>
      </c>
      <c r="L1494" s="11" t="n">
        <v>1</v>
      </c>
      <c r="M1494" s="8">
        <f>L1494*G1494</f>
        <v/>
      </c>
      <c r="P1494" s="9" t="n"/>
    </row>
    <row r="1495">
      <c r="A1495" s="11" t="inlineStr">
        <is>
          <t>Cavalcade of Calamity / Parada da Calamidade</t>
        </is>
      </c>
      <c r="B1495" s="11" t="inlineStr">
        <is>
          <t>Enchantment / Encantamento</t>
        </is>
      </c>
      <c r="C1495" s="11" t="inlineStr">
        <is>
          <t>Uncommon / Incomum</t>
        </is>
      </c>
      <c r="D1495" s="11"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95" s="11" t="inlineStr">
        <is>
          <t>{1}{R}</t>
        </is>
      </c>
      <c r="F1495" s="11" t="inlineStr">
        <is>
          <t>Vermelho</t>
        </is>
      </c>
      <c r="G1495" s="8" t="n">
        <v>0.13</v>
      </c>
      <c r="H1495" s="11" t="inlineStr">
        <is>
          <t>Ravnica Allegiance (RNA)</t>
        </is>
      </c>
      <c r="I1495" s="11" t="inlineStr">
        <is>
          <t>Não</t>
        </is>
      </c>
      <c r="J1495" s="11" t="n">
        <v>2019</v>
      </c>
      <c r="L1495" s="11" t="n">
        <v>1</v>
      </c>
      <c r="M1495" s="8">
        <f>L1495*G1495</f>
        <v/>
      </c>
      <c r="P1495" s="9" t="n"/>
    </row>
    <row r="1496">
      <c r="A1496" s="11" t="inlineStr">
        <is>
          <t>Trial of Zeal / Prova do Zelo</t>
        </is>
      </c>
      <c r="B1496" s="11" t="inlineStr">
        <is>
          <t>Enchantment / Encantamento</t>
        </is>
      </c>
      <c r="C1496" s="11" t="inlineStr">
        <is>
          <t>Uncommon / Incomum</t>
        </is>
      </c>
      <c r="D1496" s="11"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6" s="11" t="inlineStr">
        <is>
          <t>{2}{R}</t>
        </is>
      </c>
      <c r="F1496" s="11" t="inlineStr">
        <is>
          <t>Vermelho</t>
        </is>
      </c>
      <c r="G1496" s="8" t="n">
        <v>0.06</v>
      </c>
      <c r="H1496" s="11" t="inlineStr">
        <is>
          <t>Amonkhet (AKH)</t>
        </is>
      </c>
      <c r="I1496" s="11" t="inlineStr">
        <is>
          <t>Não</t>
        </is>
      </c>
      <c r="J1496" s="11" t="n">
        <v>2017</v>
      </c>
      <c r="L1496" s="11" t="n">
        <v>1</v>
      </c>
      <c r="M1496" s="8">
        <f>L1496*G1496</f>
        <v/>
      </c>
      <c r="P1496" s="9" t="n"/>
    </row>
    <row r="1497">
      <c r="A1497" s="11" t="inlineStr">
        <is>
          <t>Fearsome Temper / Temperamento Medonho</t>
        </is>
      </c>
      <c r="B1497" s="11" t="inlineStr">
        <is>
          <t>Enchantment — Aura / Encantamento — Aura</t>
        </is>
      </c>
      <c r="C1497" s="11" t="inlineStr">
        <is>
          <t>Common / Comum</t>
        </is>
      </c>
      <c r="D1497" s="11" t="inlineStr">
        <is>
          <t>Enchant creature Enchanted creature gets +2/+2 and has "{2}{R}: Target creature can't block this creature this turn." / Encantar criatura A criatura encantada recebe +2/+2 e tem "{2}{R}: A criatura alvo não pode bloquear esta criatura neste turno."</t>
        </is>
      </c>
      <c r="E1497" s="11" t="inlineStr">
        <is>
          <t>{2}{R}</t>
        </is>
      </c>
      <c r="F1497" s="11" t="inlineStr">
        <is>
          <t>Vermelho</t>
        </is>
      </c>
      <c r="G1497" s="8" t="n">
        <v>0.03</v>
      </c>
      <c r="H1497" s="11" t="inlineStr">
        <is>
          <t>Born of the Gods (BNG)</t>
        </is>
      </c>
      <c r="I1497" s="11" t="inlineStr">
        <is>
          <t>Não</t>
        </is>
      </c>
      <c r="J1497" s="11" t="n">
        <v>2014</v>
      </c>
      <c r="L1497" s="11" t="n">
        <v>1</v>
      </c>
      <c r="M1497" s="8">
        <f>L1497*G1497</f>
        <v/>
      </c>
      <c r="P1497" s="9" t="n"/>
    </row>
    <row r="1498">
      <c r="A1498" s="11" t="inlineStr">
        <is>
          <t>Battle Plan / Plano de Batalha</t>
        </is>
      </c>
      <c r="B1498" s="11" t="inlineStr">
        <is>
          <t>Enchantment / Encantamento</t>
        </is>
      </c>
      <c r="C1498" s="11" t="inlineStr">
        <is>
          <t>Common / Comum</t>
        </is>
      </c>
      <c r="D1498" s="11"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8" s="11" t="inlineStr">
        <is>
          <t>{3}{R}</t>
        </is>
      </c>
      <c r="F1498" s="11" t="inlineStr">
        <is>
          <t>Vermelho</t>
        </is>
      </c>
      <c r="G1498" s="8" t="n">
        <v>0.04</v>
      </c>
      <c r="H1498" s="11" t="inlineStr">
        <is>
          <t>Modern Horizons 2 (MH2)</t>
        </is>
      </c>
      <c r="I1498" s="11" t="inlineStr">
        <is>
          <t>Não</t>
        </is>
      </c>
      <c r="J1498" s="11" t="n">
        <v>2021</v>
      </c>
      <c r="L1498" s="11" t="n">
        <v>1</v>
      </c>
      <c r="M1498" s="8">
        <f>L1498*G1498</f>
        <v/>
      </c>
      <c r="P1498" s="9" t="n"/>
    </row>
    <row r="1499">
      <c r="A1499" s="11" t="inlineStr">
        <is>
          <t>Dragon Grip / Garra do Dragão</t>
        </is>
      </c>
      <c r="B1499" s="11" t="inlineStr">
        <is>
          <t>Enchantment — Aura / Encantamento — Aura</t>
        </is>
      </c>
      <c r="C1499" s="11" t="inlineStr">
        <is>
          <t>Uncommon / Incomum</t>
        </is>
      </c>
      <c r="D1499" s="11"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9" s="11" t="inlineStr">
        <is>
          <t>{2}{R}</t>
        </is>
      </c>
      <c r="F1499" s="11" t="inlineStr">
        <is>
          <t>Vermelho</t>
        </is>
      </c>
      <c r="G1499" s="8" t="n">
        <v>0.06</v>
      </c>
      <c r="H1499" s="11" t="inlineStr">
        <is>
          <t>Khans of Tarkir (KTK)</t>
        </is>
      </c>
      <c r="I1499" s="11" t="inlineStr">
        <is>
          <t>Não</t>
        </is>
      </c>
      <c r="J1499" s="11" t="n">
        <v>2014</v>
      </c>
      <c r="L1499" s="11" t="n">
        <v>1</v>
      </c>
      <c r="M1499" s="8">
        <f>L1499*G1499</f>
        <v/>
      </c>
      <c r="P1499" s="9" t="n"/>
    </row>
    <row r="1500">
      <c r="A1500" s="11" t="inlineStr">
        <is>
          <t>Crackling Perimeter / Perímetro de Crepitação</t>
        </is>
      </c>
      <c r="B1500" s="11" t="inlineStr">
        <is>
          <t>Enchantment / Encantamento</t>
        </is>
      </c>
      <c r="C1500" s="11" t="inlineStr">
        <is>
          <t>Uncommon / Incomum</t>
        </is>
      </c>
      <c r="D1500" s="11" t="inlineStr">
        <is>
          <t>Tap an untapped Gate you control: This enchantment deals 1 damage to each opponent. / Vire um Portão desvirado que você controla: Perímetro de Crepitação causa 1 ponto de dano a cada oponente.</t>
        </is>
      </c>
      <c r="E1500" s="11" t="inlineStr">
        <is>
          <t>{1}{R}</t>
        </is>
      </c>
      <c r="F1500" s="11" t="inlineStr">
        <is>
          <t>Vermelho</t>
        </is>
      </c>
      <c r="G1500" s="8" t="n">
        <v>0.15</v>
      </c>
      <c r="H1500" s="11" t="inlineStr">
        <is>
          <t>Gatecrash (GTC)</t>
        </is>
      </c>
      <c r="I1500" s="11" t="inlineStr">
        <is>
          <t>Não</t>
        </is>
      </c>
      <c r="J1500" s="11" t="n">
        <v>2013</v>
      </c>
      <c r="L1500" s="11" t="n">
        <v>1</v>
      </c>
      <c r="M1500" s="8">
        <f>L1500*G1500</f>
        <v/>
      </c>
      <c r="P1500" s="9" t="n"/>
    </row>
    <row r="1501">
      <c r="A1501" s="11" t="inlineStr">
        <is>
          <t>Aspect of Manticore / Aspecto da Mantícora</t>
        </is>
      </c>
      <c r="B1501" s="11" t="inlineStr">
        <is>
          <t>Enchantment — Aura / Encantamento — Aura</t>
        </is>
      </c>
      <c r="C1501" s="11" t="inlineStr">
        <is>
          <t>Common / Comum</t>
        </is>
      </c>
      <c r="D1501" s="11"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501" s="11" t="inlineStr">
        <is>
          <t>{2}{R}</t>
        </is>
      </c>
      <c r="F1501" s="11" t="inlineStr">
        <is>
          <t>Vermelho</t>
        </is>
      </c>
      <c r="G1501" s="8" t="n">
        <v>0.03</v>
      </c>
      <c r="H1501" s="11" t="inlineStr">
        <is>
          <t>Theros Beyond Death (THB)</t>
        </is>
      </c>
      <c r="I1501" s="11" t="inlineStr">
        <is>
          <t>Não</t>
        </is>
      </c>
      <c r="J1501" s="11" t="n">
        <v>2020</v>
      </c>
      <c r="L1501" s="11" t="n">
        <v>1</v>
      </c>
      <c r="M1501" s="8">
        <f>L1501*G1501</f>
        <v/>
      </c>
      <c r="P1501" s="9" t="n"/>
    </row>
    <row r="1502">
      <c r="A1502" s="11" t="inlineStr">
        <is>
          <t>Blood Sun / Sol Sangrento</t>
        </is>
      </c>
      <c r="B1502" s="11" t="inlineStr">
        <is>
          <t>Enchantment / Encantamento</t>
        </is>
      </c>
      <c r="C1502" s="11" t="inlineStr">
        <is>
          <t>Rare / Rara</t>
        </is>
      </c>
      <c r="D1502" s="11" t="inlineStr">
        <is>
          <t>When this enchantment enters, draw a card. All lands lose all abilities except mana abilities. / Quando Sol Sangrento entrar no campo de batalha, compre um card. Todos os terrenos perdem todas as habilidades, exceto as habilidades de mana.</t>
        </is>
      </c>
      <c r="E1502" s="11" t="inlineStr">
        <is>
          <t>{2}{R}</t>
        </is>
      </c>
      <c r="F1502" s="11" t="inlineStr">
        <is>
          <t>Vermelho</t>
        </is>
      </c>
      <c r="G1502" s="8" t="n">
        <v>0.75</v>
      </c>
      <c r="H1502" s="11" t="inlineStr">
        <is>
          <t>Rivals of Ixalan (RIX)</t>
        </is>
      </c>
      <c r="I1502" s="11" t="inlineStr">
        <is>
          <t>Não</t>
        </is>
      </c>
      <c r="J1502" s="11" t="n">
        <v>2018</v>
      </c>
      <c r="L1502" s="11" t="n">
        <v>1</v>
      </c>
      <c r="M1502" s="8">
        <f>L1502*G1502</f>
        <v/>
      </c>
      <c r="P1502" s="9" t="n"/>
    </row>
    <row r="1503">
      <c r="A1503" s="11" t="inlineStr">
        <is>
          <t>The Flame of Keld / A Chama de Keld</t>
        </is>
      </c>
      <c r="B1503" s="11" t="inlineStr">
        <is>
          <t>Enchantment — Saga / Encantamento — Saga</t>
        </is>
      </c>
      <c r="C1503" s="11" t="inlineStr">
        <is>
          <t>Uncommon / Incomum</t>
        </is>
      </c>
      <c r="D1503" s="11"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503" s="11" t="inlineStr">
        <is>
          <t>{1}{R}</t>
        </is>
      </c>
      <c r="F1503" s="11" t="inlineStr">
        <is>
          <t>Vermelho</t>
        </is>
      </c>
      <c r="G1503" s="8" t="n">
        <v>0.2</v>
      </c>
      <c r="H1503" s="11" t="inlineStr">
        <is>
          <t>Dominaria (DOM)</t>
        </is>
      </c>
      <c r="I1503" s="11" t="inlineStr">
        <is>
          <t>Não</t>
        </is>
      </c>
      <c r="J1503" s="11" t="n">
        <v>2018</v>
      </c>
      <c r="L1503" s="11" t="n">
        <v>1</v>
      </c>
      <c r="M1503" s="8">
        <f>L1503*G1503</f>
        <v/>
      </c>
      <c r="P1503" s="9" t="n"/>
    </row>
    <row r="1504">
      <c r="A1504" s="11" t="inlineStr">
        <is>
          <t>Barbed Batterfist / Punho Batedor Farpado</t>
        </is>
      </c>
      <c r="B1504" s="11" t="inlineStr">
        <is>
          <t>Artifact — Equipment / Artefato — Equipamento</t>
        </is>
      </c>
      <c r="C1504" s="11" t="inlineStr">
        <is>
          <t>Common / Comum</t>
        </is>
      </c>
      <c r="D1504" s="11"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4" s="11" t="inlineStr">
        <is>
          <t>{1}{R}</t>
        </is>
      </c>
      <c r="F1504" s="11" t="inlineStr">
        <is>
          <t>Vermelho</t>
        </is>
      </c>
      <c r="G1504" s="8" t="n">
        <v>0.49</v>
      </c>
      <c r="H1504" s="11" t="inlineStr">
        <is>
          <t>Phyrexia: All Will Be One (ONE)</t>
        </is>
      </c>
      <c r="I1504" s="11" t="inlineStr">
        <is>
          <t>Sim</t>
        </is>
      </c>
      <c r="J1504" s="11" t="n">
        <v>2023</v>
      </c>
      <c r="L1504" s="11" t="n">
        <v>1</v>
      </c>
      <c r="M1504" s="8">
        <f>L1504*G1504</f>
        <v/>
      </c>
      <c r="P1504" s="9" t="n"/>
    </row>
    <row r="1505">
      <c r="A1505" s="11" t="inlineStr">
        <is>
          <t>Barbed Batterfist / Punho Batedor Farpado</t>
        </is>
      </c>
      <c r="B1505" s="11" t="inlineStr">
        <is>
          <t>Artifact — Equipment / Artefato — Equipamento</t>
        </is>
      </c>
      <c r="C1505" s="11" t="inlineStr">
        <is>
          <t>Common / Comum</t>
        </is>
      </c>
      <c r="D1505" s="11"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5" s="11" t="inlineStr">
        <is>
          <t>{1}{R}</t>
        </is>
      </c>
      <c r="F1505" s="11" t="inlineStr">
        <is>
          <t>Vermelho</t>
        </is>
      </c>
      <c r="G1505" s="8" t="n">
        <v>0.09</v>
      </c>
      <c r="H1505" s="11" t="inlineStr">
        <is>
          <t>Phyrexia: All Will Be One (ONE)</t>
        </is>
      </c>
      <c r="I1505" s="11" t="inlineStr">
        <is>
          <t>Não</t>
        </is>
      </c>
      <c r="J1505" s="11" t="n">
        <v>2023</v>
      </c>
      <c r="L1505" s="11" t="n">
        <v>3</v>
      </c>
      <c r="M1505" s="8">
        <f>L1505*G1505</f>
        <v/>
      </c>
      <c r="P1505" s="9" t="n"/>
    </row>
    <row r="1506">
      <c r="A1506" s="11" t="inlineStr">
        <is>
          <t>Scavenged Blade / Lâmina Salvada</t>
        </is>
      </c>
      <c r="B1506" s="11" t="inlineStr">
        <is>
          <t>Artifact — Equipment / Artefato — Equipamento</t>
        </is>
      </c>
      <c r="C1506" s="11" t="inlineStr">
        <is>
          <t>Common / Comum</t>
        </is>
      </c>
      <c r="D1506" s="11"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6" s="11" t="inlineStr">
        <is>
          <t>{1}{R}</t>
        </is>
      </c>
      <c r="F1506" s="11" t="inlineStr">
        <is>
          <t>Vermelho</t>
        </is>
      </c>
      <c r="G1506" s="8" t="n">
        <v>0.05</v>
      </c>
      <c r="H1506" s="11" t="inlineStr">
        <is>
          <t>Zendikar Rising (ZNR)</t>
        </is>
      </c>
      <c r="I1506" s="11" t="inlineStr">
        <is>
          <t>Não</t>
        </is>
      </c>
      <c r="J1506" s="11" t="n">
        <v>2020</v>
      </c>
      <c r="L1506" s="11" t="n">
        <v>1</v>
      </c>
      <c r="M1506" s="8">
        <f>L1506*G1506</f>
        <v/>
      </c>
      <c r="P1506" s="9" t="n"/>
    </row>
    <row r="1507">
      <c r="A1507" s="11" t="inlineStr">
        <is>
          <t>Shah of Naar Isle / Xá da Ilha Naar</t>
        </is>
      </c>
      <c r="B1507" s="11" t="inlineStr">
        <is>
          <t>Creature — Efreet / Criatura — Efrite</t>
        </is>
      </c>
      <c r="C1507" s="11" t="inlineStr">
        <is>
          <t>Rare / Rara</t>
        </is>
      </c>
      <c r="D1507" s="11"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7" s="11" t="inlineStr">
        <is>
          <t>{3}{R}</t>
        </is>
      </c>
      <c r="F1507" s="11" t="inlineStr">
        <is>
          <t>Vermelho</t>
        </is>
      </c>
      <c r="G1507" s="8" t="n">
        <v>0.45</v>
      </c>
      <c r="H1507" s="11" t="inlineStr">
        <is>
          <t>Future Sight (FUT)</t>
        </is>
      </c>
      <c r="I1507" s="11" t="inlineStr">
        <is>
          <t>Não</t>
        </is>
      </c>
      <c r="J1507" s="11" t="n">
        <v>2007</v>
      </c>
      <c r="K1507" s="10" t="n">
        <v>46179</v>
      </c>
      <c r="L1507" s="11" t="n">
        <v>1</v>
      </c>
      <c r="M1507" s="8">
        <f>L1507*G1507</f>
        <v/>
      </c>
      <c r="P1507" s="9" t="n"/>
    </row>
    <row r="1508">
      <c r="A1508" s="11" t="inlineStr">
        <is>
          <t>Clamor Shaman / Xamã do Clamor</t>
        </is>
      </c>
      <c r="B1508" s="11" t="inlineStr">
        <is>
          <t>Creature — Goblin Shaman / Criatura — Goblin Xamã</t>
        </is>
      </c>
      <c r="C1508" s="11" t="inlineStr">
        <is>
          <t>Uncommon / Incomum</t>
        </is>
      </c>
      <c r="D1508" s="11"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8" s="11" t="inlineStr">
        <is>
          <t>{2}{R}</t>
        </is>
      </c>
      <c r="F1508" s="11" t="inlineStr">
        <is>
          <t>Vermelho</t>
        </is>
      </c>
      <c r="G1508" s="8" t="n">
        <v>0.04</v>
      </c>
      <c r="H1508" s="11" t="inlineStr">
        <is>
          <t>Ravnica Allegiance (RNA)</t>
        </is>
      </c>
      <c r="I1508" s="11" t="inlineStr">
        <is>
          <t>Não</t>
        </is>
      </c>
      <c r="J1508" s="11" t="n">
        <v>2019</v>
      </c>
      <c r="K1508" s="10" t="n">
        <v>46023</v>
      </c>
      <c r="L1508" s="11" t="n">
        <v>1</v>
      </c>
      <c r="M1508" s="8">
        <f>L1508*G1508</f>
        <v/>
      </c>
      <c r="P1508" s="9" t="n"/>
    </row>
    <row r="1509">
      <c r="A1509" s="11" t="inlineStr">
        <is>
          <t>Goblin Brawler / Rufião Goblin</t>
        </is>
      </c>
      <c r="B1509" s="11" t="inlineStr">
        <is>
          <t>Creature — Goblin Warrior / Criatura — Goblin Guerreiro</t>
        </is>
      </c>
      <c r="C1509" s="11" t="inlineStr">
        <is>
          <t>Common / Comum</t>
        </is>
      </c>
      <c r="D1509" s="11" t="inlineStr">
        <is>
          <t>First strike This creature can't be equipped. / Iniciativa Rufião Goblin não pode ser equipado.</t>
        </is>
      </c>
      <c r="E1509" s="11" t="inlineStr">
        <is>
          <t>{2}{R}</t>
        </is>
      </c>
      <c r="F1509" s="11" t="inlineStr">
        <is>
          <t>Vermelho</t>
        </is>
      </c>
      <c r="G1509" s="8" t="n">
        <v>0.06</v>
      </c>
      <c r="H1509" s="11" t="inlineStr">
        <is>
          <t>Fifth Dawn (5DN)</t>
        </is>
      </c>
      <c r="I1509" s="11" t="inlineStr">
        <is>
          <t>Não</t>
        </is>
      </c>
      <c r="J1509" s="11" t="n">
        <v>2004</v>
      </c>
      <c r="K1509" s="10" t="n">
        <v>46055</v>
      </c>
      <c r="L1509" s="11" t="n">
        <v>1</v>
      </c>
      <c r="M1509" s="8">
        <f>L1509*G1509</f>
        <v/>
      </c>
      <c r="P1509" s="9" t="n"/>
    </row>
    <row r="1510">
      <c r="A1510" s="11" t="inlineStr">
        <is>
          <t>Krark-Clan Stoker / Foguista do Clã de Krark</t>
        </is>
      </c>
      <c r="B1510" s="11" t="inlineStr">
        <is>
          <t>Creature — Goblin Shaman / Criatura — Xamã Goblin</t>
        </is>
      </c>
      <c r="C1510" s="11" t="inlineStr">
        <is>
          <t>Common / Comum</t>
        </is>
      </c>
      <c r="D1510" s="11" t="inlineStr">
        <is>
          <t>{T}, Sacrifice an artifact: Add {R}{R}. / {T}, Sacrifique um artefato: Adiciona {R}{R} à sua reserva de mana.</t>
        </is>
      </c>
      <c r="E1510" s="11" t="inlineStr">
        <is>
          <t>{2}{R}</t>
        </is>
      </c>
      <c r="F1510" s="11" t="inlineStr">
        <is>
          <t>Vermelho</t>
        </is>
      </c>
      <c r="G1510" s="8" t="n">
        <v>0.05</v>
      </c>
      <c r="H1510" s="11" t="inlineStr">
        <is>
          <t>Darksteel (DST)</t>
        </is>
      </c>
      <c r="I1510" s="11" t="inlineStr">
        <is>
          <t>Não</t>
        </is>
      </c>
      <c r="J1510" s="11" t="n">
        <v>2004</v>
      </c>
      <c r="K1510" s="10" t="n">
        <v>46055</v>
      </c>
      <c r="L1510" s="11" t="n">
        <v>1</v>
      </c>
      <c r="M1510" s="8">
        <f>L1510*G1510</f>
        <v/>
      </c>
      <c r="P1510" s="9" t="n"/>
    </row>
    <row r="1511">
      <c r="A1511" s="11" t="inlineStr">
        <is>
          <t>Torpid Moloch / Moloch Tórpido</t>
        </is>
      </c>
      <c r="B1511" s="11" t="inlineStr">
        <is>
          <t>Creature — Lizard / Criatura - Lagarto</t>
        </is>
      </c>
      <c r="C1511" s="11" t="inlineStr">
        <is>
          <t>Common / Comum</t>
        </is>
      </c>
      <c r="D1511" s="11" t="inlineStr">
        <is>
          <t>Defender (This creature can't attack.) Sacrifice three lands: This creature loses defender until end of turn. / Defensor (Esta criatura não pode atacar.) Sacrifique três terrenos: Moloch Tórpido perde a habilidade de defensor até o final do turno.</t>
        </is>
      </c>
      <c r="E1511" s="11" t="inlineStr">
        <is>
          <t>{R}</t>
        </is>
      </c>
      <c r="F1511" s="11" t="inlineStr">
        <is>
          <t>Vermelho</t>
        </is>
      </c>
      <c r="G1511" s="8" t="n">
        <v>0.05</v>
      </c>
      <c r="H1511" s="11" t="inlineStr">
        <is>
          <t>Ravnica: City of Guilds (RAV)</t>
        </is>
      </c>
      <c r="I1511" s="11" t="inlineStr">
        <is>
          <t>Não</t>
        </is>
      </c>
      <c r="J1511" s="11" t="n">
        <v>2005</v>
      </c>
      <c r="K1511" s="10" t="n">
        <v>46056</v>
      </c>
      <c r="L1511" s="11" t="n">
        <v>1</v>
      </c>
      <c r="M1511" s="8">
        <f>L1511*G1511</f>
        <v/>
      </c>
      <c r="P1511" s="9" t="n"/>
    </row>
    <row r="1512">
      <c r="A1512" s="11" t="inlineStr">
        <is>
          <t>Mardu Blazebringer / Arauto da Chama Mardu</t>
        </is>
      </c>
      <c r="B1512" s="11" t="inlineStr">
        <is>
          <t>Creature — Ogre Warrior / Criatura — Ogro Guerreiro</t>
        </is>
      </c>
      <c r="C1512" s="11" t="inlineStr">
        <is>
          <t>Uncommon / Incomum</t>
        </is>
      </c>
      <c r="D1512" s="11" t="inlineStr">
        <is>
          <t>When this creature attacks or blocks, sacrifice it at end of combat. / Quando Arauto da Chama Mardu atacar ou bloquear, sacrifique-o no final do combate.</t>
        </is>
      </c>
      <c r="E1512" s="11" t="inlineStr">
        <is>
          <t>{2}{R}</t>
        </is>
      </c>
      <c r="F1512" s="11" t="inlineStr">
        <is>
          <t>Vermelho</t>
        </is>
      </c>
      <c r="G1512" s="8" t="n">
        <v>0.06</v>
      </c>
      <c r="H1512" s="11" t="inlineStr">
        <is>
          <t>Khans of Tarkir (KTK)</t>
        </is>
      </c>
      <c r="I1512" s="11" t="inlineStr">
        <is>
          <t>Não</t>
        </is>
      </c>
      <c r="J1512" s="11" t="n">
        <v>2023</v>
      </c>
      <c r="K1512" s="10" t="n">
        <v>46116</v>
      </c>
      <c r="L1512" s="11" t="n">
        <v>1</v>
      </c>
      <c r="M1512" s="8">
        <f>L1512*G1512</f>
        <v/>
      </c>
      <c r="P1512" s="9" t="n"/>
    </row>
    <row r="1513">
      <c r="A1513" s="11" t="inlineStr">
        <is>
          <t>Brothers Yamazaki</t>
        </is>
      </c>
      <c r="B1513" s="11" t="inlineStr">
        <is>
          <t>Legendary Creature — Human Samurai</t>
        </is>
      </c>
      <c r="C1513" s="11" t="inlineStr">
        <is>
          <t>Uncommon / Incomum</t>
        </is>
      </c>
      <c r="D1513" s="11"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3" s="11" t="inlineStr">
        <is>
          <t>{2}{R}</t>
        </is>
      </c>
      <c r="F1513" s="11" t="inlineStr">
        <is>
          <t>Vermelho</t>
        </is>
      </c>
      <c r="G1513" s="8" t="n">
        <v>0.19</v>
      </c>
      <c r="H1513" s="11" t="inlineStr">
        <is>
          <t>Champions of Kamigawa (CHK)</t>
        </is>
      </c>
      <c r="I1513" s="11" t="inlineStr">
        <is>
          <t>Não</t>
        </is>
      </c>
      <c r="J1513" s="11" t="n">
        <v>2004</v>
      </c>
      <c r="K1513" s="10" t="n">
        <v>46024</v>
      </c>
      <c r="L1513" s="11" t="n">
        <v>1</v>
      </c>
      <c r="M1513" s="8">
        <f>L1513*G1513</f>
        <v/>
      </c>
      <c r="P1513" s="9" t="n"/>
    </row>
    <row r="1514">
      <c r="A1514" s="11" t="inlineStr">
        <is>
          <t>Warehouse Thief / Ladrão de Armazéns</t>
        </is>
      </c>
      <c r="B1514" s="11" t="inlineStr">
        <is>
          <t>Creature — Tiefling Rogue / Criatura — Tiferino Ladino</t>
        </is>
      </c>
      <c r="C1514" s="11" t="inlineStr">
        <is>
          <t>Common / Comum</t>
        </is>
      </c>
      <c r="D1514" s="11"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514" s="11" t="inlineStr">
        <is>
          <t>{3}{R}</t>
        </is>
      </c>
      <c r="F1514" s="11" t="inlineStr">
        <is>
          <t>Vermelho</t>
        </is>
      </c>
      <c r="G1514" s="8" t="n">
        <v>0.06</v>
      </c>
      <c r="H1514" s="11" t="inlineStr">
        <is>
          <t>Commander Legends: Battle for Baldur's Gate (CLB)</t>
        </is>
      </c>
      <c r="I1514" s="11" t="inlineStr">
        <is>
          <t>Não</t>
        </is>
      </c>
      <c r="J1514" s="11" t="n">
        <v>2022</v>
      </c>
      <c r="K1514" s="10" t="n">
        <v>46057</v>
      </c>
      <c r="L1514" s="11" t="n">
        <v>1</v>
      </c>
      <c r="M1514" s="8">
        <f>L1514*G1514</f>
        <v/>
      </c>
      <c r="P1514" s="9" t="n"/>
    </row>
    <row r="1515">
      <c r="A1515" s="11" t="inlineStr">
        <is>
          <t>Brothers Yamazaki</t>
        </is>
      </c>
      <c r="B1515" s="11" t="inlineStr">
        <is>
          <t>Legendary Creature — Human Samurai</t>
        </is>
      </c>
      <c r="C1515" s="11" t="inlineStr">
        <is>
          <t>Uncommon / Incomum</t>
        </is>
      </c>
      <c r="D1515" s="11"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5" s="11" t="inlineStr">
        <is>
          <t>{2}{R}</t>
        </is>
      </c>
      <c r="F1515" s="11" t="inlineStr">
        <is>
          <t>Vermelho</t>
        </is>
      </c>
      <c r="G1515" s="8" t="n">
        <v>0.14</v>
      </c>
      <c r="H1515" s="11" t="inlineStr">
        <is>
          <t>Champions of Kamigawa (CHK)</t>
        </is>
      </c>
      <c r="I1515" s="11" t="inlineStr">
        <is>
          <t>Não</t>
        </is>
      </c>
      <c r="J1515" s="11" t="n">
        <v>2004</v>
      </c>
      <c r="K1515" s="10" t="n">
        <v>46024</v>
      </c>
      <c r="L1515" s="11" t="n">
        <v>1</v>
      </c>
      <c r="M1515" s="8">
        <f>L1515*G1515</f>
        <v/>
      </c>
      <c r="N1515" s="11" t="inlineStr">
        <is>
          <t>Virado para a direita</t>
        </is>
      </c>
      <c r="P1515" s="9" t="n"/>
    </row>
    <row r="1516">
      <c r="A1516" s="11" t="inlineStr">
        <is>
          <t>Grotag Night-Runner / Corredor Noturno Grotag</t>
        </is>
      </c>
      <c r="B1516" s="11" t="inlineStr">
        <is>
          <t>Creature — Goblin Rogue / Criatura — Goblin Ladino</t>
        </is>
      </c>
      <c r="C1516" s="11" t="inlineStr">
        <is>
          <t>Uncommon / Incomum</t>
        </is>
      </c>
      <c r="D1516" s="11"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516" s="11" t="inlineStr">
        <is>
          <t>{2}{R}</t>
        </is>
      </c>
      <c r="F1516" s="11" t="inlineStr">
        <is>
          <t>Vermelho</t>
        </is>
      </c>
      <c r="G1516" s="8" t="n">
        <v>0.09</v>
      </c>
      <c r="H1516" s="11" t="inlineStr">
        <is>
          <t>Zendikar Rising (ZNR)</t>
        </is>
      </c>
      <c r="I1516" s="11" t="inlineStr">
        <is>
          <t>Não</t>
        </is>
      </c>
      <c r="J1516" s="11" t="n">
        <v>2020</v>
      </c>
      <c r="K1516" s="10" t="n">
        <v>46083</v>
      </c>
      <c r="L1516" s="11" t="n">
        <v>1</v>
      </c>
      <c r="M1516" s="8">
        <f>L1516*G1516</f>
        <v/>
      </c>
      <c r="P1516" s="9" t="n"/>
    </row>
    <row r="1517">
      <c r="A1517" s="11" t="inlineStr">
        <is>
          <t>Reckless Fireweaver / Flamitecelão Temerário</t>
        </is>
      </c>
      <c r="B1517" s="11" t="inlineStr">
        <is>
          <t>Creature — Human Artificer / Criatura — Humano Artesão</t>
        </is>
      </c>
      <c r="C1517" s="11" t="inlineStr">
        <is>
          <t>Common / Comum</t>
        </is>
      </c>
      <c r="D1517" s="11" t="inlineStr">
        <is>
          <t>Whenever an artifact you control enters, this creature deals 1 damage to each opponent. / Toda vez que um artefato entra no campo de batalha sob seu controle, Flamitecelão Temerário causa 1 ponto de dano a cada oponente.</t>
        </is>
      </c>
      <c r="E1517" s="11" t="inlineStr">
        <is>
          <t>{1}{R}</t>
        </is>
      </c>
      <c r="F1517" s="11" t="inlineStr">
        <is>
          <t>Vermelho</t>
        </is>
      </c>
      <c r="G1517" s="8" t="n">
        <v>0.49</v>
      </c>
      <c r="H1517" s="11" t="inlineStr">
        <is>
          <t>Kaladesh (KLD)</t>
        </is>
      </c>
      <c r="I1517" s="11" t="inlineStr">
        <is>
          <t>Não</t>
        </is>
      </c>
      <c r="J1517" s="11" t="n">
        <v>2016</v>
      </c>
      <c r="K1517" s="10" t="n">
        <v>46082</v>
      </c>
      <c r="L1517" s="11" t="n">
        <v>1</v>
      </c>
      <c r="M1517" s="8">
        <f>L1517*G1517</f>
        <v/>
      </c>
      <c r="P1517" s="9" t="n"/>
    </row>
    <row r="1518">
      <c r="A1518" s="11" t="inlineStr">
        <is>
          <t>Brazen Freebooter / Filibusteira Brônzea</t>
        </is>
      </c>
      <c r="B1518" s="11" t="inlineStr">
        <is>
          <t>Creature — Human Pirate / Criatura — Humano Pirata</t>
        </is>
      </c>
      <c r="C1518" s="11" t="inlineStr">
        <is>
          <t>Common / Comum</t>
        </is>
      </c>
      <c r="D1518" s="11"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518" s="11" t="inlineStr">
        <is>
          <t>{3}{R}</t>
        </is>
      </c>
      <c r="F1518" s="11" t="inlineStr">
        <is>
          <t>Vermelho</t>
        </is>
      </c>
      <c r="G1518" s="8" t="n">
        <v>0.03</v>
      </c>
      <c r="H1518" s="11" t="inlineStr">
        <is>
          <t>Rivals of Ixalan (RIX)</t>
        </is>
      </c>
      <c r="I1518" s="11" t="inlineStr">
        <is>
          <t>Não</t>
        </is>
      </c>
      <c r="J1518" s="11" t="n">
        <v>2018</v>
      </c>
      <c r="K1518" s="10" t="n">
        <v>46084</v>
      </c>
      <c r="L1518" s="11" t="n">
        <v>1</v>
      </c>
      <c r="M1518" s="8">
        <f>L1518*G1518</f>
        <v/>
      </c>
      <c r="P1518" s="9" t="n"/>
    </row>
    <row r="1519">
      <c r="A1519" s="11" t="inlineStr">
        <is>
          <t>Creepy Puppeteer / Titereira Sinistra</t>
        </is>
      </c>
      <c r="B1519" s="11" t="inlineStr">
        <is>
          <t>Creature — Human Rogue / Criatura — Humano Ladino</t>
        </is>
      </c>
      <c r="C1519" s="11" t="inlineStr">
        <is>
          <t>Rare / Rara</t>
        </is>
      </c>
      <c r="D1519" s="11"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519" s="11" t="inlineStr">
        <is>
          <t>{3}{R}</t>
        </is>
      </c>
      <c r="F1519" s="11" t="inlineStr">
        <is>
          <t>Vermelho</t>
        </is>
      </c>
      <c r="G1519" s="8" t="n">
        <v>0.21</v>
      </c>
      <c r="H1519" s="11" t="inlineStr">
        <is>
          <t>Innistrad: Crimson Vow (VOW)</t>
        </is>
      </c>
      <c r="I1519" s="11" t="inlineStr">
        <is>
          <t>Não</t>
        </is>
      </c>
      <c r="J1519" s="11" t="n">
        <v>2021</v>
      </c>
      <c r="K1519" s="10" t="n">
        <v>46085</v>
      </c>
      <c r="L1519" s="11" t="n">
        <v>1</v>
      </c>
      <c r="M1519" s="8">
        <f>L1519*G1519</f>
        <v/>
      </c>
      <c r="P1519" s="9" t="n"/>
    </row>
    <row r="1520">
      <c r="A1520" s="11" t="inlineStr">
        <is>
          <t>Tilonalli's Knight / Cavaleiro de Tilonalli</t>
        </is>
      </c>
      <c r="B1520" s="11" t="inlineStr">
        <is>
          <t>Creature — Human Knight / Criatura — Humano Cavaleiro</t>
        </is>
      </c>
      <c r="C1520" s="11" t="inlineStr">
        <is>
          <t>Common / Comum</t>
        </is>
      </c>
      <c r="D1520" s="11" t="inlineStr">
        <is>
          <t>Whenever this creature attacks, if you control a Dinosaur, this creature gets +1/+1 until end of turn. / Toda vez que Cavaleiro de Tilonalli ataca, se você controlar um Dinossauro, Cavaleiro de Tilonalli recebe +1/+1 até o final do turno.</t>
        </is>
      </c>
      <c r="E1520" s="11" t="inlineStr">
        <is>
          <t>{1}{R}</t>
        </is>
      </c>
      <c r="F1520" s="11" t="inlineStr">
        <is>
          <t>Vermelho</t>
        </is>
      </c>
      <c r="G1520" s="8" t="n">
        <v>0.03</v>
      </c>
      <c r="H1520" s="11" t="inlineStr">
        <is>
          <t>Ixalan (XLN)</t>
        </is>
      </c>
      <c r="I1520" s="11" t="inlineStr">
        <is>
          <t>Não</t>
        </is>
      </c>
      <c r="J1520" s="11" t="n">
        <v>2017</v>
      </c>
      <c r="K1520" s="10" t="n">
        <v>46055</v>
      </c>
      <c r="L1520" s="11" t="n">
        <v>1</v>
      </c>
      <c r="M1520" s="8">
        <f>L1520*G1520</f>
        <v/>
      </c>
      <c r="P1520" s="9" t="n"/>
    </row>
    <row r="1521">
      <c r="A1521" s="11" t="inlineStr">
        <is>
          <t>Tiger-Tribe Hunter / Caçadora da Tribo do Tigre</t>
        </is>
      </c>
      <c r="B1521" s="11" t="inlineStr">
        <is>
          <t>Creature — Human Barbarian / Criatura — Humano Bárbaro</t>
        </is>
      </c>
      <c r="C1521" s="11" t="inlineStr">
        <is>
          <t>Uncommon / Incomum</t>
        </is>
      </c>
      <c r="D1521" s="11"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1521" s="11" t="inlineStr">
        <is>
          <t>{3}{R}{R}</t>
        </is>
      </c>
      <c r="F1521" s="11" t="inlineStr">
        <is>
          <t>Vermelho</t>
        </is>
      </c>
      <c r="G1521" s="8" t="n">
        <v>0.04</v>
      </c>
      <c r="H1521" s="11" t="inlineStr">
        <is>
          <t>Adventures in the Forgotten Realms (AFR)</t>
        </is>
      </c>
      <c r="I1521" s="11" t="inlineStr">
        <is>
          <t>Não</t>
        </is>
      </c>
      <c r="J1521" s="11" t="n">
        <v>2021</v>
      </c>
      <c r="K1521" s="10" t="n">
        <v>46116</v>
      </c>
      <c r="L1521" s="11" t="n">
        <v>1</v>
      </c>
      <c r="M1521" s="8">
        <f>L1521*G1521</f>
        <v/>
      </c>
      <c r="P1521" s="9" t="n"/>
    </row>
    <row r="1522">
      <c r="A1522" s="11" t="inlineStr">
        <is>
          <t>Flamewake Phoenix / Fênix do Rastro Flamejante</t>
        </is>
      </c>
      <c r="B1522" s="11" t="inlineStr">
        <is>
          <t>Creature — Phoenix / Criatura — Fênix</t>
        </is>
      </c>
      <c r="C1522" s="11" t="inlineStr">
        <is>
          <t>Rare / Rara</t>
        </is>
      </c>
      <c r="D1522" s="11"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522" s="11" t="inlineStr">
        <is>
          <t>{1}{R}{R}</t>
        </is>
      </c>
      <c r="F1522" s="11" t="inlineStr">
        <is>
          <t>Vermelho</t>
        </is>
      </c>
      <c r="G1522" s="8" t="n">
        <v>0.19</v>
      </c>
      <c r="H1522" s="11" t="inlineStr">
        <is>
          <t>Fate Reforged (FRF)</t>
        </is>
      </c>
      <c r="I1522" s="11" t="inlineStr">
        <is>
          <t>Não</t>
        </is>
      </c>
      <c r="J1522" s="11" t="n">
        <v>2015</v>
      </c>
      <c r="K1522" s="10" t="n">
        <v>46055</v>
      </c>
      <c r="L1522" s="11" t="n">
        <v>1</v>
      </c>
      <c r="M1522" s="8">
        <f>L1522*G1522</f>
        <v/>
      </c>
      <c r="P1522" s="9" t="n"/>
    </row>
    <row r="1523">
      <c r="A1523" s="11" t="inlineStr">
        <is>
          <t>Krark-Clan Grunt / Recruta do Clã de Krark</t>
        </is>
      </c>
      <c r="B1523" s="11" t="inlineStr">
        <is>
          <t>Creature — Goblin Warrior / Criatura — Guerreiro Goblin</t>
        </is>
      </c>
      <c r="C1523" s="11" t="inlineStr">
        <is>
          <t>Common / Comum</t>
        </is>
      </c>
      <c r="D1523" s="11" t="inlineStr">
        <is>
          <t>Sacrifice an artifact: This creature gets +1/+0 and gains first strike until end of turn. / Sacrifique um artefato: Recruta do Clã de Krark recebe +1/+0 e ganha iniciativa até o final do turno.</t>
        </is>
      </c>
      <c r="E1523" s="11" t="inlineStr">
        <is>
          <t>{2}{R}</t>
        </is>
      </c>
      <c r="F1523" s="11" t="inlineStr">
        <is>
          <t>Vermelho</t>
        </is>
      </c>
      <c r="G1523" s="8" t="n">
        <v>1.75</v>
      </c>
      <c r="H1523" s="11" t="inlineStr">
        <is>
          <t>Mirrodin (MRD)</t>
        </is>
      </c>
      <c r="I1523" s="11" t="inlineStr">
        <is>
          <t>Sim</t>
        </is>
      </c>
      <c r="J1523" s="11" t="n">
        <v>2003</v>
      </c>
      <c r="K1523" s="10" t="n">
        <v>46055</v>
      </c>
      <c r="L1523" s="11" t="n">
        <v>1</v>
      </c>
      <c r="M1523" s="8">
        <f>L1523*G1523</f>
        <v/>
      </c>
      <c r="P1523" s="9" t="n"/>
    </row>
    <row r="1524">
      <c r="A1524" s="11" t="inlineStr">
        <is>
          <t>Izzet Chemister / Quimiomante Izzet</t>
        </is>
      </c>
      <c r="B1524" s="11" t="inlineStr">
        <is>
          <t>Creature — Goblin Wizard / Criatura — Goblin Mago</t>
        </is>
      </c>
      <c r="C1524" s="11" t="inlineStr">
        <is>
          <t>Rare / Rara</t>
        </is>
      </c>
      <c r="D1524" s="11"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1524" s="11" t="inlineStr">
        <is>
          <t>{2}{R}</t>
        </is>
      </c>
      <c r="F1524" s="11" t="inlineStr">
        <is>
          <t>Vermelho</t>
        </is>
      </c>
      <c r="G1524" s="8" t="n">
        <v>0.32</v>
      </c>
      <c r="H1524" s="11" t="inlineStr">
        <is>
          <t>Masters 25 (A25)</t>
        </is>
      </c>
      <c r="I1524" s="11" t="inlineStr">
        <is>
          <t>Não</t>
        </is>
      </c>
      <c r="J1524" s="11" t="n">
        <v>2018</v>
      </c>
      <c r="K1524" s="10" t="n">
        <v>46082</v>
      </c>
      <c r="L1524" s="11" t="n">
        <v>1</v>
      </c>
      <c r="M1524" s="8">
        <f>L1524*G1524</f>
        <v/>
      </c>
      <c r="P1524" s="9" t="n"/>
    </row>
    <row r="1525">
      <c r="A1525" s="11" t="inlineStr">
        <is>
          <t>Krenko, Baron of Tin Street / Krenko, Barão da Rua do Estanho</t>
        </is>
      </c>
      <c r="B1525" s="11" t="inlineStr">
        <is>
          <t>Legendary Creature — Goblin / Criatura Lendária — Goblin</t>
        </is>
      </c>
      <c r="C1525" s="11" t="inlineStr">
        <is>
          <t>Rare / Rara</t>
        </is>
      </c>
      <c r="D1525" s="11"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1525" s="11" t="inlineStr">
        <is>
          <t>{2}{R}</t>
        </is>
      </c>
      <c r="F1525" s="11" t="inlineStr">
        <is>
          <t>Vermelho</t>
        </is>
      </c>
      <c r="G1525" s="8" t="n">
        <v>0.59</v>
      </c>
      <c r="H1525" s="11" t="inlineStr">
        <is>
          <t>Murders at Karlov Manor (MKM)</t>
        </is>
      </c>
      <c r="I1525" s="11" t="inlineStr">
        <is>
          <t>Não</t>
        </is>
      </c>
      <c r="J1525" s="11" t="n">
        <v>2024</v>
      </c>
      <c r="K1525" s="10" t="n">
        <v>46084</v>
      </c>
      <c r="L1525" s="11" t="n">
        <v>1</v>
      </c>
      <c r="M1525" s="8">
        <f>L1525*G1525</f>
        <v/>
      </c>
      <c r="P1525" s="9" t="n"/>
    </row>
    <row r="1526">
      <c r="A1526" s="11" t="inlineStr">
        <is>
          <t>Squee, the Immortal / Squee, o Imortal</t>
        </is>
      </c>
      <c r="B1526" s="11" t="inlineStr">
        <is>
          <t>Legendary Creature — Goblin / Criatura Lendária — Goblin</t>
        </is>
      </c>
      <c r="C1526" s="11" t="inlineStr">
        <is>
          <t>Rare / Rara</t>
        </is>
      </c>
      <c r="D1526" s="11" t="inlineStr">
        <is>
          <t>You may cast this card from your graveyard or from exile. / Você pode conjurar Squee, o Imortal, a partir de seu cemitério ou do exílio.</t>
        </is>
      </c>
      <c r="E1526" s="11" t="inlineStr">
        <is>
          <t>{1}{R}{R}</t>
        </is>
      </c>
      <c r="F1526" s="11" t="inlineStr">
        <is>
          <t>Vermelho</t>
        </is>
      </c>
      <c r="G1526" s="8" t="n">
        <v>0.9399999999999999</v>
      </c>
      <c r="H1526" s="11" t="inlineStr">
        <is>
          <t>Dominaria (DOM)</t>
        </is>
      </c>
      <c r="I1526" s="11" t="inlineStr">
        <is>
          <t>Não</t>
        </is>
      </c>
      <c r="J1526" s="11" t="n">
        <v>2018</v>
      </c>
      <c r="K1526" s="10" t="n">
        <v>46024</v>
      </c>
      <c r="L1526" s="11" t="n">
        <v>1</v>
      </c>
      <c r="M1526" s="8">
        <f>L1526*G1526</f>
        <v/>
      </c>
      <c r="P1526" s="9" t="n"/>
    </row>
    <row r="1527">
      <c r="A1527" s="11" t="inlineStr">
        <is>
          <t>Keldon Raider / Saqueadora Keldoniana</t>
        </is>
      </c>
      <c r="B1527" s="11" t="inlineStr">
        <is>
          <t>Creature — Human Warrior / Criatura — Humano Guerreiro</t>
        </is>
      </c>
      <c r="C1527" s="11" t="inlineStr">
        <is>
          <t>Common / Comum</t>
        </is>
      </c>
      <c r="D1527" s="11" t="inlineStr">
        <is>
          <t>When this creature enters, you may discard a card. If you do, draw a card. / Quando Saqueadora Keldoniana entra no campo de batalha, você pode descartar um card. Se fizer isso, compre um card.</t>
        </is>
      </c>
      <c r="E1527" s="11" t="inlineStr">
        <is>
          <t>{2}{R}{R}</t>
        </is>
      </c>
      <c r="F1527" s="11" t="inlineStr">
        <is>
          <t>Vermelho</t>
        </is>
      </c>
      <c r="G1527" s="8" t="n">
        <v>0.03</v>
      </c>
      <c r="H1527" s="11" t="inlineStr">
        <is>
          <t>Core Set 2020 (M20)</t>
        </is>
      </c>
      <c r="I1527" s="11" t="inlineStr">
        <is>
          <t>Não</t>
        </is>
      </c>
      <c r="J1527" s="11" t="n">
        <v>2019</v>
      </c>
      <c r="K1527" s="10" t="n">
        <v>46085</v>
      </c>
      <c r="L1527" s="11" t="n">
        <v>1</v>
      </c>
      <c r="M1527" s="8">
        <f>L1527*G1527</f>
        <v/>
      </c>
      <c r="P1527" s="9" t="n"/>
    </row>
    <row r="1528">
      <c r="A1528" s="11" t="inlineStr">
        <is>
          <t>Rampaging Cyclops / Ciclope Enfurecido</t>
        </is>
      </c>
      <c r="B1528" s="11" t="inlineStr">
        <is>
          <t>Creature — Cyclops / Criatura — Ciclope</t>
        </is>
      </c>
      <c r="C1528" s="11" t="inlineStr">
        <is>
          <t>Common / Comum</t>
        </is>
      </c>
      <c r="D1528" s="11" t="inlineStr">
        <is>
          <t>This creature gets -2/-0 as long as two or more creatures are blocking it. / Ciclope Enfurecido recebe -2/-0 enquanto duas ou mais criaturas o estiverem bloqueando.</t>
        </is>
      </c>
      <c r="E1528" s="11" t="inlineStr">
        <is>
          <t>{3}{R}</t>
        </is>
      </c>
      <c r="F1528" s="11" t="inlineStr">
        <is>
          <t>Vermelho</t>
        </is>
      </c>
      <c r="G1528" s="8" t="n">
        <v>0.03</v>
      </c>
      <c r="H1528" s="11" t="inlineStr">
        <is>
          <t>Dominaria (DOM)</t>
        </is>
      </c>
      <c r="I1528" s="11" t="inlineStr">
        <is>
          <t>Não</t>
        </is>
      </c>
      <c r="J1528" s="11" t="n">
        <v>2018</v>
      </c>
      <c r="K1528" s="10" t="n">
        <v>46116</v>
      </c>
      <c r="L1528" s="11" t="n">
        <v>1</v>
      </c>
      <c r="M1528" s="8">
        <f>L1528*G1528</f>
        <v/>
      </c>
      <c r="P1528" s="9" t="n"/>
    </row>
    <row r="1529">
      <c r="A1529" s="11" t="inlineStr">
        <is>
          <t>War-Name Aspirant / Aspirante a Nome de Guerra</t>
        </is>
      </c>
      <c r="B1529" s="11" t="inlineStr">
        <is>
          <t>Creature — Human Warrior / Criatura — Humano Guerreiro</t>
        </is>
      </c>
      <c r="C1529" s="11" t="inlineStr">
        <is>
          <t>Uncommon / Incomum</t>
        </is>
      </c>
      <c r="D1529" s="11"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1529" s="11" t="inlineStr">
        <is>
          <t>{1}{R}</t>
        </is>
      </c>
      <c r="F1529" s="11" t="inlineStr">
        <is>
          <t>Vermelho</t>
        </is>
      </c>
      <c r="G1529" s="8" t="n">
        <v>0.08</v>
      </c>
      <c r="H1529" s="11" t="inlineStr">
        <is>
          <t>Khans of Tarkir (KTK)</t>
        </is>
      </c>
      <c r="I1529" s="11" t="inlineStr">
        <is>
          <t>Não</t>
        </is>
      </c>
      <c r="J1529" s="11" t="n">
        <v>2014</v>
      </c>
      <c r="K1529" s="10" t="n">
        <v>46024</v>
      </c>
      <c r="L1529" s="11" t="n">
        <v>1</v>
      </c>
      <c r="M1529" s="8">
        <f>L1529*G1529</f>
        <v/>
      </c>
      <c r="P1529" s="9" t="n"/>
    </row>
    <row r="1530">
      <c r="A1530" s="11" t="inlineStr">
        <is>
          <t>Blistering Dieflyn / Dieflyn Ardente</t>
        </is>
      </c>
      <c r="B1530" s="11" t="inlineStr">
        <is>
          <t>Creature — Imp / Criatura — Diabrete</t>
        </is>
      </c>
      <c r="C1530" s="11" t="inlineStr">
        <is>
          <t>Common / Comum</t>
        </is>
      </c>
      <c r="D1530" s="11" t="inlineStr">
        <is>
          <t>Flying {B/R}: This creature gets +1/+0 until end of turn. / Voar {B/R}: Dieflyn Ardente recebe +1/+0 até o final do turno.</t>
        </is>
      </c>
      <c r="E1530" s="11" t="inlineStr">
        <is>
          <t>{3}{R}</t>
        </is>
      </c>
      <c r="F1530" s="11" t="inlineStr">
        <is>
          <t>Vermelho</t>
        </is>
      </c>
      <c r="G1530" s="8" t="n">
        <v>0.06</v>
      </c>
      <c r="H1530" s="11" t="inlineStr">
        <is>
          <t>Shadowmoor (SHM)</t>
        </is>
      </c>
      <c r="I1530" s="11" t="inlineStr">
        <is>
          <t>Não</t>
        </is>
      </c>
      <c r="J1530" s="11" t="n">
        <v>2008</v>
      </c>
      <c r="K1530" s="11" t="inlineStr">
        <is>
          <t>0/1</t>
        </is>
      </c>
      <c r="L1530" s="11" t="n">
        <v>1</v>
      </c>
      <c r="M1530" s="8">
        <f>L1530*G1530</f>
        <v/>
      </c>
      <c r="P1530" s="9" t="n"/>
    </row>
    <row r="1531">
      <c r="A1531" s="11" t="inlineStr">
        <is>
          <t>Regathan Firecat / Felino Ígneo Regathano</t>
        </is>
      </c>
      <c r="B1531" s="11" t="inlineStr">
        <is>
          <t>Creature — Elemental Cat / Criatura — Elemental Felino</t>
        </is>
      </c>
      <c r="C1531" s="11" t="inlineStr">
        <is>
          <t>Common / Comum</t>
        </is>
      </c>
      <c r="E1531" s="11" t="inlineStr">
        <is>
          <t>{2}{R}</t>
        </is>
      </c>
      <c r="F1531" s="11" t="inlineStr">
        <is>
          <t>Vermelho</t>
        </is>
      </c>
      <c r="G1531" s="8" t="n">
        <v>0.06</v>
      </c>
      <c r="H1531" s="11" t="inlineStr">
        <is>
          <t>Magic 2014 (M14)</t>
        </is>
      </c>
      <c r="I1531" s="11" t="inlineStr">
        <is>
          <t>Não</t>
        </is>
      </c>
      <c r="J1531" s="11" t="n">
        <v>2013</v>
      </c>
      <c r="K1531" s="10" t="n">
        <v>46026</v>
      </c>
      <c r="L1531" s="11" t="n">
        <v>1</v>
      </c>
      <c r="M1531" s="8">
        <f>L1531*G1531</f>
        <v/>
      </c>
      <c r="P1531" s="9" t="n"/>
    </row>
    <row r="1532">
      <c r="A1532" s="11" t="inlineStr">
        <is>
          <t>Hero of the Games / Herói dos Jogos</t>
        </is>
      </c>
      <c r="B1532" s="11" t="inlineStr">
        <is>
          <t>Creature — Human Soldier / Criatura — Humano Soldado</t>
        </is>
      </c>
      <c r="C1532" s="11" t="inlineStr">
        <is>
          <t>Common / Comum</t>
        </is>
      </c>
      <c r="D1532" s="11" t="inlineStr">
        <is>
          <t>Whenever you cast a spell that targets this creature, creatures you control get +1/+0 until end of turn. / Toda vez que você conjura uma mágica que tenha como alvo Herói dos Jogos, as criaturas que você controla recebem +1/+0 até o final do turno.</t>
        </is>
      </c>
      <c r="E1532" s="11" t="inlineStr">
        <is>
          <t>{2}{R}</t>
        </is>
      </c>
      <c r="F1532" s="11" t="inlineStr">
        <is>
          <t>Vermelho</t>
        </is>
      </c>
      <c r="G1532" s="8" t="n">
        <v>0.06</v>
      </c>
      <c r="H1532" s="11" t="inlineStr">
        <is>
          <t>Double Masters 2022 (2X2)</t>
        </is>
      </c>
      <c r="I1532" s="11" t="inlineStr">
        <is>
          <t>Não</t>
        </is>
      </c>
      <c r="J1532" s="11" t="n">
        <v>2022</v>
      </c>
      <c r="K1532" s="10" t="n">
        <v>46056</v>
      </c>
      <c r="L1532" s="11" t="n">
        <v>1</v>
      </c>
      <c r="M1532" s="8">
        <f>L1532*G1532</f>
        <v/>
      </c>
      <c r="P1532" s="9" t="n"/>
    </row>
    <row r="1533">
      <c r="A1533" s="11" t="inlineStr">
        <is>
          <t>Flamewave Invoker / Invocador da Onda de Chamas</t>
        </is>
      </c>
      <c r="B1533" s="11" t="inlineStr">
        <is>
          <t>Creature — Goblin Mutant / Criatura — Goblin Mutante</t>
        </is>
      </c>
      <c r="C1533" s="11" t="inlineStr">
        <is>
          <t>Uncommon / Incomum</t>
        </is>
      </c>
      <c r="D1533" s="11" t="inlineStr">
        <is>
          <t>{7}{R}: This creature deals 5 damage to target player or planeswalker. / {7}{R}: Invocador da Onda de Chamas causa 5 pontos de dano ao jogador alvo.</t>
        </is>
      </c>
      <c r="E1533" s="11" t="inlineStr">
        <is>
          <t>{2}{R}</t>
        </is>
      </c>
      <c r="F1533" s="11" t="inlineStr">
        <is>
          <t>Vermelho</t>
        </is>
      </c>
      <c r="G1533" s="8" t="n">
        <v>0.09</v>
      </c>
      <c r="H1533" s="11" t="inlineStr">
        <is>
          <t>Battlebond (BBD)</t>
        </is>
      </c>
      <c r="I1533" s="11" t="inlineStr">
        <is>
          <t>Não</t>
        </is>
      </c>
      <c r="J1533" s="11" t="n">
        <v>2018</v>
      </c>
      <c r="K1533" s="10" t="n">
        <v>46055</v>
      </c>
      <c r="L1533" s="11" t="n">
        <v>1</v>
      </c>
      <c r="M1533" s="8">
        <f>L1533*G1533</f>
        <v/>
      </c>
      <c r="P1533" s="9" t="n"/>
    </row>
    <row r="1534">
      <c r="A1534" s="11" t="inlineStr">
        <is>
          <t>Frenzied Raptor / Raptor Frenético</t>
        </is>
      </c>
      <c r="B1534" s="11" t="inlineStr">
        <is>
          <t>Creature — Dinosaur / Criatura — Dinossauro</t>
        </is>
      </c>
      <c r="C1534" s="11" t="inlineStr">
        <is>
          <t>Common / Comum</t>
        </is>
      </c>
      <c r="E1534" s="11" t="inlineStr">
        <is>
          <t>{2}{R}</t>
        </is>
      </c>
      <c r="F1534" s="11" t="inlineStr">
        <is>
          <t>Vermelho</t>
        </is>
      </c>
      <c r="G1534" s="8" t="n">
        <v>0.03</v>
      </c>
      <c r="H1534" s="11" t="inlineStr">
        <is>
          <t>Ixalan (XLN)</t>
        </is>
      </c>
      <c r="I1534" s="11" t="inlineStr">
        <is>
          <t>Não</t>
        </is>
      </c>
      <c r="J1534" s="11" t="n">
        <v>2017</v>
      </c>
      <c r="K1534" s="10" t="n">
        <v>46057</v>
      </c>
      <c r="L1534" s="11" t="n">
        <v>1</v>
      </c>
      <c r="M1534" s="8">
        <f>L1534*G1534</f>
        <v/>
      </c>
      <c r="P1534" s="9" t="n"/>
    </row>
    <row r="1535">
      <c r="A1535" s="11" t="inlineStr">
        <is>
          <t>Thundering Raiju / Raiju Trovejante</t>
        </is>
      </c>
      <c r="B1535" s="11" t="inlineStr">
        <is>
          <t>Creature — Spirit / Criatura — Espírito</t>
        </is>
      </c>
      <c r="C1535" s="11" t="inlineStr">
        <is>
          <t>Rare / Rara</t>
        </is>
      </c>
      <c r="D1535" s="11"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1535" s="11" t="inlineStr">
        <is>
          <t>{2}{R}{R}</t>
        </is>
      </c>
      <c r="F1535" s="11" t="inlineStr">
        <is>
          <t>Vermelho</t>
        </is>
      </c>
      <c r="G1535" s="8" t="n">
        <v>0.99</v>
      </c>
      <c r="H1535" s="11" t="inlineStr">
        <is>
          <t>Kamigawa: Neon Dynasty (NEO)</t>
        </is>
      </c>
      <c r="I1535" s="11" t="inlineStr">
        <is>
          <t>Não</t>
        </is>
      </c>
      <c r="J1535" s="11" t="n">
        <v>2022</v>
      </c>
      <c r="K1535" s="10" t="n">
        <v>46084</v>
      </c>
      <c r="L1535" s="11" t="n">
        <v>1</v>
      </c>
      <c r="M1535" s="8">
        <f>L1535*G1535</f>
        <v/>
      </c>
      <c r="P1535" s="9" t="n"/>
    </row>
    <row r="1536">
      <c r="A1536" s="11" t="inlineStr">
        <is>
          <t>Viashino Fangtail / Viashino Cauda Canina</t>
        </is>
      </c>
      <c r="B1536" s="11" t="inlineStr">
        <is>
          <t>Creature — Lizard Warrior / Criatura - Guerreiro Viashino</t>
        </is>
      </c>
      <c r="C1536" s="11" t="inlineStr">
        <is>
          <t>Common / Comum</t>
        </is>
      </c>
      <c r="D1536" s="11" t="inlineStr">
        <is>
          <t>{T}: This creature deals 1 damage to any target. / {T}: Viashino Cauda Canina causa 1 ponto de dano à criatura alvo ou ao jogador alvo.</t>
        </is>
      </c>
      <c r="E1536" s="11" t="inlineStr">
        <is>
          <t>{2}{R}{R}</t>
        </is>
      </c>
      <c r="F1536" s="11" t="inlineStr">
        <is>
          <t>Vermelho</t>
        </is>
      </c>
      <c r="G1536" s="8" t="n">
        <v>0.09</v>
      </c>
      <c r="H1536" s="11" t="inlineStr">
        <is>
          <t>Ravnica: City of Guilds (RAV)</t>
        </is>
      </c>
      <c r="I1536" s="11" t="inlineStr">
        <is>
          <t>Não</t>
        </is>
      </c>
      <c r="J1536" s="11" t="n">
        <v>2005</v>
      </c>
      <c r="K1536" s="10" t="n">
        <v>46084</v>
      </c>
      <c r="L1536" s="11" t="n">
        <v>1</v>
      </c>
      <c r="M1536" s="8">
        <f>L1536*G1536</f>
        <v/>
      </c>
      <c r="P1536" s="9" t="n"/>
    </row>
    <row r="1537">
      <c r="A1537" s="11" t="inlineStr">
        <is>
          <t>Spitfire Lagac / Lagac Cospe-fogo</t>
        </is>
      </c>
      <c r="B1537" s="11" t="inlineStr">
        <is>
          <t>Creature — Lizard / Criatura — Lagarto</t>
        </is>
      </c>
      <c r="C1537" s="11" t="inlineStr">
        <is>
          <t>Common / Comum</t>
        </is>
      </c>
      <c r="D1537" s="11" t="inlineStr">
        <is>
          <t>Landfall — Whenever a land you control enters, this creature deals 1 damage to each opponent. / Aterragem — Toda vez que um terreno entra no campo de batalha sob seu controle, Lagac Cospe-fogo causa 1 ponto de dano a cada oponente.</t>
        </is>
      </c>
      <c r="E1537" s="11" t="inlineStr">
        <is>
          <t>{3}{R}</t>
        </is>
      </c>
      <c r="F1537" s="11" t="inlineStr">
        <is>
          <t>Vermelho</t>
        </is>
      </c>
      <c r="G1537" s="8" t="n">
        <v>0.09</v>
      </c>
      <c r="H1537" s="11" t="inlineStr">
        <is>
          <t>Zendikar Rising (ZNR)</t>
        </is>
      </c>
      <c r="I1537" s="11" t="inlineStr">
        <is>
          <t>Não</t>
        </is>
      </c>
      <c r="J1537" s="11" t="n">
        <v>2020</v>
      </c>
      <c r="K1537" s="10" t="n">
        <v>46115</v>
      </c>
      <c r="L1537" s="11" t="n">
        <v>1</v>
      </c>
      <c r="M1537" s="8">
        <f>L1537*G1537</f>
        <v/>
      </c>
      <c r="P1537" s="9" t="n"/>
    </row>
    <row r="1538">
      <c r="A1538" s="11" t="inlineStr">
        <is>
          <t>Ripscale Predator / Predador da Escama Dilacerante</t>
        </is>
      </c>
      <c r="B1538" s="11" t="inlineStr">
        <is>
          <t>Creature — Dinosaur / Criatura — Lagarto</t>
        </is>
      </c>
      <c r="C1538" s="11" t="inlineStr">
        <is>
          <t>Common / Comum</t>
        </is>
      </c>
      <c r="D1538" s="11" t="inlineStr">
        <is>
          <t>Menace (This creature can't be blocked except by two or more creatures.) / Predador da Escama Dilacerante só pode ser bloqueado por duas ou mais criaturas.</t>
        </is>
      </c>
      <c r="E1538" s="11" t="inlineStr">
        <is>
          <t>{4}{R}{R}</t>
        </is>
      </c>
      <c r="F1538" s="11" t="inlineStr">
        <is>
          <t>Vermelho</t>
        </is>
      </c>
      <c r="G1538" s="8" t="n">
        <v>0.03</v>
      </c>
      <c r="H1538" s="11" t="inlineStr">
        <is>
          <t>Core Set 2020 (M20)</t>
        </is>
      </c>
      <c r="I1538" s="11" t="inlineStr">
        <is>
          <t>Não</t>
        </is>
      </c>
      <c r="J1538" s="11" t="n">
        <v>2019</v>
      </c>
      <c r="K1538" s="10" t="n">
        <v>46148</v>
      </c>
      <c r="L1538" s="11" t="n">
        <v>1</v>
      </c>
      <c r="M1538" s="8">
        <f>L1538*G1538</f>
        <v/>
      </c>
      <c r="P1538" s="9" t="n"/>
    </row>
    <row r="1539">
      <c r="A1539" s="11" t="inlineStr">
        <is>
          <t>Sun-Crowned Hunters / Caçadores Coroa-de-sol</t>
        </is>
      </c>
      <c r="B1539" s="11" t="inlineStr">
        <is>
          <t>Creature — Dinosaur / Criatura — Dinossauro</t>
        </is>
      </c>
      <c r="C1539" s="11" t="inlineStr">
        <is>
          <t>Common / Comum</t>
        </is>
      </c>
      <c r="D1539" s="11" t="inlineStr">
        <is>
          <t>Enrage — Whenever this creature is dealt damage, it deals 3 damage to target opponent or planeswalker. / Enfurecer —Toda vez que Caçadores Coroa-de-sol sofre dano, ele causa 3 pontos de dano ao oponente alvo.</t>
        </is>
      </c>
      <c r="E1539" s="11" t="inlineStr">
        <is>
          <t>{4}{R}{R}</t>
        </is>
      </c>
      <c r="F1539" s="11" t="inlineStr">
        <is>
          <t>Vermelho</t>
        </is>
      </c>
      <c r="G1539" s="8" t="n">
        <v>0.03</v>
      </c>
      <c r="H1539" s="11" t="inlineStr">
        <is>
          <t>Ixalan (XLN)</t>
        </is>
      </c>
      <c r="I1539" s="11" t="inlineStr">
        <is>
          <t>Não</t>
        </is>
      </c>
      <c r="J1539" s="11" t="n">
        <v>2017</v>
      </c>
      <c r="K1539" s="10" t="n">
        <v>46117</v>
      </c>
      <c r="L1539" s="11" t="n">
        <v>1</v>
      </c>
      <c r="M1539" s="8">
        <f>L1539*G1539</f>
        <v/>
      </c>
      <c r="P1539" s="9" t="n"/>
    </row>
    <row r="1540">
      <c r="A1540" s="11" t="inlineStr">
        <is>
          <t>Thrash of Raptors / Bando de Raptores</t>
        </is>
      </c>
      <c r="B1540" s="11" t="inlineStr">
        <is>
          <t>Creature — Dinosaur / Criatura — Dinossauro</t>
        </is>
      </c>
      <c r="C1540" s="11" t="inlineStr">
        <is>
          <t>Common / Comum</t>
        </is>
      </c>
      <c r="D1540" s="11" t="inlineStr">
        <is>
          <t>As long as you control another Dinosaur, this creature gets +2/+0 and has trample. / Enquanto você controlar outro Dinossauro, Bando de Raptores receberá +2/+0 e terá atropelar.</t>
        </is>
      </c>
      <c r="E1540" s="11" t="inlineStr">
        <is>
          <t>{3}{R}</t>
        </is>
      </c>
      <c r="F1540" s="11" t="inlineStr">
        <is>
          <t>Vermelho</t>
        </is>
      </c>
      <c r="G1540" s="8" t="n">
        <v>0.03</v>
      </c>
      <c r="H1540" s="11" t="inlineStr">
        <is>
          <t>Ixalan (XLN)</t>
        </is>
      </c>
      <c r="I1540" s="11" t="inlineStr">
        <is>
          <t>Não</t>
        </is>
      </c>
      <c r="J1540" s="11" t="n">
        <v>2017</v>
      </c>
      <c r="K1540" s="10" t="n">
        <v>46084</v>
      </c>
      <c r="L1540" s="11" t="n">
        <v>1</v>
      </c>
      <c r="M1540" s="8">
        <f>L1540*G1540</f>
        <v/>
      </c>
      <c r="P1540" s="9" t="n"/>
    </row>
    <row r="1541">
      <c r="A1541" s="11" t="inlineStr">
        <is>
          <t>Voldaren Stinger / Ferroadora Voldaren</t>
        </is>
      </c>
      <c r="B1541" s="11" t="inlineStr">
        <is>
          <t>Creature — Vampire Warrior / Criatura — Vampiro Guerreiro</t>
        </is>
      </c>
      <c r="C1541" s="11" t="inlineStr">
        <is>
          <t>Common / Comum</t>
        </is>
      </c>
      <c r="D1541" s="11" t="inlineStr">
        <is>
          <t>This creature has first strike as long as it's attacking. {2}{R}: This creature gets +2/+0 until end of turn. / Ferroadora Voldaren tem iniciativa enquanto estiver atacando. {2}{R}: Ferroadora Voldaren recebe +2/+0 até o final do turno.</t>
        </is>
      </c>
      <c r="E1541" s="11" t="inlineStr">
        <is>
          <t>{R}</t>
        </is>
      </c>
      <c r="F1541" s="11" t="inlineStr">
        <is>
          <t>Vermelho</t>
        </is>
      </c>
      <c r="G1541" s="8" t="n">
        <v>0.09</v>
      </c>
      <c r="H1541" s="11" t="inlineStr">
        <is>
          <t>Innistrad: Midnight Hunt (MID)</t>
        </is>
      </c>
      <c r="I1541" s="11" t="inlineStr">
        <is>
          <t>Não</t>
        </is>
      </c>
      <c r="J1541" s="11" t="n">
        <v>2021</v>
      </c>
      <c r="K1541" s="10" t="n">
        <v>46023</v>
      </c>
      <c r="L1541" s="11" t="n">
        <v>2</v>
      </c>
      <c r="M1541" s="8">
        <f>L1541*G1541</f>
        <v/>
      </c>
      <c r="P1541" s="9" t="n"/>
    </row>
    <row r="1542">
      <c r="A1542" s="11" t="inlineStr">
        <is>
          <t>Mounted Dreadknight / Cavaleiro do Pavor Montado</t>
        </is>
      </c>
      <c r="B1542" s="11" t="inlineStr">
        <is>
          <t>Creature — Vampire Knight / Criatura — Vampiro Cavaleiro</t>
        </is>
      </c>
      <c r="C1542" s="11" t="inlineStr">
        <is>
          <t>Common / Comum</t>
        </is>
      </c>
      <c r="D1542" s="11" t="inlineStr">
        <is>
          <t>Trample This creature enters with a +1/+1 counter on it if an opponent lost life this turn. / Atropelar Cavaleiro do Pavor Montado entra no campo de batalha com um marcador +1/+1 se um oponente perdeu pontos de vida neste turno.</t>
        </is>
      </c>
      <c r="E1542" s="11" t="inlineStr">
        <is>
          <t>{4}{R}</t>
        </is>
      </c>
      <c r="F1542" s="11" t="inlineStr">
        <is>
          <t>Vermelho</t>
        </is>
      </c>
      <c r="G1542" s="8" t="n">
        <v>0.09</v>
      </c>
      <c r="H1542" s="11" t="inlineStr">
        <is>
          <t>Innistrad: Midnight Hunt (MID)</t>
        </is>
      </c>
      <c r="I1542" s="11" t="inlineStr">
        <is>
          <t>Não</t>
        </is>
      </c>
      <c r="J1542" s="11" t="n">
        <v>2021</v>
      </c>
      <c r="K1542" s="10" t="n">
        <v>46117</v>
      </c>
      <c r="L1542" s="11" t="n">
        <v>3</v>
      </c>
      <c r="M1542" s="8">
        <f>L1542*G1542</f>
        <v/>
      </c>
      <c r="P1542" s="9" t="n"/>
    </row>
    <row r="1543">
      <c r="A1543" s="11" t="inlineStr">
        <is>
          <t>Hissing Iguanar / Iguanar Sibilante</t>
        </is>
      </c>
      <c r="B1543" s="11" t="inlineStr">
        <is>
          <t>Creature — Lizard / Criatura — Lagarto</t>
        </is>
      </c>
      <c r="C1543" s="11" t="inlineStr">
        <is>
          <t>Common / Comum</t>
        </is>
      </c>
      <c r="D1543" s="11"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1543" s="11" t="inlineStr">
        <is>
          <t>{2}{R}</t>
        </is>
      </c>
      <c r="F1543" s="11" t="inlineStr">
        <is>
          <t>Vermelho</t>
        </is>
      </c>
      <c r="G1543" s="8" t="n">
        <v>0.08</v>
      </c>
      <c r="H1543" s="11" t="inlineStr">
        <is>
          <t>Shards of Alara (ALA)</t>
        </is>
      </c>
      <c r="I1543" s="11" t="inlineStr">
        <is>
          <t>Não</t>
        </is>
      </c>
      <c r="J1543" s="11" t="n">
        <v>2008</v>
      </c>
      <c r="K1543" s="10" t="n">
        <v>46025</v>
      </c>
      <c r="L1543" s="11" t="n">
        <v>2</v>
      </c>
      <c r="M1543" s="8">
        <f>L1543*G1543</f>
        <v/>
      </c>
      <c r="P1543" s="9" t="n"/>
    </row>
    <row r="1544">
      <c r="A1544" s="11" t="inlineStr">
        <is>
          <t>Devastador de Lambholt / Lambholt Ravager</t>
        </is>
      </c>
      <c r="B1544" s="11" t="inlineStr">
        <is>
          <t>Criatura — Lobo / Creature — Wolf</t>
        </is>
      </c>
      <c r="C1544" s="11" t="inlineStr">
        <is>
          <t>Comum / Common</t>
        </is>
      </c>
      <c r="D1544" s="11" t="inlineStr">
        <is>
          <t>{3}{R}: A criatura alvo não pode bloquear neste turno. / {3}{R}: Target creature can't block this turn.</t>
        </is>
      </c>
      <c r="E1544" s="11" t="inlineStr">
        <is>
          <t>{1}{R}</t>
        </is>
      </c>
      <c r="F1544" s="11" t="inlineStr">
        <is>
          <t>Vermelho / Red</t>
        </is>
      </c>
      <c r="G1544" s="8" t="n">
        <v>0.04</v>
      </c>
      <c r="H1544" s="11" t="inlineStr">
        <is>
          <t>Innistrad: Midnight Hunt (MID)</t>
        </is>
      </c>
      <c r="I1544" s="11" t="inlineStr">
        <is>
          <t>Não</t>
        </is>
      </c>
      <c r="J1544" s="11" t="n">
        <v>2021</v>
      </c>
      <c r="K1544" s="10" t="n">
        <v>46055</v>
      </c>
      <c r="L1544" s="11" t="n">
        <v>3</v>
      </c>
      <c r="M1544" s="8">
        <f>L1544*G1544</f>
        <v/>
      </c>
      <c r="P1544" s="9" t="n"/>
    </row>
    <row r="1545">
      <c r="A1545" s="11" t="inlineStr">
        <is>
          <t>Ciclope do Chicote-corrente / Chainwhip Cyclops</t>
        </is>
      </c>
      <c r="B1545" s="11" t="inlineStr">
        <is>
          <t>Criatura — Ciclope Guerreiro / Creature — Cyclops Warrior</t>
        </is>
      </c>
      <c r="C1545" s="11" t="inlineStr">
        <is>
          <t>Comum / Common</t>
        </is>
      </c>
      <c r="D1545" s="11" t="inlineStr">
        <is>
          <t>{3}{R}: A criatura alvo não pode bloquear neste turno. / {3}{R}: Target creature can't block this turn.</t>
        </is>
      </c>
      <c r="E1545" s="11" t="inlineStr">
        <is>
          <t>{4}{R}</t>
        </is>
      </c>
      <c r="F1545" s="11" t="inlineStr">
        <is>
          <t>Vermelho / Red</t>
        </is>
      </c>
      <c r="G1545" s="8" t="n">
        <v>0.03</v>
      </c>
      <c r="H1545" s="11" t="inlineStr">
        <is>
          <t>War of the Spark (WAR)</t>
        </is>
      </c>
      <c r="I1545" s="11" t="inlineStr">
        <is>
          <t>Não</t>
        </is>
      </c>
      <c r="J1545" s="11" t="n">
        <v>2019</v>
      </c>
      <c r="K1545" s="10" t="n">
        <v>46116</v>
      </c>
      <c r="L1545" s="11" t="n">
        <v>1</v>
      </c>
      <c r="M1545" s="8">
        <f>L1545*G1545</f>
        <v/>
      </c>
      <c r="P1545" s="9" t="n"/>
    </row>
    <row r="1546">
      <c r="A1546" s="11" t="inlineStr">
        <is>
          <t>Caçador de Duas Cabeças / Two-Headed Hunter</t>
        </is>
      </c>
      <c r="B1546" s="11" t="inlineStr">
        <is>
          <t>Criatura — Gigante / Creature — Giant</t>
        </is>
      </c>
      <c r="C1546" s="11" t="inlineStr">
        <is>
          <t>Incomum / Uncommon</t>
        </is>
      </c>
      <c r="D1546" s="11"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1546" s="11" t="inlineStr">
        <is>
          <t>{4}{R} // {1}{R}</t>
        </is>
      </c>
      <c r="F1546" s="11" t="inlineStr">
        <is>
          <t>Vermelho / Red</t>
        </is>
      </c>
      <c r="G1546" s="8" t="n">
        <v>0.1</v>
      </c>
      <c r="H1546" s="11" t="inlineStr">
        <is>
          <t>Wilds of Eldraine (WOE)</t>
        </is>
      </c>
      <c r="I1546" s="11" t="inlineStr">
        <is>
          <t>Não</t>
        </is>
      </c>
      <c r="J1546" s="11" t="n">
        <v>2023</v>
      </c>
      <c r="K1546" s="10" t="n">
        <v>46117</v>
      </c>
      <c r="L1546" s="11" t="n">
        <v>1</v>
      </c>
      <c r="M1546" s="8">
        <f>L1546*G1546</f>
        <v/>
      </c>
      <c r="P1546" s="9" t="n"/>
    </row>
    <row r="1547">
      <c r="A1547" s="11" t="inlineStr">
        <is>
          <t>Esguicho de Magma / Magma Spray</t>
        </is>
      </c>
      <c r="B1547" s="11" t="inlineStr">
        <is>
          <t>Mágica Instantânea / Instant</t>
        </is>
      </c>
      <c r="C1547" s="11" t="inlineStr">
        <is>
          <t>Comum / Common</t>
        </is>
      </c>
      <c r="D1547" s="11" t="inlineStr">
        <is>
          <t>Esguicho de Magma causa 2 pontos de dano à criatura alvo. Se aquela criatura for morrer neste turno, em vez disso, exile-a. / Magma Spray deals 2 damage to target creature. If that creature would die this turn, exile it instead.</t>
        </is>
      </c>
      <c r="E1547" s="11" t="inlineStr">
        <is>
          <t>{R}</t>
        </is>
      </c>
      <c r="F1547" s="11" t="inlineStr">
        <is>
          <t>Vermelho / Red</t>
        </is>
      </c>
      <c r="G1547" s="8" t="n">
        <v>0.05</v>
      </c>
      <c r="H1547" s="11" t="inlineStr">
        <is>
          <t>Born of the Gods (BNG)</t>
        </is>
      </c>
      <c r="I1547" s="11" t="inlineStr">
        <is>
          <t>Não</t>
        </is>
      </c>
      <c r="J1547" s="11" t="n">
        <v>2014</v>
      </c>
      <c r="L1547" s="11" t="n">
        <v>1</v>
      </c>
      <c r="M1547" s="8">
        <f>L1547*G1547</f>
        <v/>
      </c>
      <c r="P1547" s="9" t="n"/>
    </row>
    <row r="1548">
      <c r="A1548" s="11" t="inlineStr">
        <is>
          <t>Guerreiro de Akoum / Akoum Warrior</t>
        </is>
      </c>
      <c r="B1548" s="11" t="inlineStr">
        <is>
          <t>Criatura — Minotauro Guerreiro / Creature — Minotaur Warrior</t>
        </is>
      </c>
      <c r="C1548" s="11" t="inlineStr">
        <is>
          <t>Incomum / Uncommon</t>
        </is>
      </c>
      <c r="D1548" s="11" t="inlineStr">
        <is>
          <t>Atropelar. / Trample.</t>
        </is>
      </c>
      <c r="E1548" s="11" t="inlineStr">
        <is>
          <t>{5}{R}</t>
        </is>
      </c>
      <c r="F1548" s="11" t="inlineStr">
        <is>
          <t>Vermelho / Red</t>
        </is>
      </c>
      <c r="G1548" s="8" t="n">
        <v>0.09</v>
      </c>
      <c r="H1548" s="11" t="inlineStr">
        <is>
          <t>Zendikar Rising (ZNR)</t>
        </is>
      </c>
      <c r="I1548" s="11" t="inlineStr">
        <is>
          <t>Não</t>
        </is>
      </c>
      <c r="J1548" s="11" t="n">
        <v>2020</v>
      </c>
      <c r="K1548" s="10" t="n">
        <v>46146</v>
      </c>
      <c r="L1548" s="11" t="n">
        <v>1</v>
      </c>
      <c r="M1548" s="8">
        <f>L1548*G1548</f>
        <v/>
      </c>
      <c r="P1548" s="9" t="n"/>
    </row>
    <row r="1549">
      <c r="A1549" s="11" t="inlineStr">
        <is>
          <t>Grizzly Bears / Ursos Cinzentos</t>
        </is>
      </c>
      <c r="B1549" s="11" t="inlineStr">
        <is>
          <t>Creature — Bear / Criatura — Urso</t>
        </is>
      </c>
      <c r="C1549" s="11" t="inlineStr">
        <is>
          <t>Common / Comum</t>
        </is>
      </c>
      <c r="E1549" s="11" t="inlineStr">
        <is>
          <t>{1}{G}</t>
        </is>
      </c>
      <c r="F1549" s="11" t="inlineStr">
        <is>
          <t>Verde</t>
        </is>
      </c>
      <c r="G1549" s="8" t="n">
        <v>0.09</v>
      </c>
      <c r="H1549" s="11" t="inlineStr">
        <is>
          <t>Décima edição</t>
        </is>
      </c>
      <c r="I1549" s="11" t="inlineStr">
        <is>
          <t>Não</t>
        </is>
      </c>
      <c r="J1549" s="11" t="n">
        <v>2007</v>
      </c>
      <c r="K1549" s="10" t="n">
        <v>46055</v>
      </c>
      <c r="L1549" s="11" t="n">
        <v>2</v>
      </c>
      <c r="M1549" s="8">
        <f>L1549*G1549</f>
        <v/>
      </c>
      <c r="P1549" s="9" t="n"/>
    </row>
    <row r="1550">
      <c r="A1550" s="11" t="inlineStr">
        <is>
          <t>Runeclaw Bear / Urso Garra de Runa</t>
        </is>
      </c>
      <c r="B1550" s="11" t="inlineStr">
        <is>
          <t>Creature — Bear / Criatura — Urso</t>
        </is>
      </c>
      <c r="C1550" s="11" t="inlineStr">
        <is>
          <t>Common / Comum</t>
        </is>
      </c>
      <c r="E1550" s="11" t="inlineStr">
        <is>
          <t>{1}{G}</t>
        </is>
      </c>
      <c r="F1550" s="11" t="inlineStr">
        <is>
          <t>Verde</t>
        </is>
      </c>
      <c r="G1550" s="8" t="n">
        <v>0.09</v>
      </c>
      <c r="H1550" s="11" t="inlineStr">
        <is>
          <t>Magic 20105 (M15)</t>
        </is>
      </c>
      <c r="I1550" s="11" t="inlineStr">
        <is>
          <t>Não</t>
        </is>
      </c>
      <c r="J1550" s="11" t="n">
        <v>2014</v>
      </c>
      <c r="K1550" s="10" t="n">
        <v>46055</v>
      </c>
      <c r="L1550" s="11" t="n">
        <v>2</v>
      </c>
      <c r="M1550" s="8">
        <f>L1550*G1550</f>
        <v/>
      </c>
      <c r="P1550" s="9" t="n"/>
    </row>
    <row r="1551">
      <c r="A1551" s="11" t="inlineStr">
        <is>
          <t>Rise of the Ants / Ascensão das Formigas</t>
        </is>
      </c>
      <c r="B1551" s="11" t="inlineStr">
        <is>
          <t>Sorcery / Feitiço</t>
        </is>
      </c>
      <c r="C1551" s="11" t="inlineStr">
        <is>
          <t>Uncommon / Incomum</t>
        </is>
      </c>
      <c r="D1551" s="11"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1551" s="11" t="inlineStr">
        <is>
          <t>{4}{G}{G}</t>
        </is>
      </c>
      <c r="F1551" s="11" t="inlineStr">
        <is>
          <t>Verde</t>
        </is>
      </c>
      <c r="G1551" s="8" t="n">
        <v>0.09</v>
      </c>
      <c r="H1551" s="11" t="inlineStr">
        <is>
          <t>Innistrad: Midnight Hunt (MID)</t>
        </is>
      </c>
      <c r="I1551" s="11" t="inlineStr">
        <is>
          <t>Não</t>
        </is>
      </c>
      <c r="J1551" s="11" t="n">
        <v>2021</v>
      </c>
      <c r="L1551" s="11" t="n">
        <v>1</v>
      </c>
      <c r="M1551" s="8">
        <f>L1551*G1551</f>
        <v/>
      </c>
      <c r="P1551" s="9" t="n"/>
    </row>
    <row r="1552">
      <c r="A1552" s="11" t="inlineStr">
        <is>
          <t>Horrific Assault / Assalto Horripilante</t>
        </is>
      </c>
      <c r="B1552" s="11" t="inlineStr">
        <is>
          <t>Sorcery / Feitiço</t>
        </is>
      </c>
      <c r="C1552" s="11" t="inlineStr">
        <is>
          <t>Common / Comum</t>
        </is>
      </c>
      <c r="D1552" s="11"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1552" s="11" t="inlineStr">
        <is>
          <t>{G}</t>
        </is>
      </c>
      <c r="F1552" s="11" t="inlineStr">
        <is>
          <t>Verde</t>
        </is>
      </c>
      <c r="G1552" s="8" t="n">
        <v>0.1</v>
      </c>
      <c r="H1552" s="11" t="inlineStr">
        <is>
          <t>Modern Horizons 3 (MH3)</t>
        </is>
      </c>
      <c r="I1552" s="11" t="inlineStr">
        <is>
          <t>Não</t>
        </is>
      </c>
      <c r="J1552" s="11" t="n">
        <v>2024</v>
      </c>
      <c r="L1552" s="11" t="n">
        <v>1</v>
      </c>
      <c r="M1552" s="8">
        <f>L1552*G1552</f>
        <v/>
      </c>
      <c r="P1552" s="9" t="n"/>
    </row>
    <row r="1553">
      <c r="A1553" s="11" t="inlineStr">
        <is>
          <t>Blessing of Frost / Bênção da Geada</t>
        </is>
      </c>
      <c r="B1553" s="11" t="inlineStr">
        <is>
          <t>Snow Sorcery / Feitiço da Neve</t>
        </is>
      </c>
      <c r="C1553" s="11" t="inlineStr">
        <is>
          <t>Rare / Rara</t>
        </is>
      </c>
      <c r="D1553" s="11"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1553" s="11" t="inlineStr">
        <is>
          <t>{3}{G}</t>
        </is>
      </c>
      <c r="F1553" s="11" t="inlineStr">
        <is>
          <t>Verde</t>
        </is>
      </c>
      <c r="G1553" s="8" t="n">
        <v>0.17</v>
      </c>
      <c r="H1553" s="11" t="inlineStr">
        <is>
          <t>Kaldheim (KHM)</t>
        </is>
      </c>
      <c r="I1553" s="11" t="inlineStr">
        <is>
          <t>Não</t>
        </is>
      </c>
      <c r="J1553" s="11" t="n">
        <v>2021</v>
      </c>
      <c r="L1553" s="11" t="n">
        <v>1</v>
      </c>
      <c r="M1553" s="8">
        <f>L1553*G1553</f>
        <v/>
      </c>
      <c r="P1553" s="9" t="n"/>
    </row>
    <row r="1554">
      <c r="A1554" s="11" t="inlineStr">
        <is>
          <t>Charge of the Forever-Beast / Carga da Fera Eterna</t>
        </is>
      </c>
      <c r="B1554" s="11" t="inlineStr">
        <is>
          <t>Sorcery / Feitiço</t>
        </is>
      </c>
      <c r="C1554" s="11" t="inlineStr">
        <is>
          <t>Uncommon / Incomum</t>
        </is>
      </c>
      <c r="D1554" s="11"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1554" s="11" t="inlineStr">
        <is>
          <t>{2}{G}</t>
        </is>
      </c>
      <c r="F1554" s="11" t="inlineStr">
        <is>
          <t>Verde</t>
        </is>
      </c>
      <c r="G1554" s="8" t="n">
        <v>0.09</v>
      </c>
      <c r="H1554" s="11" t="inlineStr">
        <is>
          <t>Ikoria: Lair of Behemoths (IKO)</t>
        </is>
      </c>
      <c r="I1554" s="11" t="inlineStr">
        <is>
          <t>Não</t>
        </is>
      </c>
      <c r="J1554" s="11" t="n">
        <v>2020</v>
      </c>
      <c r="L1554" s="11" t="n">
        <v>1</v>
      </c>
      <c r="M1554" s="8">
        <f>L1554*G1554</f>
        <v/>
      </c>
      <c r="P1554" s="9" t="n"/>
    </row>
    <row r="1555">
      <c r="A1555" s="11" t="inlineStr">
        <is>
          <t>Adventure Awaits / Aventura à Espera</t>
        </is>
      </c>
      <c r="B1555" s="11" t="inlineStr">
        <is>
          <t>Sorcery / Feitiço</t>
        </is>
      </c>
      <c r="C1555" s="11" t="inlineStr">
        <is>
          <t>Common / Comum</t>
        </is>
      </c>
      <c r="D1555" s="11"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1555" s="11" t="inlineStr">
        <is>
          <t>{1}{G}</t>
        </is>
      </c>
      <c r="F1555" s="11" t="inlineStr">
        <is>
          <t>Verde</t>
        </is>
      </c>
      <c r="G1555" s="8" t="n">
        <v>0.05</v>
      </c>
      <c r="H1555" s="11" t="inlineStr">
        <is>
          <t>Zendikar Rising (ZNR)</t>
        </is>
      </c>
      <c r="I1555" s="11" t="inlineStr">
        <is>
          <t>Não</t>
        </is>
      </c>
      <c r="J1555" s="11" t="n">
        <v>2020</v>
      </c>
      <c r="L1555" s="11" t="n">
        <v>1</v>
      </c>
      <c r="M1555" s="8">
        <f>L1555*G1555</f>
        <v/>
      </c>
      <c r="P1555" s="9" t="n"/>
    </row>
    <row r="1556">
      <c r="A1556" s="11" t="inlineStr">
        <is>
          <t>Bestial Menace / Ameaça Bestial</t>
        </is>
      </c>
      <c r="B1556" s="11" t="inlineStr">
        <is>
          <t>Sorcery / Feitiço</t>
        </is>
      </c>
      <c r="C1556" s="11" t="inlineStr">
        <is>
          <t>Uncommon / Incomum</t>
        </is>
      </c>
      <c r="D1556" s="11" t="inlineStr">
        <is>
          <t>Create a 1/1 green Snake creature token, a 2/2 green Wolf creature token, and a 3/3 green Elephant creature token. / Crie uma ficha de criatura Cobra verde 1/1, uma ficha de criatura Lobo verde 2/2 e uma ficha de criatura Elefante verde 3/3.</t>
        </is>
      </c>
      <c r="E1556" s="11" t="inlineStr">
        <is>
          <t>{3}{G}{G}</t>
        </is>
      </c>
      <c r="F1556" s="11" t="inlineStr">
        <is>
          <t>Verde</t>
        </is>
      </c>
      <c r="G1556" s="8" t="n">
        <v>0.15</v>
      </c>
      <c r="H1556" s="11" t="inlineStr">
        <is>
          <t>Modern Masters 2015 (MM2)</t>
        </is>
      </c>
      <c r="I1556" s="11" t="inlineStr">
        <is>
          <t>Não</t>
        </is>
      </c>
      <c r="J1556" s="11" t="n">
        <v>2015</v>
      </c>
      <c r="L1556" s="11" t="n">
        <v>1</v>
      </c>
      <c r="M1556" s="8">
        <f>L1556*G1556</f>
        <v/>
      </c>
      <c r="P1556" s="9" t="n"/>
    </row>
    <row r="1557">
      <c r="A1557" s="11" t="inlineStr">
        <is>
          <t>Prey Upon / Apresar</t>
        </is>
      </c>
      <c r="B1557" s="11" t="inlineStr">
        <is>
          <t>Sorcery / Feitiço</t>
        </is>
      </c>
      <c r="C1557" s="11" t="inlineStr">
        <is>
          <t>Common / Comum</t>
        </is>
      </c>
      <c r="D1557" s="11"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1557" s="11" t="inlineStr">
        <is>
          <t>{G}</t>
        </is>
      </c>
      <c r="F1557" s="11" t="inlineStr">
        <is>
          <t>Verde</t>
        </is>
      </c>
      <c r="G1557" s="8" t="n">
        <v>0.05</v>
      </c>
      <c r="H1557" s="11" t="inlineStr">
        <is>
          <t>Ultimate Masters (UMA)</t>
        </is>
      </c>
      <c r="I1557" s="11" t="inlineStr">
        <is>
          <t>Não</t>
        </is>
      </c>
      <c r="J1557" s="11" t="n">
        <v>2018</v>
      </c>
      <c r="L1557" s="11" t="n">
        <v>1</v>
      </c>
      <c r="M1557" s="8">
        <f>L1557*G1557</f>
        <v/>
      </c>
      <c r="P1557" s="9" t="n"/>
    </row>
    <row r="1558">
      <c r="A1558" s="11" t="inlineStr">
        <is>
          <t>You Meet in a Tavern / Vocês se Encontram numa Taverna</t>
        </is>
      </c>
      <c r="B1558" s="11" t="inlineStr">
        <is>
          <t>Sorcery / Feitiço</t>
        </is>
      </c>
      <c r="C1558" s="11" t="inlineStr">
        <is>
          <t>Uncommon / Incomum</t>
        </is>
      </c>
      <c r="D1558" s="11"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1558" s="11" t="inlineStr">
        <is>
          <t>{2}{G}{G}</t>
        </is>
      </c>
      <c r="F1558" s="11" t="inlineStr">
        <is>
          <t>Verde</t>
        </is>
      </c>
      <c r="G1558" s="8" t="n">
        <v>0.18</v>
      </c>
      <c r="H1558" s="11" t="inlineStr">
        <is>
          <t>Adventures in the Forgotten Realms (AFR)</t>
        </is>
      </c>
      <c r="I1558" s="11" t="inlineStr">
        <is>
          <t>Não</t>
        </is>
      </c>
      <c r="J1558" s="11" t="n">
        <v>2021</v>
      </c>
      <c r="L1558" s="11" t="n">
        <v>2</v>
      </c>
      <c r="M1558" s="8">
        <f>L1558*G1558</f>
        <v/>
      </c>
      <c r="P1558" s="9" t="n"/>
    </row>
    <row r="1559">
      <c r="A1559" s="11" t="inlineStr">
        <is>
          <t>Colossal Dreadmask / Máscara Sinistra Colossal</t>
        </is>
      </c>
      <c r="B1559" s="11" t="inlineStr">
        <is>
          <t>Artifact — Equipment / Artefato — Equipamento</t>
        </is>
      </c>
      <c r="C1559" s="11" t="inlineStr">
        <is>
          <t>Common / Comum</t>
        </is>
      </c>
      <c r="D1559" s="11"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1559" s="11" t="inlineStr">
        <is>
          <t>{4}{G}{G}</t>
        </is>
      </c>
      <c r="F1559" s="11" t="inlineStr">
        <is>
          <t>Verde</t>
        </is>
      </c>
      <c r="G1559" s="8" t="n">
        <v>0.05</v>
      </c>
      <c r="H1559" s="11" t="inlineStr">
        <is>
          <t>Modern Horizons 3 (MH3)</t>
        </is>
      </c>
      <c r="I1559" s="11" t="inlineStr">
        <is>
          <t>Não</t>
        </is>
      </c>
      <c r="J1559" s="11" t="n">
        <v>2024</v>
      </c>
      <c r="L1559" s="11" t="n">
        <v>1</v>
      </c>
      <c r="M1559" s="8">
        <f>L1559*G1559</f>
        <v/>
      </c>
      <c r="P1559" s="9" t="n"/>
    </row>
    <row r="1560">
      <c r="A1560" s="11" t="inlineStr">
        <is>
          <t>Boseiju Reaches Skyward // Branch of Boseiju / Boseiju Alcança as Alturas // Galho de Boseiju</t>
        </is>
      </c>
      <c r="B1560" s="11" t="inlineStr">
        <is>
          <t>Enchantment — Saga // Enchantment Creature — Plant / Encantamento — Saga</t>
        </is>
      </c>
      <c r="C1560" s="11" t="inlineStr">
        <is>
          <t>Uncommon / Incomum</t>
        </is>
      </c>
      <c r="D1560" s="11"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1560" s="11" t="inlineStr">
        <is>
          <t>{3}{G}</t>
        </is>
      </c>
      <c r="F1560" s="11" t="inlineStr">
        <is>
          <t>Verde</t>
        </is>
      </c>
      <c r="G1560" s="8" t="n">
        <v>0.15</v>
      </c>
      <c r="H1560" s="11" t="inlineStr">
        <is>
          <t>Kamigawa: Neon Dynasty (NEO)</t>
        </is>
      </c>
      <c r="I1560" s="11" t="inlineStr">
        <is>
          <t>Não</t>
        </is>
      </c>
      <c r="J1560" s="11" t="n">
        <v>2022</v>
      </c>
      <c r="L1560" s="11" t="n">
        <v>1</v>
      </c>
      <c r="M1560" s="8">
        <f>L1560*G1560</f>
        <v/>
      </c>
      <c r="P1560" s="9" t="n"/>
    </row>
    <row r="1561">
      <c r="A1561" s="11" t="inlineStr">
        <is>
          <t>Verdant Haven / Refúgio Verdejante</t>
        </is>
      </c>
      <c r="B1561" s="11" t="inlineStr">
        <is>
          <t>Enchantment — Aura / Encantamento — Aura</t>
        </is>
      </c>
      <c r="C1561" s="11" t="inlineStr">
        <is>
          <t>Common / Comum</t>
        </is>
      </c>
      <c r="D1561" s="11"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1561" s="11" t="inlineStr">
        <is>
          <t>{2}{G}</t>
        </is>
      </c>
      <c r="F1561" s="11" t="inlineStr">
        <is>
          <t>Verde</t>
        </is>
      </c>
      <c r="G1561" s="8" t="n">
        <v>0.08</v>
      </c>
      <c r="H1561" s="11" t="inlineStr">
        <is>
          <t>Magic 2015 (M15)</t>
        </is>
      </c>
      <c r="I1561" s="11" t="inlineStr">
        <is>
          <t>Não</t>
        </is>
      </c>
      <c r="J1561" s="11" t="n">
        <v>2014</v>
      </c>
      <c r="L1561" s="11" t="n">
        <v>1</v>
      </c>
      <c r="M1561" s="8">
        <f>L1561*G1561</f>
        <v/>
      </c>
      <c r="P1561" s="9" t="n"/>
    </row>
    <row r="1562">
      <c r="A1562" s="11" t="inlineStr">
        <is>
          <t>Vastwood Zendikon / Zendikon de Matavasta</t>
        </is>
      </c>
      <c r="B1562" s="11" t="inlineStr">
        <is>
          <t>Enchantment — Aura / Encantamento — Aura</t>
        </is>
      </c>
      <c r="C1562" s="11" t="inlineStr">
        <is>
          <t>Common / Comum</t>
        </is>
      </c>
      <c r="D1562" s="11"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1562" s="11" t="inlineStr">
        <is>
          <t>{4}{G}</t>
        </is>
      </c>
      <c r="F1562" s="11" t="inlineStr">
        <is>
          <t>Verde</t>
        </is>
      </c>
      <c r="G1562" s="8" t="n">
        <v>0.06</v>
      </c>
      <c r="H1562" s="11" t="inlineStr">
        <is>
          <t>Worldwake (WWK)</t>
        </is>
      </c>
      <c r="I1562" s="11" t="inlineStr">
        <is>
          <t>Não</t>
        </is>
      </c>
      <c r="J1562" s="11" t="n">
        <v>2010</v>
      </c>
      <c r="L1562" s="11" t="n">
        <v>1</v>
      </c>
      <c r="M1562" s="8">
        <f>L1562*G1562</f>
        <v/>
      </c>
      <c r="P1562" s="9" t="n"/>
    </row>
    <row r="1563">
      <c r="A1563" s="11" t="inlineStr">
        <is>
          <t>Find the Path / Encontrar o Caminho</t>
        </is>
      </c>
      <c r="B1563" s="11" t="inlineStr">
        <is>
          <t>Enchantment — Aura / Encantamento — Aura</t>
        </is>
      </c>
      <c r="C1563" s="11" t="inlineStr">
        <is>
          <t>Common / Comum</t>
        </is>
      </c>
      <c r="D1563" s="11"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563" s="11" t="inlineStr">
        <is>
          <t>{2}{G}</t>
        </is>
      </c>
      <c r="F1563" s="11" t="inlineStr">
        <is>
          <t>Verde</t>
        </is>
      </c>
      <c r="G1563" s="8" t="n">
        <v>0.04</v>
      </c>
      <c r="H1563" s="11" t="inlineStr">
        <is>
          <t>Adventures in the Forgotten Realms (AFR)</t>
        </is>
      </c>
      <c r="I1563" s="11" t="inlineStr">
        <is>
          <t>Não</t>
        </is>
      </c>
      <c r="J1563" s="11" t="n">
        <v>2021</v>
      </c>
      <c r="L1563" s="11" t="n">
        <v>1</v>
      </c>
      <c r="M1563" s="8">
        <f>L1563*G1563</f>
        <v/>
      </c>
      <c r="P1563" s="9" t="n"/>
    </row>
    <row r="1564">
      <c r="A1564" s="11" t="inlineStr">
        <is>
          <t>Feral Invocation / Invocação Feral</t>
        </is>
      </c>
      <c r="B1564" s="11" t="inlineStr">
        <is>
          <t>Enchantment — Aura / Encantamento — Aura</t>
        </is>
      </c>
      <c r="C1564" s="11" t="inlineStr">
        <is>
          <t>Common / Comum</t>
        </is>
      </c>
      <c r="D1564" s="11"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564" s="11" t="inlineStr">
        <is>
          <t>{2}{G}</t>
        </is>
      </c>
      <c r="F1564" s="11" t="inlineStr">
        <is>
          <t>Verde</t>
        </is>
      </c>
      <c r="G1564" s="8" t="n">
        <v>0.03</v>
      </c>
      <c r="H1564" s="11" t="inlineStr">
        <is>
          <t>Core Set 2020 (M20)</t>
        </is>
      </c>
      <c r="I1564" s="11" t="inlineStr">
        <is>
          <t>Não</t>
        </is>
      </c>
      <c r="J1564" s="11" t="n">
        <v>2019</v>
      </c>
      <c r="L1564" s="11" t="n">
        <v>1</v>
      </c>
      <c r="M1564" s="8">
        <f>L1564*G1564</f>
        <v/>
      </c>
      <c r="P1564" s="9" t="n"/>
    </row>
    <row r="1565">
      <c r="A1565" s="11" t="inlineStr">
        <is>
          <t>Grafted Growth / Crescimento Enxertado</t>
        </is>
      </c>
      <c r="B1565" s="11" t="inlineStr">
        <is>
          <t>Enchantment — Aura / Encantamento — Aura</t>
        </is>
      </c>
      <c r="C1565" s="11" t="inlineStr">
        <is>
          <t>Common / Comum</t>
        </is>
      </c>
      <c r="D1565" s="11"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565" s="11" t="inlineStr">
        <is>
          <t>{2}{G}</t>
        </is>
      </c>
      <c r="F1565" s="11" t="inlineStr">
        <is>
          <t>Verde</t>
        </is>
      </c>
      <c r="G1565" s="8" t="n">
        <v>0.06</v>
      </c>
      <c r="H1565" s="11" t="inlineStr">
        <is>
          <t>Kamigawa: Neon Dynasty (NEO)</t>
        </is>
      </c>
      <c r="I1565" s="11" t="inlineStr">
        <is>
          <t>Não</t>
        </is>
      </c>
      <c r="J1565" s="11" t="n">
        <v>2022</v>
      </c>
      <c r="L1565" s="11" t="n">
        <v>1</v>
      </c>
      <c r="M1565" s="8">
        <f>L1565*G1565</f>
        <v/>
      </c>
      <c r="P1565" s="9" t="n"/>
    </row>
    <row r="1566">
      <c r="A1566" s="11" t="inlineStr">
        <is>
          <t>Encroaching Dragonstorm</t>
        </is>
      </c>
      <c r="B1566" s="11" t="inlineStr">
        <is>
          <t>Enchantment</t>
        </is>
      </c>
      <c r="C1566" s="11" t="inlineStr">
        <is>
          <t>Uncommon / Incomum</t>
        </is>
      </c>
      <c r="D1566" s="11" t="inlineStr">
        <is>
          <t>When this enchantment enters, search your library for up to two basic land cards, put them onto the battlefield tapped, then shuffle. When a Dragon you control enters, return this enchantment to its owner's hand.</t>
        </is>
      </c>
      <c r="E1566" s="11" t="inlineStr">
        <is>
          <t>{3}{G}</t>
        </is>
      </c>
      <c r="F1566" s="11" t="inlineStr">
        <is>
          <t>Verde</t>
        </is>
      </c>
      <c r="G1566" s="8" t="n">
        <v>0.11</v>
      </c>
      <c r="H1566" s="11" t="inlineStr">
        <is>
          <t>Tarkir: Dragonstorm (TDM)</t>
        </is>
      </c>
      <c r="I1566" s="11" t="inlineStr">
        <is>
          <t>Não</t>
        </is>
      </c>
      <c r="J1566" s="11" t="n">
        <v>2025</v>
      </c>
      <c r="L1566" s="11" t="n">
        <v>1</v>
      </c>
      <c r="M1566" s="8">
        <f>L1566*G1566</f>
        <v/>
      </c>
      <c r="P1566" s="9" t="n"/>
    </row>
    <row r="1567">
      <c r="A1567" s="11" t="inlineStr">
        <is>
          <t>Hunter's Mark / Marca do Predador</t>
        </is>
      </c>
      <c r="B1567" s="11" t="inlineStr">
        <is>
          <t>Instant / Mágica Instantânea</t>
        </is>
      </c>
      <c r="C1567" s="11" t="inlineStr">
        <is>
          <t>Uncommon / Incomum</t>
        </is>
      </c>
      <c r="D1567" s="11"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1567" s="11" t="inlineStr">
        <is>
          <t>{3}{G}</t>
        </is>
      </c>
      <c r="F1567" s="11" t="inlineStr">
        <is>
          <t>Verde</t>
        </is>
      </c>
      <c r="G1567" s="8" t="n">
        <v>0.04</v>
      </c>
      <c r="H1567" s="11" t="inlineStr">
        <is>
          <t>Adventures in the Forgotten Realms (AFR)</t>
        </is>
      </c>
      <c r="I1567" s="11" t="inlineStr">
        <is>
          <t>Não</t>
        </is>
      </c>
      <c r="J1567" s="11" t="n">
        <v>2021</v>
      </c>
      <c r="L1567" s="11" t="n">
        <v>1</v>
      </c>
      <c r="M1567" s="8">
        <f>L1567*G1567</f>
        <v/>
      </c>
      <c r="P1567" s="9" t="n"/>
    </row>
    <row r="1568">
      <c r="A1568" s="11" t="inlineStr">
        <is>
          <t>Clinging Mists / Brumas Pegajosas</t>
        </is>
      </c>
      <c r="B1568" s="11" t="inlineStr">
        <is>
          <t>Instant / Mágica Instantânea</t>
        </is>
      </c>
      <c r="C1568" s="11" t="inlineStr">
        <is>
          <t>Common / Comum</t>
        </is>
      </c>
      <c r="D1568" s="11"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1568" s="11" t="inlineStr">
        <is>
          <t>{2}{G}</t>
        </is>
      </c>
      <c r="F1568" s="11" t="inlineStr">
        <is>
          <t>Verde</t>
        </is>
      </c>
      <c r="G1568" s="8" t="n">
        <v>0.05</v>
      </c>
      <c r="H1568" s="11" t="inlineStr">
        <is>
          <t>Dark Ascension (DKA)</t>
        </is>
      </c>
      <c r="I1568" s="11" t="inlineStr">
        <is>
          <t>Não</t>
        </is>
      </c>
      <c r="J1568" s="11" t="n">
        <v>2012</v>
      </c>
      <c r="L1568" s="11" t="n">
        <v>1</v>
      </c>
      <c r="M1568" s="8">
        <f>L1568*G1568</f>
        <v/>
      </c>
      <c r="P1568" s="9" t="n"/>
    </row>
    <row r="1569">
      <c r="A1569" s="11" t="inlineStr">
        <is>
          <t>Savage Hunger / Fome Selvagem</t>
        </is>
      </c>
      <c r="B1569" s="11" t="inlineStr">
        <is>
          <t>Enchantment — Aura / Encantamento — Aura</t>
        </is>
      </c>
      <c r="C1569" s="11" t="inlineStr">
        <is>
          <t>Common / Comum</t>
        </is>
      </c>
      <c r="D1569" s="11" t="inlineStr">
        <is>
          <t>Enchant creature Enchanted creature gets +1/+0 and has trample. Cycling {2} ({2}, Discard this card: Draw a card.) / Encantar criatura A criatura encantada recebe +1/+0 e tem atropelar. Reciclar {2} ({2}, Descarte este card: Compre um card.)</t>
        </is>
      </c>
      <c r="E1569" s="11" t="inlineStr">
        <is>
          <t>{2}{G}</t>
        </is>
      </c>
      <c r="F1569" s="11" t="inlineStr">
        <is>
          <t>Verde</t>
        </is>
      </c>
      <c r="G1569" s="8" t="n">
        <v>0.03</v>
      </c>
      <c r="H1569" s="11" t="inlineStr">
        <is>
          <t>Shards of Alara (ALA)</t>
        </is>
      </c>
      <c r="I1569" s="11" t="inlineStr">
        <is>
          <t>Não</t>
        </is>
      </c>
      <c r="J1569" s="11" t="n">
        <v>2008</v>
      </c>
      <c r="L1569" s="11" t="n">
        <v>1</v>
      </c>
      <c r="M1569" s="8">
        <f>L1569*G1569</f>
        <v/>
      </c>
      <c r="P1569" s="9" t="n"/>
    </row>
    <row r="1570">
      <c r="A1570" s="11" t="inlineStr">
        <is>
          <t>Return to Nature / Retorno à Natureza</t>
        </is>
      </c>
      <c r="B1570" s="11" t="inlineStr">
        <is>
          <t>Instant / Mágica Instantânea</t>
        </is>
      </c>
      <c r="C1570" s="11" t="inlineStr">
        <is>
          <t>Common / Comum</t>
        </is>
      </c>
      <c r="D1570" s="11" t="inlineStr">
        <is>
          <t>Choose one — • Destroy target artifact. • Destroy target enchantment. • Exile target card from a graveyard. / Escolha um — • Destrua o artefato alvo. • Destrua o encantamento alvo. • Exile o card alvo de um cemitério.</t>
        </is>
      </c>
      <c r="E1570" s="11" t="inlineStr">
        <is>
          <t>{1}{G}</t>
        </is>
      </c>
      <c r="F1570" s="11" t="inlineStr">
        <is>
          <t>Verde</t>
        </is>
      </c>
      <c r="G1570" s="8" t="n">
        <v>0.13</v>
      </c>
      <c r="H1570" s="11" t="inlineStr">
        <is>
          <t>War of the Spark (WAR)</t>
        </is>
      </c>
      <c r="I1570" s="11" t="inlineStr">
        <is>
          <t>Não</t>
        </is>
      </c>
      <c r="J1570" s="11" t="n">
        <v>2019</v>
      </c>
      <c r="L1570" s="11" t="n">
        <v>1</v>
      </c>
      <c r="M1570" s="8">
        <f>L1570*G1570</f>
        <v/>
      </c>
      <c r="P1570" s="9" t="n"/>
    </row>
    <row r="1571">
      <c r="A1571" s="11" t="inlineStr">
        <is>
          <t>River Heralds' Boon / Bênção dos Arautos do Rio</t>
        </is>
      </c>
      <c r="B1571" s="11" t="inlineStr">
        <is>
          <t>Instant / Mágica Instantânea</t>
        </is>
      </c>
      <c r="C1571" s="11" t="inlineStr">
        <is>
          <t>Common / Comum</t>
        </is>
      </c>
      <c r="D1571" s="11" t="inlineStr">
        <is>
          <t>Put a +1/+1 counter on target creature and a +1/+1 counter on up to one target Merfolk. / Coloque um marcador +1/+1 na criatura alvo e um marcador +1/+1 em até um Tritão alvo.</t>
        </is>
      </c>
      <c r="E1571" s="11" t="inlineStr">
        <is>
          <t>{1}{G}</t>
        </is>
      </c>
      <c r="F1571" s="11" t="inlineStr">
        <is>
          <t>Verde</t>
        </is>
      </c>
      <c r="G1571" s="8" t="n">
        <v>0.03</v>
      </c>
      <c r="H1571" s="11" t="inlineStr">
        <is>
          <t>Ixalan (XLN)</t>
        </is>
      </c>
      <c r="I1571" s="11" t="inlineStr">
        <is>
          <t>Não</t>
        </is>
      </c>
      <c r="J1571" s="11" t="n">
        <v>2017</v>
      </c>
      <c r="L1571" s="11" t="n">
        <v>1</v>
      </c>
      <c r="M1571" s="8">
        <f>L1571*G1571</f>
        <v/>
      </c>
      <c r="P1571" s="9" t="n"/>
    </row>
    <row r="1572">
      <c r="A1572" s="11" t="inlineStr">
        <is>
          <t>Plummet / Tombar</t>
        </is>
      </c>
      <c r="B1572" s="11" t="inlineStr">
        <is>
          <t>Instant / Mágica Instantânea</t>
        </is>
      </c>
      <c r="C1572" s="11" t="inlineStr">
        <is>
          <t>Common / Comum</t>
        </is>
      </c>
      <c r="D1572" s="11" t="inlineStr">
        <is>
          <t>Destroy target creature with flying. / Destrua a criatura alvo com voar.</t>
        </is>
      </c>
      <c r="E1572" s="11" t="inlineStr">
        <is>
          <t>{1}{G}</t>
        </is>
      </c>
      <c r="F1572" s="11" t="inlineStr">
        <is>
          <t>Verde</t>
        </is>
      </c>
      <c r="G1572" s="8" t="n">
        <v>0.05</v>
      </c>
      <c r="H1572" s="11" t="inlineStr">
        <is>
          <t>Adventures in the Forgotten Realms (AFR)</t>
        </is>
      </c>
      <c r="I1572" s="11" t="inlineStr">
        <is>
          <t>Não</t>
        </is>
      </c>
      <c r="J1572" s="11" t="n">
        <v>2021</v>
      </c>
      <c r="L1572" s="11" t="n">
        <v>1</v>
      </c>
      <c r="M1572" s="8">
        <f>L1572*G1572</f>
        <v/>
      </c>
      <c r="P1572" s="9" t="n"/>
    </row>
    <row r="1573">
      <c r="A1573" s="11" t="inlineStr">
        <is>
          <t>Glissa's Scorn / Escárnio de Glissa</t>
        </is>
      </c>
      <c r="B1573" s="11" t="inlineStr">
        <is>
          <t>Instant / Mágica Instantânea</t>
        </is>
      </c>
      <c r="C1573" s="11" t="inlineStr">
        <is>
          <t>Common / Comum</t>
        </is>
      </c>
      <c r="D1573" s="11" t="inlineStr">
        <is>
          <t>Destroy target artifact. Its controller loses 1 life. / Destrua o artefato alvo. Seu controlador perde 1 ponto de vida.</t>
        </is>
      </c>
      <c r="E1573" s="11" t="inlineStr">
        <is>
          <t>{1}{G}</t>
        </is>
      </c>
      <c r="F1573" s="11" t="inlineStr">
        <is>
          <t>Verde</t>
        </is>
      </c>
      <c r="G1573" s="8" t="n">
        <v>0.06</v>
      </c>
      <c r="H1573" s="11" t="inlineStr">
        <is>
          <t>New Phyrexia (NPH)</t>
        </is>
      </c>
      <c r="I1573" s="11" t="inlineStr">
        <is>
          <t>Não</t>
        </is>
      </c>
      <c r="J1573" s="11" t="n">
        <v>2011</v>
      </c>
      <c r="L1573" s="11" t="n">
        <v>1</v>
      </c>
      <c r="M1573" s="8">
        <f>L1573*G1573</f>
        <v/>
      </c>
      <c r="P1573" s="9" t="n"/>
    </row>
    <row r="1574">
      <c r="A1574" s="11" t="inlineStr">
        <is>
          <t>Rampage of the Clans / Fúria dos Clãs</t>
        </is>
      </c>
      <c r="B1574" s="11" t="inlineStr">
        <is>
          <t>Instant / Mágica Instantânea</t>
        </is>
      </c>
      <c r="C1574" s="11" t="inlineStr">
        <is>
          <t>Rare / Rara</t>
        </is>
      </c>
      <c r="D1574" s="11"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1574" s="11" t="inlineStr">
        <is>
          <t>{3}{G}</t>
        </is>
      </c>
      <c r="F1574" s="11" t="inlineStr">
        <is>
          <t>Verde</t>
        </is>
      </c>
      <c r="G1574" s="8" t="n">
        <v>0.2</v>
      </c>
      <c r="H1574" s="11" t="inlineStr">
        <is>
          <t>Ravnica Allegiance (RNA)</t>
        </is>
      </c>
      <c r="I1574" s="11" t="inlineStr">
        <is>
          <t>Não</t>
        </is>
      </c>
      <c r="J1574" s="11" t="n">
        <v>2019</v>
      </c>
      <c r="L1574" s="11" t="n">
        <v>2</v>
      </c>
      <c r="M1574" s="8">
        <f>L1574*G1574</f>
        <v/>
      </c>
      <c r="P1574" s="9" t="n"/>
    </row>
    <row r="1575">
      <c r="A1575" s="11" t="inlineStr">
        <is>
          <t>Haunted Fengraf / Cemitério Pantanoso Assombrado</t>
        </is>
      </c>
      <c r="B1575" s="11" t="inlineStr">
        <is>
          <t>Land / Terreno</t>
        </is>
      </c>
      <c r="C1575" s="11" t="inlineStr">
        <is>
          <t>Common / Comum</t>
        </is>
      </c>
      <c r="D1575" s="11"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1575" s="11" t="inlineStr">
        <is>
          <t>Incolor</t>
        </is>
      </c>
      <c r="G1575" s="8" t="n">
        <v>0.18</v>
      </c>
      <c r="H1575" s="11" t="inlineStr">
        <is>
          <t>Dark Ascension (DKA)</t>
        </is>
      </c>
      <c r="I1575" s="11" t="inlineStr">
        <is>
          <t>Não</t>
        </is>
      </c>
      <c r="J1575" s="11" t="n">
        <v>2012</v>
      </c>
      <c r="L1575" s="11" t="n">
        <v>2</v>
      </c>
      <c r="M1575" s="8">
        <f>L1575*G1575</f>
        <v/>
      </c>
      <c r="P1575" s="9" t="n"/>
    </row>
    <row r="1576">
      <c r="A1576" s="11" t="inlineStr">
        <is>
          <t>Birthing Hulk / Brutamontes Procriador</t>
        </is>
      </c>
      <c r="B1576" s="11" t="inlineStr">
        <is>
          <t>Creature — Eldrazi Drone / Criatura — Eldrazi Zangão</t>
        </is>
      </c>
      <c r="C1576" s="11" t="inlineStr">
        <is>
          <t>Uncommon / Incomum</t>
        </is>
      </c>
      <c r="D1576" s="11"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1576" s="11" t="inlineStr">
        <is>
          <t>{6}{G}</t>
        </is>
      </c>
      <c r="F1576" s="11" t="inlineStr">
        <is>
          <t>Verde</t>
        </is>
      </c>
      <c r="G1576" s="8" t="n">
        <v>0.06</v>
      </c>
      <c r="H1576" s="11" t="inlineStr">
        <is>
          <t>Oath of the Gatewatch (OGW)</t>
        </is>
      </c>
      <c r="I1576" s="11" t="inlineStr">
        <is>
          <t>Não</t>
        </is>
      </c>
      <c r="J1576" s="11" t="n">
        <v>2016</v>
      </c>
      <c r="K1576" s="10" t="n">
        <v>46117</v>
      </c>
      <c r="L1576" s="11" t="n">
        <v>1</v>
      </c>
      <c r="M1576" s="8">
        <f>L1576*G1576</f>
        <v/>
      </c>
      <c r="P1576" s="9" t="n"/>
    </row>
    <row r="1577">
      <c r="A1577" s="11" t="inlineStr">
        <is>
          <t>Primordial Wurm / Vorme Primordial</t>
        </is>
      </c>
      <c r="B1577" s="11" t="inlineStr">
        <is>
          <t>Creature — Wurm / Criatura — Vorme</t>
        </is>
      </c>
      <c r="C1577" s="11" t="inlineStr">
        <is>
          <t>Common / Comum</t>
        </is>
      </c>
      <c r="E1577" s="11" t="inlineStr">
        <is>
          <t>{4}{G}{G}</t>
        </is>
      </c>
      <c r="F1577" s="11" t="inlineStr">
        <is>
          <t>Verde</t>
        </is>
      </c>
      <c r="G1577" s="8" t="n">
        <v>0.01</v>
      </c>
      <c r="H1577" s="11" t="inlineStr">
        <is>
          <t>War of the Spark (WAR)</t>
        </is>
      </c>
      <c r="I1577" s="11" t="inlineStr">
        <is>
          <t>Não</t>
        </is>
      </c>
      <c r="J1577" s="11" t="n">
        <v>2019</v>
      </c>
      <c r="K1577" s="10" t="n">
        <v>46180</v>
      </c>
      <c r="L1577" s="11" t="n">
        <v>1</v>
      </c>
      <c r="M1577" s="8">
        <f>L1577*G1577</f>
        <v/>
      </c>
      <c r="P1577" s="9" t="n"/>
    </row>
    <row r="1578">
      <c r="A1578" s="11" t="inlineStr">
        <is>
          <t>Lurking Roper / Estrangulador à Espreita</t>
        </is>
      </c>
      <c r="B1578" s="11" t="inlineStr">
        <is>
          <t>Creature — Horror / Criatura — Horror</t>
        </is>
      </c>
      <c r="C1578" s="11" t="inlineStr">
        <is>
          <t>Uncommon / Incomum</t>
        </is>
      </c>
      <c r="D1578" s="11" t="inlineStr">
        <is>
          <t>This creature doesn't untap during your untap step. Whenever you gain life, untap this creature. / Estrangulador à Espreita não é desvirado durante sua etapa de desvirar. Toda vez que você ganhar pontos de vida, desvire Estrangulador à Espreita.</t>
        </is>
      </c>
      <c r="E1578" s="11" t="inlineStr">
        <is>
          <t>{2}{G}</t>
        </is>
      </c>
      <c r="F1578" s="11" t="inlineStr">
        <is>
          <t>Verde</t>
        </is>
      </c>
      <c r="G1578" s="8" t="n">
        <v>0.04</v>
      </c>
      <c r="H1578" s="11" t="inlineStr">
        <is>
          <t>Adventures in the Forgotten Realms (AFR)</t>
        </is>
      </c>
      <c r="I1578" s="11" t="inlineStr">
        <is>
          <t>Não</t>
        </is>
      </c>
      <c r="J1578" s="11" t="n">
        <v>2021</v>
      </c>
      <c r="K1578" s="10" t="n">
        <v>46146</v>
      </c>
      <c r="L1578" s="11" t="n">
        <v>1</v>
      </c>
      <c r="M1578" s="8">
        <f>L1578*G1578</f>
        <v/>
      </c>
      <c r="P1578" s="9" t="n"/>
    </row>
    <row r="1579">
      <c r="A1579" s="11" t="inlineStr">
        <is>
          <t>Burr Grafter / Enxerta-Buril</t>
        </is>
      </c>
      <c r="B1579" s="11" t="inlineStr">
        <is>
          <t>Creature — Spirit / Criatura - Espírito</t>
        </is>
      </c>
      <c r="C1579" s="11" t="inlineStr">
        <is>
          <t>Common / Comum</t>
        </is>
      </c>
      <c r="D1579" s="11"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1579" s="11" t="inlineStr">
        <is>
          <t>{3}{G}</t>
        </is>
      </c>
      <c r="F1579" s="11" t="inlineStr">
        <is>
          <t>Verde</t>
        </is>
      </c>
      <c r="G1579" s="8" t="n">
        <v>0.07000000000000001</v>
      </c>
      <c r="H1579" s="11" t="inlineStr">
        <is>
          <t>Champions of Kamigawa (CHK)</t>
        </is>
      </c>
      <c r="I1579" s="11" t="inlineStr">
        <is>
          <t>Não</t>
        </is>
      </c>
      <c r="J1579" s="11" t="n">
        <v>2004</v>
      </c>
      <c r="K1579" s="10" t="n">
        <v>46055</v>
      </c>
      <c r="L1579" s="11" t="n">
        <v>1</v>
      </c>
      <c r="M1579" s="8">
        <f>L1579*G1579</f>
        <v/>
      </c>
      <c r="P1579" s="9" t="n"/>
    </row>
    <row r="1580">
      <c r="A1580" s="11" t="inlineStr">
        <is>
          <t>Transluminant / Transluminante</t>
        </is>
      </c>
      <c r="B1580" s="11" t="inlineStr">
        <is>
          <t>Creature — Dryad Shaman / Criatura - Dríade Xamã</t>
        </is>
      </c>
      <c r="C1580" s="11" t="inlineStr">
        <is>
          <t>Common / Comum</t>
        </is>
      </c>
      <c r="D1580" s="11"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1580" s="11" t="inlineStr">
        <is>
          <t>{1}{G}</t>
        </is>
      </c>
      <c r="F1580" s="11" t="inlineStr">
        <is>
          <t>Verde</t>
        </is>
      </c>
      <c r="G1580" s="8" t="n">
        <v>0.09</v>
      </c>
      <c r="H1580" s="11" t="inlineStr">
        <is>
          <t>Ravnica: City of Guilds (RAV)</t>
        </is>
      </c>
      <c r="I1580" s="11" t="inlineStr">
        <is>
          <t>Não</t>
        </is>
      </c>
      <c r="J1580" s="11" t="n">
        <v>2005</v>
      </c>
      <c r="K1580" s="10" t="n">
        <v>46055</v>
      </c>
      <c r="L1580" s="11" t="n">
        <v>1</v>
      </c>
      <c r="M1580" s="8">
        <f>L1580*G1580</f>
        <v/>
      </c>
      <c r="P1580" s="9" t="n"/>
    </row>
    <row r="1581">
      <c r="A1581" s="11" t="inlineStr">
        <is>
          <t>Armored Kincaller / Invocador da Raça Blindado</t>
        </is>
      </c>
      <c r="B1581" s="11" t="inlineStr">
        <is>
          <t>Creature — Dinosaur / Criatura — Dinossauro</t>
        </is>
      </c>
      <c r="C1581" s="11" t="inlineStr">
        <is>
          <t>Common / Comum</t>
        </is>
      </c>
      <c r="D1581" s="11"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1581" s="11" t="inlineStr">
        <is>
          <t>{2}{G}</t>
        </is>
      </c>
      <c r="F1581" s="11" t="inlineStr">
        <is>
          <t>Verde</t>
        </is>
      </c>
      <c r="G1581" s="8" t="n">
        <v>0.09</v>
      </c>
      <c r="H1581" s="11" t="inlineStr">
        <is>
          <t>The Lost Caverns of Ixalan (LCI)</t>
        </is>
      </c>
      <c r="I1581" s="11" t="inlineStr">
        <is>
          <t>Não</t>
        </is>
      </c>
      <c r="J1581" s="11" t="n">
        <v>2023</v>
      </c>
      <c r="K1581" s="10" t="n">
        <v>46084</v>
      </c>
      <c r="L1581" s="11" t="n">
        <v>1</v>
      </c>
      <c r="M1581" s="8">
        <f>L1581*G1581</f>
        <v/>
      </c>
      <c r="P1581" s="9" t="n"/>
    </row>
    <row r="1582">
      <c r="A1582" s="11" t="inlineStr">
        <is>
          <t>Villagers of Estwald // Howlpack of Estwald / Aldeões de Estwald // Alcateia Uivante de Estwald</t>
        </is>
      </c>
      <c r="B1582" s="11" t="inlineStr">
        <is>
          <t>Creature — Human Werewolf // Creature — Werewolf / Criatura — Humano Lobisomem</t>
        </is>
      </c>
      <c r="C1582" s="11" t="inlineStr">
        <is>
          <t>Common / Comum</t>
        </is>
      </c>
      <c r="D1582" s="11"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1582" s="11" t="inlineStr">
        <is>
          <t>{2}{G}</t>
        </is>
      </c>
      <c r="F1582" s="11" t="inlineStr">
        <is>
          <t>Verde</t>
        </is>
      </c>
      <c r="G1582" s="8" t="n">
        <v>0.08</v>
      </c>
      <c r="H1582" s="11" t="inlineStr">
        <is>
          <t>Innistrad (ISD)</t>
        </is>
      </c>
      <c r="I1582" s="11" t="inlineStr">
        <is>
          <t>Não</t>
        </is>
      </c>
      <c r="J1582" s="11" t="n">
        <v>2011</v>
      </c>
      <c r="K1582" s="10" t="n">
        <v>46083</v>
      </c>
      <c r="L1582" s="11" t="n">
        <v>1</v>
      </c>
      <c r="M1582" s="8">
        <f>L1582*G1582</f>
        <v/>
      </c>
      <c r="P1582" s="9" t="n"/>
    </row>
    <row r="1583">
      <c r="A1583" s="11" t="inlineStr">
        <is>
          <t>Grazing Gladehart / Cervo-de-Clareira Pastejador</t>
        </is>
      </c>
      <c r="B1583" s="11" t="inlineStr">
        <is>
          <t>Creature — Antelope / Criatura — Antílope</t>
        </is>
      </c>
      <c r="C1583" s="11" t="inlineStr">
        <is>
          <t>Common / Comum</t>
        </is>
      </c>
      <c r="D1583" s="11" t="inlineStr">
        <is>
          <t>Landfall — Whenever a land you control enters, you may gain 2 life. / Aterragem — Toda vez que um terreno entra no campo de batalha sob o seu controle, você pode ganhar 2 pontos de vida.</t>
        </is>
      </c>
      <c r="E1583" s="11" t="inlineStr">
        <is>
          <t>{2}{G}</t>
        </is>
      </c>
      <c r="F1583" s="11" t="inlineStr">
        <is>
          <t>Verde</t>
        </is>
      </c>
      <c r="G1583" s="8" t="n">
        <v>0.15</v>
      </c>
      <c r="H1583" s="11" t="inlineStr">
        <is>
          <t>Duel Decks: Zendikar vs. Eldrazi (DDP)</t>
        </is>
      </c>
      <c r="I1583" s="11" t="inlineStr">
        <is>
          <t>Não</t>
        </is>
      </c>
      <c r="J1583" s="11" t="n">
        <v>2015</v>
      </c>
      <c r="K1583" s="10" t="n">
        <v>46055</v>
      </c>
      <c r="L1583" s="11" t="n">
        <v>1</v>
      </c>
      <c r="M1583" s="8">
        <f>L1583*G1583</f>
        <v/>
      </c>
      <c r="P1583" s="9" t="n"/>
    </row>
    <row r="1584">
      <c r="A1584" s="11" t="inlineStr">
        <is>
          <t>Splinterfright / Assombro Farpado</t>
        </is>
      </c>
      <c r="B1584" s="11" t="inlineStr">
        <is>
          <t>Creature — Elemental / Criatura — Elemental</t>
        </is>
      </c>
      <c r="C1584" s="11" t="inlineStr">
        <is>
          <t>Rare / Rara</t>
        </is>
      </c>
      <c r="D1584" s="11"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1584" s="11" t="inlineStr">
        <is>
          <t>{2}{G}</t>
        </is>
      </c>
      <c r="F1584" s="11" t="inlineStr">
        <is>
          <t>Verde</t>
        </is>
      </c>
      <c r="G1584" s="8" t="n">
        <v>0.35</v>
      </c>
      <c r="H1584" s="11" t="inlineStr">
        <is>
          <t>Innistrad (ISD)</t>
        </is>
      </c>
      <c r="I1584" s="11" t="inlineStr">
        <is>
          <t>Não</t>
        </is>
      </c>
      <c r="J1584" s="11" t="n">
        <v>2011</v>
      </c>
      <c r="K1584" s="11" t="inlineStr">
        <is>
          <t>*/*</t>
        </is>
      </c>
      <c r="L1584" s="11" t="n">
        <v>1</v>
      </c>
      <c r="M1584" s="8">
        <f>L1584*G1584</f>
        <v/>
      </c>
      <c r="P1584" s="9" t="n"/>
    </row>
    <row r="1585">
      <c r="A1585" s="11" t="inlineStr">
        <is>
          <t>Highland Game / Caça do Planalto</t>
        </is>
      </c>
      <c r="B1585" s="11" t="inlineStr">
        <is>
          <t>Creature — Elk / Criatura — Alce</t>
        </is>
      </c>
      <c r="C1585" s="11" t="inlineStr">
        <is>
          <t>Common / Comum</t>
        </is>
      </c>
      <c r="D1585" s="11" t="inlineStr">
        <is>
          <t>When this creature dies, you gain 2 life. / Quando Caça do Planalto morre, você ganha 2 pontos de vida.</t>
        </is>
      </c>
      <c r="E1585" s="11" t="inlineStr">
        <is>
          <t>{1}{G}</t>
        </is>
      </c>
      <c r="F1585" s="11" t="inlineStr">
        <is>
          <t>Verde</t>
        </is>
      </c>
      <c r="G1585" s="8" t="n">
        <v>0.05</v>
      </c>
      <c r="H1585" s="11" t="inlineStr">
        <is>
          <t>Khans of Tarkir (KTK)</t>
        </is>
      </c>
      <c r="I1585" s="11" t="inlineStr">
        <is>
          <t>Não</t>
        </is>
      </c>
      <c r="J1585" s="11" t="n">
        <v>2014</v>
      </c>
      <c r="K1585" s="10" t="n">
        <v>46024</v>
      </c>
      <c r="L1585" s="11" t="n">
        <v>1</v>
      </c>
      <c r="M1585" s="8">
        <f>L1585*G1585</f>
        <v/>
      </c>
      <c r="P1585" s="9" t="n"/>
    </row>
    <row r="1586">
      <c r="A1586" s="11" t="inlineStr">
        <is>
          <t>Uproot / Desenraizar</t>
        </is>
      </c>
      <c r="B1586" s="11" t="inlineStr">
        <is>
          <t>Sorcery — Arcane / Feitiço - Arcana</t>
        </is>
      </c>
      <c r="C1586" s="11" t="inlineStr">
        <is>
          <t>Common / Comum</t>
        </is>
      </c>
      <c r="D1586" s="11" t="inlineStr">
        <is>
          <t>Put target land on top of its owner's library. / Coloque o terreno alvo no topo do grimório de seu dono.</t>
        </is>
      </c>
      <c r="E1586" s="11" t="inlineStr">
        <is>
          <t>{3}{G}</t>
        </is>
      </c>
      <c r="F1586" s="11" t="inlineStr">
        <is>
          <t>Verde</t>
        </is>
      </c>
      <c r="G1586" s="8" t="n">
        <v>0.07000000000000001</v>
      </c>
      <c r="H1586" s="11" t="inlineStr">
        <is>
          <t>Betrayers of Kamigawa (BOK)</t>
        </is>
      </c>
      <c r="I1586" s="11" t="inlineStr">
        <is>
          <t>Não</t>
        </is>
      </c>
      <c r="J1586" s="11" t="n">
        <v>2005</v>
      </c>
      <c r="L1586" s="11" t="n">
        <v>1</v>
      </c>
      <c r="M1586" s="8">
        <f>L1586*G1586</f>
        <v/>
      </c>
      <c r="P1586" s="9" t="n"/>
    </row>
    <row r="1587">
      <c r="A1587" s="11" t="inlineStr">
        <is>
          <t>Scout the Borders / Explorar as Fronteiras</t>
        </is>
      </c>
      <c r="B1587" s="11" t="inlineStr">
        <is>
          <t>Sorcery / Feitiço</t>
        </is>
      </c>
      <c r="C1587" s="11" t="inlineStr">
        <is>
          <t>Common / Comum</t>
        </is>
      </c>
      <c r="D1587" s="11"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1587" s="11" t="inlineStr">
        <is>
          <t>{2}{G}</t>
        </is>
      </c>
      <c r="F1587" s="11" t="inlineStr">
        <is>
          <t>Verde</t>
        </is>
      </c>
      <c r="G1587" s="8" t="n">
        <v>0.05</v>
      </c>
      <c r="H1587" s="11" t="inlineStr">
        <is>
          <t>Khans of Tarkir (KTK)</t>
        </is>
      </c>
      <c r="I1587" s="11" t="inlineStr">
        <is>
          <t>Não</t>
        </is>
      </c>
      <c r="J1587" s="11" t="n">
        <v>2014</v>
      </c>
      <c r="L1587" s="11" t="n">
        <v>1</v>
      </c>
      <c r="M1587" s="8">
        <f>L1587*G1587</f>
        <v/>
      </c>
      <c r="P1587" s="9" t="n"/>
    </row>
    <row r="1588">
      <c r="A1588" s="11" t="inlineStr">
        <is>
          <t>Explosive Entry / Entrada Explosiva</t>
        </is>
      </c>
      <c r="B1588" s="11" t="inlineStr">
        <is>
          <t>Sorcery / Feitiço</t>
        </is>
      </c>
      <c r="C1588" s="11" t="inlineStr">
        <is>
          <t>Common / Comum</t>
        </is>
      </c>
      <c r="D1588" s="11" t="inlineStr">
        <is>
          <t>Destroy up to one target artifact. Put a +1/+1 counter on up to one target creature. / Destrua até um artefato alvo. Coloque um marcador +1/+1 em até uma criatura alvo.</t>
        </is>
      </c>
      <c r="E1588" s="11" t="inlineStr">
        <is>
          <t>{1}{R}</t>
        </is>
      </c>
      <c r="F1588" s="11" t="inlineStr">
        <is>
          <t>Vermelho</t>
        </is>
      </c>
      <c r="G1588" s="8" t="n">
        <v>0.06</v>
      </c>
      <c r="H1588" s="11" t="inlineStr">
        <is>
          <t>Kamigawa: Neon Dynasty (NEO)</t>
        </is>
      </c>
      <c r="I1588" s="11" t="inlineStr">
        <is>
          <t>Não</t>
        </is>
      </c>
      <c r="J1588" s="11" t="n">
        <v>2022</v>
      </c>
      <c r="L1588" s="11" t="n">
        <v>1</v>
      </c>
      <c r="M1588" s="8">
        <f>L1588*G1588</f>
        <v/>
      </c>
      <c r="P1588" s="9" t="n"/>
    </row>
    <row r="1589">
      <c r="A1589" s="11" t="inlineStr">
        <is>
          <t>Crackling Emergence / Emergência Crepitante</t>
        </is>
      </c>
      <c r="B1589" s="11" t="inlineStr">
        <is>
          <t>Enchantment — Aura / Encantamento — Aura</t>
        </is>
      </c>
      <c r="C1589" s="11" t="inlineStr">
        <is>
          <t>Common / Comum</t>
        </is>
      </c>
      <c r="D1589" s="11"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1589" s="11" t="inlineStr">
        <is>
          <t>{1}{R}</t>
        </is>
      </c>
      <c r="F1589" s="11" t="inlineStr">
        <is>
          <t>Vermelho</t>
        </is>
      </c>
      <c r="G1589" s="8" t="n">
        <v>0.06</v>
      </c>
      <c r="H1589" s="11" t="inlineStr">
        <is>
          <t>Kamigawa: Neon Dynasty (NEO)</t>
        </is>
      </c>
      <c r="I1589" s="11" t="inlineStr">
        <is>
          <t>Não</t>
        </is>
      </c>
      <c r="J1589" s="11" t="n">
        <v>2022</v>
      </c>
      <c r="L1589" s="11" t="n">
        <v>1</v>
      </c>
      <c r="M1589" s="8">
        <f>L1589*G1589</f>
        <v/>
      </c>
      <c r="P1589" s="9" t="n"/>
    </row>
    <row r="1590">
      <c r="A1590" s="11" t="inlineStr">
        <is>
          <t>Unstoppable Ogre / Ogro Irrefreável</t>
        </is>
      </c>
      <c r="B1590" s="11" t="inlineStr">
        <is>
          <t>Artifact Creature — Ogre Warrior / Criatura Artefato — Ogro Guerreiro</t>
        </is>
      </c>
      <c r="C1590" s="11" t="inlineStr">
        <is>
          <t>Common / Comum</t>
        </is>
      </c>
      <c r="D1590" s="11" t="inlineStr">
        <is>
          <t>When this creature enters, target creature can't block this turn. / Quando Ogro Irrefreável entra no campo de batalha, a criatura alvo não pode bloquear neste turno.</t>
        </is>
      </c>
      <c r="E1590" s="11" t="inlineStr">
        <is>
          <t>{2}{R}</t>
        </is>
      </c>
      <c r="F1590" s="11" t="inlineStr">
        <is>
          <t>Vermelho</t>
        </is>
      </c>
      <c r="G1590" s="8" t="n">
        <v>0.05</v>
      </c>
      <c r="H1590" s="11" t="inlineStr">
        <is>
          <t>Kamigawa: Neon Dynasty (NEO)</t>
        </is>
      </c>
      <c r="I1590" s="11" t="inlineStr">
        <is>
          <t>Não</t>
        </is>
      </c>
      <c r="J1590" s="11" t="n">
        <v>2022</v>
      </c>
      <c r="K1590" s="10" t="n">
        <v>46026</v>
      </c>
      <c r="L1590" s="11" t="n">
        <v>1</v>
      </c>
      <c r="M1590" s="8">
        <f>L1590*G1590</f>
        <v/>
      </c>
      <c r="P1590" s="9" t="n"/>
    </row>
    <row r="1591">
      <c r="A1591" s="11" t="inlineStr">
        <is>
          <t>Kami's Flare / Labareda do Kami</t>
        </is>
      </c>
      <c r="B1591" s="11" t="inlineStr">
        <is>
          <t>Instant / Mágica Instantânea</t>
        </is>
      </c>
      <c r="C1591" s="11" t="inlineStr">
        <is>
          <t>Common / Comum</t>
        </is>
      </c>
      <c r="D1591" s="11"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1591" s="11" t="inlineStr">
        <is>
          <t>{1}{R}</t>
        </is>
      </c>
      <c r="F1591" s="11" t="inlineStr">
        <is>
          <t>Vermelho</t>
        </is>
      </c>
      <c r="G1591" s="8" t="n">
        <v>0.05</v>
      </c>
      <c r="H1591" s="11" t="inlineStr">
        <is>
          <t>Kamigawa: Neon Dynasty (NEO)</t>
        </is>
      </c>
      <c r="I1591" s="11" t="inlineStr">
        <is>
          <t>Não</t>
        </is>
      </c>
      <c r="J1591" s="11" t="n">
        <v>2022</v>
      </c>
      <c r="L1591" s="11" t="n">
        <v>1</v>
      </c>
      <c r="M1591" s="8">
        <f>L1591*G1591</f>
        <v/>
      </c>
      <c r="P1591" s="9" t="n"/>
    </row>
    <row r="1592">
      <c r="A1592" s="11" t="inlineStr">
        <is>
          <t>Gift of Wrath / Dádiva da Ira</t>
        </is>
      </c>
      <c r="B1592" s="11" t="inlineStr">
        <is>
          <t>Enchantment — Aura / Encantamento — Aura</t>
        </is>
      </c>
      <c r="C1592" s="11" t="inlineStr">
        <is>
          <t>Common / Comum</t>
        </is>
      </c>
      <c r="D1592" s="11"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592" s="11" t="inlineStr">
        <is>
          <t>{3}{R}</t>
        </is>
      </c>
      <c r="F1592" s="11" t="inlineStr">
        <is>
          <t>Vermelho</t>
        </is>
      </c>
      <c r="G1592" s="8" t="n">
        <v>0.06</v>
      </c>
      <c r="H1592" s="11" t="inlineStr">
        <is>
          <t>Kamigawa: Neon Dynasty (NEO)</t>
        </is>
      </c>
      <c r="I1592" s="11" t="inlineStr">
        <is>
          <t>Não</t>
        </is>
      </c>
      <c r="J1592" s="11" t="n">
        <v>2022</v>
      </c>
      <c r="L1592" s="11" t="n">
        <v>1</v>
      </c>
      <c r="M1592" s="8">
        <f>L1592*G1592</f>
        <v/>
      </c>
      <c r="P1592" s="9" t="n"/>
    </row>
    <row r="1593">
      <c r="A1593" s="11" t="inlineStr">
        <is>
          <t>Ironhoof Boar / Javali Casco-de-ferro</t>
        </is>
      </c>
      <c r="B1593" s="11" t="inlineStr">
        <is>
          <t>Artifact Creature — Boar / Criatura Artefato — Javali</t>
        </is>
      </c>
      <c r="C1593" s="11" t="inlineStr">
        <is>
          <t>Common / Comum</t>
        </is>
      </c>
      <c r="D1593" s="11" t="inlineStr">
        <is>
          <t>Trample, haste Channel — {1}{R}, Discard this card: Target creature gets +3/+1 and gains trample until end of turn. / Atropelar, ímpeto Canalizar — {1}{R}, descarte Javali Casco-de-ferro: A criatura alvo recebe +3/+1 e ganha atropelar até o final do turno.</t>
        </is>
      </c>
      <c r="E1593" s="11" t="inlineStr">
        <is>
          <t>{5}{R}</t>
        </is>
      </c>
      <c r="F1593" s="11" t="inlineStr">
        <is>
          <t>Vermelho</t>
        </is>
      </c>
      <c r="G1593" s="8" t="n">
        <v>0.06</v>
      </c>
      <c r="H1593" s="11" t="inlineStr">
        <is>
          <t>Kamigawa: Neon Dynasty (NEO)</t>
        </is>
      </c>
      <c r="I1593" s="11" t="inlineStr">
        <is>
          <t>Não</t>
        </is>
      </c>
      <c r="J1593" s="11" t="n">
        <v>2022</v>
      </c>
      <c r="K1593" s="10" t="n">
        <v>46117</v>
      </c>
      <c r="L1593" s="11" t="n">
        <v>1</v>
      </c>
      <c r="M1593" s="8">
        <f>L1593*G1593</f>
        <v/>
      </c>
      <c r="P1593" s="9" t="n"/>
    </row>
    <row r="1594">
      <c r="A1594" s="11" t="inlineStr">
        <is>
          <t>Voltage Surge / Surto Voltaico</t>
        </is>
      </c>
      <c r="B1594" s="11" t="inlineStr">
        <is>
          <t>Instant / Mágica Instantânea</t>
        </is>
      </c>
      <c r="C1594" s="11" t="inlineStr">
        <is>
          <t>Common / Comum</t>
        </is>
      </c>
      <c r="D1594" s="11"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1594" s="11" t="inlineStr">
        <is>
          <t>{R}</t>
        </is>
      </c>
      <c r="F1594" s="11" t="inlineStr">
        <is>
          <t>Vermelho</t>
        </is>
      </c>
      <c r="G1594" s="8" t="n">
        <v>0.08</v>
      </c>
      <c r="H1594" s="11" t="inlineStr">
        <is>
          <t>Kamigawa: Neon Dynasty (NEO)</t>
        </is>
      </c>
      <c r="I1594" s="11" t="inlineStr">
        <is>
          <t>Não</t>
        </is>
      </c>
      <c r="J1594" s="11" t="n">
        <v>2022</v>
      </c>
      <c r="L1594" s="11" t="n">
        <v>1</v>
      </c>
      <c r="M1594" s="8">
        <f>L1594*G1594</f>
        <v/>
      </c>
      <c r="P1594" s="9" t="n"/>
    </row>
    <row r="1595">
      <c r="A1595" s="11" t="inlineStr">
        <is>
          <t>The Shattered States Era // Nameless Conqueror / A Era dos Estados Despedaçados // Conquistador Sem Nome</t>
        </is>
      </c>
      <c r="B1595" s="11" t="inlineStr">
        <is>
          <t>Enchantment — Saga // Enchantment Creature — Human Samurai / Encantamento — Saga</t>
        </is>
      </c>
      <c r="C1595" s="11" t="inlineStr">
        <is>
          <t>Common / Comum</t>
        </is>
      </c>
      <c r="D1595" s="11"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1595" s="11" t="inlineStr">
        <is>
          <t>{4}{R}</t>
        </is>
      </c>
      <c r="F1595" s="11" t="inlineStr">
        <is>
          <t>Vermelho</t>
        </is>
      </c>
      <c r="G1595" s="8" t="n">
        <v>0.06</v>
      </c>
      <c r="H1595" s="11" t="inlineStr">
        <is>
          <t>Kamigawa: Neon Dynasty (NEO)</t>
        </is>
      </c>
      <c r="I1595" s="11" t="inlineStr">
        <is>
          <t>Não</t>
        </is>
      </c>
      <c r="J1595" s="11" t="n">
        <v>2022</v>
      </c>
      <c r="K1595" s="10" t="n">
        <v>46084</v>
      </c>
      <c r="L1595" s="11" t="n">
        <v>1</v>
      </c>
      <c r="M1595" s="8">
        <f>L1595*G1595</f>
        <v/>
      </c>
      <c r="P1595" s="9" t="n"/>
    </row>
    <row r="1596">
      <c r="A1596" s="11" t="inlineStr">
        <is>
          <t>Vampire Sovereign / Soberana Vampira</t>
        </is>
      </c>
      <c r="B1596" s="11" t="inlineStr">
        <is>
          <t>Creature — Vampire Noble / Criatura — Vampiro</t>
        </is>
      </c>
      <c r="C1596" s="11" t="inlineStr">
        <is>
          <t>Uncommon / Incomum</t>
        </is>
      </c>
      <c r="D1596" s="11" t="inlineStr">
        <is>
          <t>Flying When this creature enters, target opponent loses 3 life and you gain 3 life. / Voar Quando Soberana Vampira entra no campo de batalha, o oponente alvo perde 3 pontos de vida e você ganha 3 pontos de vida.</t>
        </is>
      </c>
      <c r="E1596" s="11" t="inlineStr">
        <is>
          <t>{3}{B}{B}</t>
        </is>
      </c>
      <c r="F1596" s="11" t="inlineStr">
        <is>
          <t>Preto</t>
        </is>
      </c>
      <c r="G1596" s="8" t="n">
        <v>0.24</v>
      </c>
      <c r="H1596" s="11" t="inlineStr">
        <is>
          <t>Core Set 2019 (M19)</t>
        </is>
      </c>
      <c r="I1596" s="11" t="inlineStr">
        <is>
          <t>Não</t>
        </is>
      </c>
      <c r="J1596" s="11" t="n">
        <v>2018</v>
      </c>
      <c r="K1596" s="10" t="n">
        <v>46115</v>
      </c>
      <c r="L1596" s="11" t="n">
        <v>1</v>
      </c>
      <c r="M1596" s="8">
        <f>L1596*G1596</f>
        <v/>
      </c>
      <c r="P1596" s="9" t="n"/>
    </row>
    <row r="1597">
      <c r="A1597" s="11" t="inlineStr">
        <is>
          <t>Hunter of Eyeblights / Caçador de Seca-Olhos</t>
        </is>
      </c>
      <c r="B1597" s="11" t="inlineStr">
        <is>
          <t>Creature — Elf Assassin / Criatura — Elfo Assassino</t>
        </is>
      </c>
      <c r="C1597" s="11" t="inlineStr">
        <is>
          <t>Uncommon / Incomum</t>
        </is>
      </c>
      <c r="D1597" s="11"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1597" s="11" t="inlineStr">
        <is>
          <t>{3}{B}{B}</t>
        </is>
      </c>
      <c r="F1597" s="11" t="inlineStr">
        <is>
          <t>Preto</t>
        </is>
      </c>
      <c r="G1597" s="8" t="n">
        <v>0.06</v>
      </c>
      <c r="H1597" s="11" t="inlineStr">
        <is>
          <t>Lorwyn (LRW)</t>
        </is>
      </c>
      <c r="I1597" s="11" t="inlineStr">
        <is>
          <t>Não</t>
        </is>
      </c>
      <c r="J1597" s="11" t="n">
        <v>2007</v>
      </c>
      <c r="K1597" s="10" t="n">
        <v>46084</v>
      </c>
      <c r="L1597" s="11" t="n">
        <v>1</v>
      </c>
      <c r="M1597" s="8">
        <f>L1597*G1597</f>
        <v/>
      </c>
      <c r="P1597" s="9" t="n"/>
    </row>
    <row r="1598">
      <c r="A1598" s="11" t="inlineStr">
        <is>
          <t>Savor</t>
        </is>
      </c>
      <c r="B1598" s="11" t="inlineStr">
        <is>
          <t>Instant</t>
        </is>
      </c>
      <c r="C1598" s="11" t="inlineStr">
        <is>
          <t>Common / Comum</t>
        </is>
      </c>
      <c r="D1598" s="11" t="inlineStr">
        <is>
          <t>Target creature gets -2/-2 until end of turn. Create a Food token. (It's an artifact with "{2}, {T}, Sacrifice this token: You gain 3 life.")</t>
        </is>
      </c>
      <c r="E1598" s="11" t="inlineStr">
        <is>
          <t>{1}{B}</t>
        </is>
      </c>
      <c r="F1598" s="11" t="inlineStr">
        <is>
          <t>Preto</t>
        </is>
      </c>
      <c r="G1598" s="8" t="n">
        <v>0.18</v>
      </c>
      <c r="H1598" s="11" t="inlineStr">
        <is>
          <t>Bloomburrow (BLB)</t>
        </is>
      </c>
      <c r="I1598" s="11" t="inlineStr">
        <is>
          <t>Não</t>
        </is>
      </c>
      <c r="J1598" s="11" t="n">
        <v>2024</v>
      </c>
      <c r="L1598" s="11" t="n">
        <v>2</v>
      </c>
      <c r="M1598" s="8">
        <f>L1598*G1598</f>
        <v/>
      </c>
      <c r="P1598" s="9" t="n"/>
    </row>
    <row r="1599">
      <c r="A1599" s="11" t="inlineStr">
        <is>
          <t>Gloomlance / Lança das Trevas</t>
        </is>
      </c>
      <c r="B1599" s="11" t="inlineStr">
        <is>
          <t>Sorcery / Feitiço</t>
        </is>
      </c>
      <c r="C1599" s="11" t="inlineStr">
        <is>
          <t>Common / Comum</t>
        </is>
      </c>
      <c r="D1599" s="11" t="inlineStr">
        <is>
          <t>Destroy target creature. If that creature was green or white, its controller discards a card. / Destrua a criatura alvo. Se aquela criatura for verde ou branca, seu controlador descartará um card.</t>
        </is>
      </c>
      <c r="E1599" s="11" t="inlineStr">
        <is>
          <t>{3}{B}{B}</t>
        </is>
      </c>
      <c r="F1599" s="11" t="inlineStr">
        <is>
          <t>Preto</t>
        </is>
      </c>
      <c r="G1599" s="8" t="n">
        <v>0.05</v>
      </c>
      <c r="H1599" s="11" t="inlineStr">
        <is>
          <t>Shadowmoor (SHM)</t>
        </is>
      </c>
      <c r="I1599" s="11" t="inlineStr">
        <is>
          <t>Não</t>
        </is>
      </c>
      <c r="J1599" s="11" t="n">
        <v>2008</v>
      </c>
      <c r="L1599" s="11" t="n">
        <v>1</v>
      </c>
      <c r="M1599" s="8">
        <f>L1599*G1599</f>
        <v/>
      </c>
      <c r="P1599" s="9" t="n"/>
    </row>
    <row r="1600">
      <c r="A1600" s="11" t="inlineStr">
        <is>
          <t>Harrowing Journey / Jornada Desgastante</t>
        </is>
      </c>
      <c r="B1600" s="11" t="inlineStr">
        <is>
          <t>Sorcery / Feitiço</t>
        </is>
      </c>
      <c r="C1600" s="11" t="inlineStr">
        <is>
          <t>Uncommon / Incomum</t>
        </is>
      </c>
      <c r="D1600" s="11" t="inlineStr">
        <is>
          <t>Target player draws three cards and loses 3 life. / O jogador alvo compra três cards e perde 3 pontos de vida.</t>
        </is>
      </c>
      <c r="E1600" s="11" t="inlineStr">
        <is>
          <t>{4}{B}</t>
        </is>
      </c>
      <c r="F1600" s="11" t="inlineStr">
        <is>
          <t>Preto</t>
        </is>
      </c>
      <c r="G1600" s="8" t="n">
        <v>0.06</v>
      </c>
      <c r="H1600" s="11" t="inlineStr">
        <is>
          <t>Dark Ascension (DKA)</t>
        </is>
      </c>
      <c r="I1600" s="11" t="inlineStr">
        <is>
          <t>Não</t>
        </is>
      </c>
      <c r="J1600" s="11" t="n">
        <v>2012</v>
      </c>
      <c r="L1600" s="11" t="n">
        <v>1</v>
      </c>
      <c r="M1600" s="8">
        <f>L1600*G1600</f>
        <v/>
      </c>
      <c r="P1600" s="9" t="n"/>
    </row>
    <row r="1601">
      <c r="A1601" s="11" t="inlineStr">
        <is>
          <t>Guardiãs de Oboro / Oboro Enforcers</t>
        </is>
      </c>
      <c r="B1601" s="11" t="inlineStr">
        <is>
          <t>Criatura — Cidadão-da-lua Samurai / Creature — Moonfolk Samurai</t>
        </is>
      </c>
      <c r="C1601" s="11" t="inlineStr">
        <is>
          <t>Comum / Common</t>
        </is>
      </c>
      <c r="D1601" s="11" t="inlineStr">
        <is>
          <t>Defensor. As criaturas modificadas que você controla podem atacar como se não tivessem defensor. / Defender. Modified creatures you control can attack as though they didn't have defender.</t>
        </is>
      </c>
      <c r="E1601" s="11" t="inlineStr">
        <is>
          <t>{2}{U}</t>
        </is>
      </c>
      <c r="F1601" s="11" t="inlineStr">
        <is>
          <t>Azul</t>
        </is>
      </c>
      <c r="G1601" s="8" t="n">
        <v>0.12</v>
      </c>
      <c r="H1601" s="11" t="inlineStr">
        <is>
          <t>Kamigawa: Neon Dynasty (NEO) V</t>
        </is>
      </c>
      <c r="I1601" s="11" t="inlineStr">
        <is>
          <t>Não</t>
        </is>
      </c>
      <c r="J1601" s="11" t="n">
        <v>2022</v>
      </c>
      <c r="K1601" s="10" t="n">
        <v>46115</v>
      </c>
      <c r="L1601" s="11" t="n">
        <v>1</v>
      </c>
      <c r="M1601" s="8">
        <f>L1601*G1601</f>
        <v/>
      </c>
      <c r="P1601" s="9" t="n"/>
    </row>
    <row r="1602">
      <c r="A1602" s="11" t="inlineStr">
        <is>
          <t>Perturbador de Redes / Network Disruptor</t>
        </is>
      </c>
      <c r="B1602" s="11" t="inlineStr">
        <is>
          <t>Criatura Artefato — Cidadão-da-lua Ladino / Artifact Creature — Moonfolk Rogue</t>
        </is>
      </c>
      <c r="C1602" s="11" t="inlineStr">
        <is>
          <t>Comum / Common</t>
        </is>
      </c>
      <c r="D1602" s="11" t="inlineStr">
        <is>
          <t>Voar. Quando Perturbador de Redes entrar no campo de batalha, vire a permanente alvo. / Flying. When Network Disruptor enters the battlefield, tap target permanent.</t>
        </is>
      </c>
      <c r="E1602" s="11" t="inlineStr">
        <is>
          <t>{U}</t>
        </is>
      </c>
      <c r="F1602" s="11" t="inlineStr">
        <is>
          <t>Azul</t>
        </is>
      </c>
      <c r="G1602" s="8" t="n">
        <v>0.2</v>
      </c>
      <c r="H1602" s="11" t="inlineStr">
        <is>
          <t>Kamigawa: Neon Dynasty (NEO)</t>
        </is>
      </c>
      <c r="I1602" s="11" t="inlineStr">
        <is>
          <t>Não</t>
        </is>
      </c>
      <c r="J1602" s="11" t="n">
        <v>2022</v>
      </c>
      <c r="K1602" s="10" t="n">
        <v>46023</v>
      </c>
      <c r="L1602" s="11" t="n">
        <v>1</v>
      </c>
      <c r="M1602" s="8">
        <f>L1602*G1602</f>
        <v/>
      </c>
      <c r="P1602" s="9" t="n"/>
    </row>
    <row r="1603">
      <c r="A1603" s="11" t="inlineStr">
        <is>
          <t>Guardiãs de Oboro / Oboro Enforcers</t>
        </is>
      </c>
      <c r="B1603" s="11" t="inlineStr">
        <is>
          <t>Criatura — Cidadão-da-lua Samurai / Creature — Moonfolk Samurai</t>
        </is>
      </c>
      <c r="C1603" s="11" t="inlineStr">
        <is>
          <t>Comum / Common</t>
        </is>
      </c>
      <c r="D1603" s="11" t="inlineStr">
        <is>
          <t>Defensor. As criaturas modificadas que você controla podem atacar como se não tivessem defensor. / Defender. Modified creatures you control can attack as though they didn't have defender.</t>
        </is>
      </c>
      <c r="E1603" s="11" t="inlineStr">
        <is>
          <t>{2}{U}</t>
        </is>
      </c>
      <c r="F1603" s="11" t="inlineStr">
        <is>
          <t>Azul</t>
        </is>
      </c>
      <c r="G1603" s="8" t="n">
        <v>0.05</v>
      </c>
      <c r="H1603" s="11" t="inlineStr">
        <is>
          <t>Kamigawa: Neon Dynasty (NEO)</t>
        </is>
      </c>
      <c r="I1603" s="11" t="inlineStr">
        <is>
          <t>Não</t>
        </is>
      </c>
      <c r="J1603" s="11" t="n">
        <v>2022</v>
      </c>
      <c r="K1603" s="10" t="n">
        <v>46115</v>
      </c>
      <c r="L1603" s="11" t="n">
        <v>1</v>
      </c>
      <c r="M1603" s="8">
        <f>L1603*G1603</f>
        <v/>
      </c>
      <c r="P1603" s="9" t="n"/>
    </row>
    <row r="1604">
      <c r="A1604" s="11" t="inlineStr">
        <is>
          <t>Familiar Protetor de Pulso / Patchwork Rats</t>
        </is>
      </c>
      <c r="B1604" s="11" t="inlineStr">
        <is>
          <t>Criatura Artefato — Equipamento Besta / Artifact Creature — Equipment Beast</t>
        </is>
      </c>
      <c r="C1604" s="11" t="inlineStr">
        <is>
          <t>Comum / Common</t>
        </is>
      </c>
      <c r="D1604" s="11" t="inlineStr">
        <is>
          <t>Salvaguarda {2}. A criatura equipada recebe +2/+1 e tem salvaguarda {2}. Reconfigurar {4}. / Ward {2}. Equipped creature gets +2/+1 and has ward {2}. Reconfigure {4}.</t>
        </is>
      </c>
      <c r="E1604" s="11" t="inlineStr">
        <is>
          <t>{1}{U}</t>
        </is>
      </c>
      <c r="F1604" s="11" t="inlineStr">
        <is>
          <t>Azul</t>
        </is>
      </c>
      <c r="G1604" s="8" t="n">
        <v>0.09</v>
      </c>
      <c r="H1604" s="11" t="inlineStr">
        <is>
          <t>Kamigawa: Neon Dynasty (NEO)</t>
        </is>
      </c>
      <c r="I1604" s="11" t="inlineStr">
        <is>
          <t>Não</t>
        </is>
      </c>
      <c r="J1604" s="11" t="n">
        <v>2022</v>
      </c>
      <c r="K1604" s="10" t="n">
        <v>46024</v>
      </c>
      <c r="L1604" s="11" t="n">
        <v>1</v>
      </c>
      <c r="M1604" s="8">
        <f>L1604*G1604</f>
        <v/>
      </c>
      <c r="P1604" s="9" t="n"/>
    </row>
    <row r="1605">
      <c r="A1605" s="11" t="inlineStr">
        <is>
          <t>Moonsnare Specialist / Especialista em Lunilaço</t>
        </is>
      </c>
      <c r="B1605" s="11" t="inlineStr">
        <is>
          <t>Creature — Human Ninja / Criatura — Humano Ninja</t>
        </is>
      </c>
      <c r="C1605" s="11" t="inlineStr">
        <is>
          <t>Common / Comum</t>
        </is>
      </c>
      <c r="D1605" s="11" t="inlineStr">
        <is>
          <t>Ninjutsu {2}{U}. Quando Especialista em Lunilaço entrar no campo de batalha, devolva até uma criatura alvo para a mão de seu dono. / Ninjutsu {2}{U}. When Moon-Circuit Hacker enters the battlefield, return up to one target creature to its owner's hand.</t>
        </is>
      </c>
      <c r="E1605" s="11" t="inlineStr">
        <is>
          <t>{3}{U}</t>
        </is>
      </c>
      <c r="F1605" s="11" t="inlineStr">
        <is>
          <t>Azul</t>
        </is>
      </c>
      <c r="G1605" s="8" t="n">
        <v>0.2</v>
      </c>
      <c r="H1605" s="11" t="inlineStr">
        <is>
          <t>Kamigawa: Neon Dynasty (NEO) V</t>
        </is>
      </c>
      <c r="I1605" s="11" t="inlineStr">
        <is>
          <t>Não</t>
        </is>
      </c>
      <c r="J1605" s="11" t="n">
        <v>2022</v>
      </c>
      <c r="K1605" s="10" t="n">
        <v>46055</v>
      </c>
      <c r="L1605" s="11" t="n">
        <v>2</v>
      </c>
      <c r="M1605" s="8">
        <f>L1605*G1605</f>
        <v/>
      </c>
      <c r="P1605" s="9" t="n"/>
    </row>
    <row r="1606">
      <c r="A1606" s="11" t="inlineStr">
        <is>
          <t>Esfera Mnemônica / Mnemonics Sphere</t>
        </is>
      </c>
      <c r="B1606" s="11" t="inlineStr">
        <is>
          <t>Artefato / Artifact</t>
        </is>
      </c>
      <c r="C1606" s="11" t="inlineStr">
        <is>
          <t>Comum / Common</t>
        </is>
      </c>
      <c r="D1606" s="11" t="inlineStr">
        <is>
          <t>{1}{U}, sacrifique Esfera Mnemônica: Compre dois cards. Canalizar — {U}, descarte Esfera Mnemônica: Compre um card. / {1}{U}, Sacrifice Mnemonics Sphere: Draw two cards. Channel — {U}, Discard Mnemonics Sphere: Draw a card.</t>
        </is>
      </c>
      <c r="E1606" s="11" t="inlineStr">
        <is>
          <t>{1}{U}</t>
        </is>
      </c>
      <c r="F1606" s="11" t="inlineStr">
        <is>
          <t>Azul</t>
        </is>
      </c>
      <c r="G1606" s="8" t="n">
        <v>0.06</v>
      </c>
      <c r="H1606" s="11" t="inlineStr">
        <is>
          <t>Kamigawa: Neon Dynasty (NEO)</t>
        </is>
      </c>
      <c r="I1606" s="11" t="inlineStr">
        <is>
          <t>Não</t>
        </is>
      </c>
      <c r="J1606" s="11" t="n">
        <v>2022</v>
      </c>
      <c r="L1606" s="11" t="n">
        <v>1</v>
      </c>
      <c r="M1606" s="8">
        <f>L1606*G1606</f>
        <v/>
      </c>
      <c r="P1606" s="9" t="n"/>
    </row>
    <row r="1607">
      <c r="A1607" s="11" t="inlineStr">
        <is>
          <t>Bogslither's Embrace</t>
        </is>
      </c>
      <c r="B1607" s="11" t="inlineStr">
        <is>
          <t>Sorcery</t>
        </is>
      </c>
      <c r="C1607" s="11" t="inlineStr">
        <is>
          <t>Common / Comum</t>
        </is>
      </c>
      <c r="D1607" s="11" t="inlineStr">
        <is>
          <t>As an additional cost to cast this spell, blight 1 or pay {3}. (To blight 1, put a -1/-1 counter on a creature you control.) Exile target creature.</t>
        </is>
      </c>
      <c r="E1607" s="11" t="inlineStr">
        <is>
          <t>{1}{B}</t>
        </is>
      </c>
      <c r="F1607" s="11" t="inlineStr">
        <is>
          <t>Preto</t>
        </is>
      </c>
      <c r="G1607" s="8" t="n">
        <v>0.06</v>
      </c>
      <c r="H1607" s="11" t="inlineStr">
        <is>
          <t>Lorwyn Eclipsed (ECL)</t>
        </is>
      </c>
      <c r="I1607" s="11" t="inlineStr">
        <is>
          <t>Não</t>
        </is>
      </c>
      <c r="J1607" s="11" t="n">
        <v>2026</v>
      </c>
      <c r="L1607" s="11" t="n">
        <v>1</v>
      </c>
      <c r="M1607" s="8">
        <f>L1607*G1607</f>
        <v/>
      </c>
      <c r="P1607" s="9" t="n"/>
    </row>
    <row r="1608">
      <c r="A1608" s="11" t="inlineStr">
        <is>
          <t>Fruit of Tizerus / Fruto de Tízero</t>
        </is>
      </c>
      <c r="B1608" s="11" t="inlineStr">
        <is>
          <t>Sorcery / Feitiço</t>
        </is>
      </c>
      <c r="C1608" s="11" t="inlineStr">
        <is>
          <t>Common / Comum</t>
        </is>
      </c>
      <c r="D1608" s="11"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608" s="11" t="inlineStr">
        <is>
          <t>{B}</t>
        </is>
      </c>
      <c r="F1608" s="11" t="inlineStr">
        <is>
          <t>Preto</t>
        </is>
      </c>
      <c r="G1608" s="8" t="n">
        <v>0.07000000000000001</v>
      </c>
      <c r="H1608" s="11" t="inlineStr">
        <is>
          <t>Theros Beyond Death (THB)</t>
        </is>
      </c>
      <c r="I1608" s="11" t="inlineStr">
        <is>
          <t>Não</t>
        </is>
      </c>
      <c r="J1608" s="11" t="n">
        <v>2020</v>
      </c>
      <c r="L1608" s="11" t="n">
        <v>1</v>
      </c>
      <c r="M1608" s="8">
        <f>L1608*G1608</f>
        <v/>
      </c>
      <c r="P1608" s="9" t="n"/>
    </row>
    <row r="1609">
      <c r="A1609" s="11" t="inlineStr">
        <is>
          <t>Slaughter Drone / Zangão da Matança</t>
        </is>
      </c>
      <c r="B1609" s="11" t="inlineStr">
        <is>
          <t>Creature — Eldrazi Drone / Criatura — Eldrazi Zangão</t>
        </is>
      </c>
      <c r="C1609" s="11" t="inlineStr">
        <is>
          <t>Common / Comum</t>
        </is>
      </c>
      <c r="D1609" s="11"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1609" s="11" t="inlineStr">
        <is>
          <t>{1}{B}</t>
        </is>
      </c>
      <c r="F1609" s="11" t="inlineStr">
        <is>
          <t>Preto</t>
        </is>
      </c>
      <c r="G1609" s="8" t="n">
        <v>0.04</v>
      </c>
      <c r="H1609" s="11" t="inlineStr">
        <is>
          <t>Oath of the Gatewatch (OGW)</t>
        </is>
      </c>
      <c r="I1609" s="11" t="inlineStr">
        <is>
          <t>Não</t>
        </is>
      </c>
      <c r="J1609" s="11" t="n">
        <v>2016</v>
      </c>
      <c r="K1609" s="10" t="n">
        <v>46055</v>
      </c>
      <c r="L1609" s="11" t="n">
        <v>1</v>
      </c>
      <c r="M1609" s="8">
        <f>L1609*G1609</f>
        <v/>
      </c>
      <c r="P1609" s="9" t="n"/>
    </row>
    <row r="1610">
      <c r="A1610" s="11" t="inlineStr">
        <is>
          <t>Witch's Familiar / Familiar da Bruxa</t>
        </is>
      </c>
      <c r="B1610" s="11" t="inlineStr">
        <is>
          <t>Creature — Frog / Criatura — Sapo</t>
        </is>
      </c>
      <c r="C1610" s="11" t="inlineStr">
        <is>
          <t>Common / Comum</t>
        </is>
      </c>
      <c r="E1610" s="11" t="inlineStr">
        <is>
          <t>{2}{B}</t>
        </is>
      </c>
      <c r="F1610" s="11" t="inlineStr">
        <is>
          <t>Preto</t>
        </is>
      </c>
      <c r="G1610" s="8" t="n">
        <v>0.06</v>
      </c>
      <c r="H1610" s="11" t="inlineStr">
        <is>
          <t>Magic 2015 (M15)</t>
        </is>
      </c>
      <c r="I1610" s="11" t="inlineStr">
        <is>
          <t>Não</t>
        </is>
      </c>
      <c r="J1610" s="11" t="n">
        <v>2014</v>
      </c>
      <c r="K1610" s="10" t="n">
        <v>46083</v>
      </c>
      <c r="L1610" s="11" t="n">
        <v>1</v>
      </c>
      <c r="M1610" s="8">
        <f>L1610*G1610</f>
        <v/>
      </c>
      <c r="P1610" s="9" t="n"/>
    </row>
    <row r="1611">
      <c r="A1611" s="11" t="inlineStr">
        <is>
          <t>Catacomb Slug / Lesma de Catacumba</t>
        </is>
      </c>
      <c r="B1611" s="11" t="inlineStr">
        <is>
          <t>Creature — Slug / Criatura — Lesma</t>
        </is>
      </c>
      <c r="C1611" s="11" t="inlineStr">
        <is>
          <t>Common / Comum</t>
        </is>
      </c>
      <c r="E1611" s="11" t="inlineStr">
        <is>
          <t>{4}{B}</t>
        </is>
      </c>
      <c r="F1611" s="11" t="inlineStr">
        <is>
          <t>Preto</t>
        </is>
      </c>
      <c r="G1611" s="8" t="n">
        <v>0.05</v>
      </c>
      <c r="H1611" s="11" t="inlineStr">
        <is>
          <t>Return to Ravnica (RTR)</t>
        </is>
      </c>
      <c r="I1611" s="11" t="inlineStr">
        <is>
          <t>Não</t>
        </is>
      </c>
      <c r="J1611" s="11" t="n">
        <v>2012</v>
      </c>
      <c r="K1611" s="10" t="n">
        <v>46175</v>
      </c>
      <c r="L1611" s="11" t="n">
        <v>1</v>
      </c>
      <c r="M1611" s="8">
        <f>L1611*G1611</f>
        <v/>
      </c>
      <c r="P1611" s="9" t="n"/>
    </row>
    <row r="1612">
      <c r="A1612" s="11" t="inlineStr">
        <is>
          <t>Melancholic Poet</t>
        </is>
      </c>
      <c r="B1612" s="11" t="inlineStr">
        <is>
          <t>Creature — Elf Bard</t>
        </is>
      </c>
      <c r="C1612" s="11" t="inlineStr">
        <is>
          <t>Common / Comum</t>
        </is>
      </c>
      <c r="D1612" s="11" t="inlineStr">
        <is>
          <t>Repartee — Whenever you cast an instant or sorcery spell that targets a creature, each opponent loses 1 life and you gain 1 life.</t>
        </is>
      </c>
      <c r="E1612" s="11" t="inlineStr">
        <is>
          <t>{1}{B}</t>
        </is>
      </c>
      <c r="F1612" s="11" t="inlineStr">
        <is>
          <t>Preto</t>
        </is>
      </c>
      <c r="G1612" s="8" t="n">
        <v>0.08</v>
      </c>
      <c r="H1612" s="11" t="inlineStr">
        <is>
          <t>Secrets of Strixhaven (SOS)</t>
        </is>
      </c>
      <c r="I1612" s="11" t="inlineStr">
        <is>
          <t>Não</t>
        </is>
      </c>
      <c r="J1612" s="11" t="n">
        <v>2026</v>
      </c>
      <c r="K1612" s="10" t="n">
        <v>46055</v>
      </c>
      <c r="L1612" s="11" t="n">
        <v>1</v>
      </c>
      <c r="M1612" s="8">
        <f>L1612*G1612</f>
        <v/>
      </c>
      <c r="P1612" s="9" t="n"/>
    </row>
    <row r="1613">
      <c r="A1613" s="11" t="inlineStr">
        <is>
          <t>Scathe Zombies / Zumbis de Scathe</t>
        </is>
      </c>
      <c r="B1613" s="11" t="inlineStr">
        <is>
          <t>Creature — Zombie / Criatura — Zumbi</t>
        </is>
      </c>
      <c r="C1613" s="11" t="inlineStr">
        <is>
          <t>Common / Comum</t>
        </is>
      </c>
      <c r="E1613" s="11" t="inlineStr">
        <is>
          <t>{2}{B}</t>
        </is>
      </c>
      <c r="F1613" s="11" t="inlineStr">
        <is>
          <t>Preto</t>
        </is>
      </c>
      <c r="G1613" s="8" t="n">
        <v>0.09</v>
      </c>
      <c r="H1613" s="11" t="inlineStr">
        <is>
          <t>Seventh Edition (7ED)</t>
        </is>
      </c>
      <c r="I1613" s="11" t="inlineStr">
        <is>
          <t>Sim</t>
        </is>
      </c>
      <c r="J1613" s="11" t="n">
        <v>2001</v>
      </c>
      <c r="K1613" s="10" t="n">
        <v>46055</v>
      </c>
      <c r="L1613" s="11" t="n">
        <v>1</v>
      </c>
      <c r="M1613" s="8">
        <f>L1613*G1613</f>
        <v/>
      </c>
      <c r="P1613" s="9" t="n"/>
    </row>
    <row r="1614">
      <c r="A1614" s="11" t="inlineStr">
        <is>
          <t>Zhalfirin Void / Vazio Zhalfiriano</t>
        </is>
      </c>
      <c r="B1614" s="11" t="inlineStr">
        <is>
          <t>Land / Terreno</t>
        </is>
      </c>
      <c r="C1614" s="11" t="inlineStr">
        <is>
          <t>Uncommon / Incomum</t>
        </is>
      </c>
      <c r="D1614" s="11"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1614" s="11" t="inlineStr">
        <is>
          <t>Incolor</t>
        </is>
      </c>
      <c r="G1614" s="8" t="n">
        <v>0.21</v>
      </c>
      <c r="H1614" s="11" t="inlineStr">
        <is>
          <t>Dominaria (DOM)</t>
        </is>
      </c>
      <c r="I1614" s="11" t="inlineStr">
        <is>
          <t>Não</t>
        </is>
      </c>
      <c r="J1614" s="11" t="n">
        <v>2018</v>
      </c>
      <c r="L1614" s="11" t="n">
        <v>1</v>
      </c>
      <c r="M1614" s="8">
        <f>L1614*G1614</f>
        <v/>
      </c>
      <c r="P1614" s="9" t="n"/>
    </row>
    <row r="1615">
      <c r="A1615" s="11" t="inlineStr">
        <is>
          <t>Mage-Ring Network / Rede dos Anéis de Mago</t>
        </is>
      </c>
      <c r="B1615" s="11" t="inlineStr">
        <is>
          <t>Land / Terreno</t>
        </is>
      </c>
      <c r="C1615" s="11" t="inlineStr">
        <is>
          <t>Uncommon / Incomum</t>
        </is>
      </c>
      <c r="D1615" s="11"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1615" s="11" t="inlineStr">
        <is>
          <t>Incolor</t>
        </is>
      </c>
      <c r="G1615" s="8" t="n">
        <v>0.2</v>
      </c>
      <c r="H1615" s="11" t="inlineStr">
        <is>
          <t>Magic Origins (ORI)</t>
        </is>
      </c>
      <c r="I1615" s="11" t="inlineStr">
        <is>
          <t>Não</t>
        </is>
      </c>
      <c r="J1615" s="11" t="n">
        <v>2015</v>
      </c>
      <c r="L1615" s="11" t="n">
        <v>1</v>
      </c>
      <c r="M1615" s="8">
        <f>L1615*G1615</f>
        <v/>
      </c>
      <c r="P1615" s="9" t="n"/>
    </row>
    <row r="1616">
      <c r="A1616" s="11" t="inlineStr">
        <is>
          <t>Sea Gate Wreckage / Escombros de Portão Marinho</t>
        </is>
      </c>
      <c r="B1616" s="11" t="inlineStr">
        <is>
          <t>Land / Terreno</t>
        </is>
      </c>
      <c r="C1616" s="11" t="inlineStr">
        <is>
          <t>Rare / Rara</t>
        </is>
      </c>
      <c r="D1616" s="11" t="inlineStr">
        <is>
          <t>{T}: Add {C}. ({C} represents colorless mana.) {2}{C}, {T}: Draw a card. Activate only if you have no cards in hand. / {T}: Adicione {C} à sua reserva de mana. ({C} representa mana incolor.) {2}{C}, {T}: Compre um card. Ative esta habilidade apenas se você não tiver nenhum card em sua mão.</t>
        </is>
      </c>
      <c r="F1616" s="11" t="inlineStr">
        <is>
          <t>Incolor</t>
        </is>
      </c>
      <c r="G1616" s="8" t="n">
        <v>0.3</v>
      </c>
      <c r="H1616" s="11" t="inlineStr">
        <is>
          <t>Oath of the Gatewatch (OGW)</t>
        </is>
      </c>
      <c r="I1616" s="11" t="inlineStr">
        <is>
          <t>Não</t>
        </is>
      </c>
      <c r="J1616" s="11" t="n">
        <v>2016</v>
      </c>
      <c r="L1616" s="11" t="n">
        <v>1</v>
      </c>
      <c r="M1616" s="8">
        <f>L1616*G1616</f>
        <v/>
      </c>
      <c r="P1616" s="9" t="n"/>
    </row>
    <row r="1617">
      <c r="A1617" s="11" t="inlineStr">
        <is>
          <t>Orzhov Guildgate / Portão da Guilda Orzhov</t>
        </is>
      </c>
      <c r="B1617" s="11" t="inlineStr">
        <is>
          <t>Land — Gate / Terreno — Portão</t>
        </is>
      </c>
      <c r="C1617" s="11" t="inlineStr">
        <is>
          <t>Common / Comum</t>
        </is>
      </c>
      <c r="D1617" s="11" t="inlineStr">
        <is>
          <t>This land enters tapped. {T}: Add {W} or {B}. / Portão da Guilda Orzhov entra no campo de batalha virado. {T}: Adicione {W} ou {B}.</t>
        </is>
      </c>
      <c r="F1617" s="11" t="inlineStr">
        <is>
          <t>Preto, Branco</t>
        </is>
      </c>
      <c r="G1617" s="8" t="n">
        <v>0.09</v>
      </c>
      <c r="H1617" s="11" t="inlineStr">
        <is>
          <t>Ravnica Allegiance (RNA)</t>
        </is>
      </c>
      <c r="I1617" s="11" t="inlineStr">
        <is>
          <t>Não</t>
        </is>
      </c>
      <c r="J1617" s="11" t="n">
        <v>2019</v>
      </c>
      <c r="L1617" s="11" t="n">
        <v>2</v>
      </c>
      <c r="M1617" s="8">
        <f>L1617*G1617</f>
        <v/>
      </c>
      <c r="P1617" s="9" t="n"/>
    </row>
    <row r="1618">
      <c r="A1618" s="11" t="inlineStr">
        <is>
          <t>Rupture Spire</t>
        </is>
      </c>
      <c r="B1618" s="11" t="inlineStr">
        <is>
          <t>Land</t>
        </is>
      </c>
      <c r="C1618" s="11" t="inlineStr">
        <is>
          <t>Common</t>
        </is>
      </c>
      <c r="D1618" s="11" t="inlineStr">
        <is>
          <t>Rupture Spire enters the battlefield tapped. When Rupture Spire enters the battlefield, sacrifice it unless you pay {1}. {T}: Add one mana of any color to your mana pool.</t>
        </is>
      </c>
      <c r="E1618" s="11" t="inlineStr">
        <is>
          <t>N/A</t>
        </is>
      </c>
      <c r="F1618" s="11" t="inlineStr">
        <is>
          <t>Incolor</t>
        </is>
      </c>
      <c r="G1618" s="8" t="n">
        <v>0.21</v>
      </c>
      <c r="H1618" s="11" t="inlineStr">
        <is>
          <t>Commander 2011 (CMD)</t>
        </is>
      </c>
      <c r="I1618" s="11" t="inlineStr">
        <is>
          <t>No</t>
        </is>
      </c>
      <c r="J1618" s="11" t="n">
        <v>2011</v>
      </c>
      <c r="L1618" s="11" t="n">
        <v>1</v>
      </c>
      <c r="M1618" s="8">
        <f>L1618*G1618</f>
        <v/>
      </c>
      <c r="P1618" s="9" t="n"/>
    </row>
    <row r="1619">
      <c r="A1619" s="11" t="inlineStr">
        <is>
          <t>Unyielding Krumar / Krumar Inexorável</t>
        </is>
      </c>
      <c r="B1619" s="11" t="inlineStr">
        <is>
          <t>Creature — Orc Warrior / Criatura — Orc Guerreiro</t>
        </is>
      </c>
      <c r="C1619" s="11" t="inlineStr">
        <is>
          <t>Common / Comum</t>
        </is>
      </c>
      <c r="D1619" s="11" t="inlineStr">
        <is>
          <t>{1}{W}: This creature gains first strike until end of turn. / {1}{W}: Krumar Inexorável ganha iniciativa até o final do turno.</t>
        </is>
      </c>
      <c r="E1619" s="11" t="inlineStr">
        <is>
          <t>{3}{B}</t>
        </is>
      </c>
      <c r="F1619" s="11" t="inlineStr">
        <is>
          <t>Preto</t>
        </is>
      </c>
      <c r="G1619" s="8" t="n">
        <v>0.05</v>
      </c>
      <c r="H1619" s="11" t="inlineStr">
        <is>
          <t>Khans of Tarkir (KTK)</t>
        </is>
      </c>
      <c r="I1619" s="11" t="inlineStr">
        <is>
          <t>Não</t>
        </is>
      </c>
      <c r="J1619" s="11" t="n">
        <v>2014</v>
      </c>
      <c r="K1619" s="10" t="n">
        <v>46084</v>
      </c>
      <c r="L1619" s="11" t="n">
        <v>1</v>
      </c>
      <c r="M1619" s="8">
        <f>L1619*G1619</f>
        <v/>
      </c>
      <c r="P1619" s="9" t="n"/>
    </row>
    <row r="1620">
      <c r="A1620" s="11" t="inlineStr">
        <is>
          <t>Death's Caress / Carícia da Morte</t>
        </is>
      </c>
      <c r="B1620" s="11" t="inlineStr">
        <is>
          <t>Sorcery / Feitiço</t>
        </is>
      </c>
      <c r="C1620" s="11" t="inlineStr">
        <is>
          <t>Common / Comum</t>
        </is>
      </c>
      <c r="D1620" s="11" t="inlineStr">
        <is>
          <t>Destroy target creature. If that creature was a Human, you gain life equal to its toughness. / Destrua a criatura alvo. Se aquela criatura era um Humano, você ganha uma quantidade de pontos de vida igual a sua resistência.</t>
        </is>
      </c>
      <c r="E1620" s="11" t="inlineStr">
        <is>
          <t>{3}{B}{B}</t>
        </is>
      </c>
      <c r="F1620" s="11" t="inlineStr">
        <is>
          <t>Preto</t>
        </is>
      </c>
      <c r="G1620" s="8" t="n">
        <v>0.06</v>
      </c>
      <c r="H1620" s="11" t="inlineStr">
        <is>
          <t>Dark Ascension (DKA)</t>
        </is>
      </c>
      <c r="I1620" s="11" t="inlineStr">
        <is>
          <t>Não</t>
        </is>
      </c>
      <c r="J1620" s="11" t="n">
        <v>2012</v>
      </c>
      <c r="L1620" s="11" t="n">
        <v>1</v>
      </c>
      <c r="M1620" s="8">
        <f>L1620*G1620</f>
        <v/>
      </c>
      <c r="P1620" s="9" t="n"/>
    </row>
    <row r="1621">
      <c r="A1621" s="11" t="inlineStr">
        <is>
          <t>Blood Tithe / Dízimo de Sangue</t>
        </is>
      </c>
      <c r="B1621" s="11" t="inlineStr">
        <is>
          <t>Sorcery / Feitiço</t>
        </is>
      </c>
      <c r="C1621" s="11" t="inlineStr">
        <is>
          <t>Common / Comum</t>
        </is>
      </c>
      <c r="D1621" s="11" t="inlineStr">
        <is>
          <t>Each opponent loses 3 life. You gain life equal to the life lost this way. / Cada oponente perde 3 pontos de vida. Você ganha uma quantidade de pontos de vida igual aos pontos de vida perdidos dessa maneira.</t>
        </is>
      </c>
      <c r="E1621" s="11" t="inlineStr">
        <is>
          <t>{3}{B}</t>
        </is>
      </c>
      <c r="F1621" s="11" t="inlineStr">
        <is>
          <t>Preto</t>
        </is>
      </c>
      <c r="G1621" s="8" t="n">
        <v>0.49</v>
      </c>
      <c r="H1621" s="11" t="inlineStr">
        <is>
          <t>Magic 2011 (M11)</t>
        </is>
      </c>
      <c r="I1621" s="11" t="inlineStr">
        <is>
          <t>Não</t>
        </is>
      </c>
      <c r="J1621" s="11" t="n">
        <v>2010</v>
      </c>
      <c r="L1621" s="11" t="n">
        <v>1</v>
      </c>
      <c r="M1621" s="8">
        <f>L1621*G1621</f>
        <v/>
      </c>
      <c r="P1621" s="9" t="n"/>
    </row>
    <row r="1622">
      <c r="A1622" s="11" t="inlineStr">
        <is>
          <t>Prickly Boggart / Papão Espinhoso</t>
        </is>
      </c>
      <c r="B1622" s="11" t="inlineStr">
        <is>
          <t>Creature — Goblin Rogue / Criatura — Goblin Ladino</t>
        </is>
      </c>
      <c r="C1622" s="11" t="inlineStr">
        <is>
          <t>Common / Comum</t>
        </is>
      </c>
      <c r="D1622" s="11" t="inlineStr">
        <is>
          <t>Fear (This creature can't be blocked except by artifact creatures and/or black creatures.) / Amedrontar</t>
        </is>
      </c>
      <c r="E1622" s="11" t="inlineStr">
        <is>
          <t>{B}</t>
        </is>
      </c>
      <c r="F1622" s="11" t="inlineStr">
        <is>
          <t>Preto</t>
        </is>
      </c>
      <c r="G1622" s="8" t="n">
        <v>0.17</v>
      </c>
      <c r="H1622" s="11" t="inlineStr">
        <is>
          <t>Morningtide (MOR)</t>
        </is>
      </c>
      <c r="I1622" s="11" t="inlineStr">
        <is>
          <t>Não</t>
        </is>
      </c>
      <c r="J1622" s="11" t="n">
        <v>2008</v>
      </c>
      <c r="K1622" s="10" t="n">
        <v>46023</v>
      </c>
      <c r="L1622" s="11" t="n">
        <v>4</v>
      </c>
      <c r="M1622" s="8">
        <f>L1622*G1622</f>
        <v/>
      </c>
      <c r="P1622" s="9" t="n"/>
    </row>
    <row r="1623">
      <c r="A1623" s="11" t="inlineStr">
        <is>
          <t>Lich's Caress / Carícia do Lich</t>
        </is>
      </c>
      <c r="B1623" s="11" t="inlineStr">
        <is>
          <t>Sorcery / Feitiço</t>
        </is>
      </c>
      <c r="C1623" s="11" t="inlineStr">
        <is>
          <t>Common / Comum</t>
        </is>
      </c>
      <c r="D1623" s="11" t="inlineStr">
        <is>
          <t>Destroy target creature. You gain 3 life. / Destrua a criatura alvo. Você ganha 3 pontos de vida.</t>
        </is>
      </c>
      <c r="E1623" s="11" t="inlineStr">
        <is>
          <t>{3}{B}{B}</t>
        </is>
      </c>
      <c r="F1623" s="11" t="inlineStr">
        <is>
          <t>Preto</t>
        </is>
      </c>
      <c r="G1623" s="8" t="n">
        <v>0.03</v>
      </c>
      <c r="H1623" s="11" t="inlineStr">
        <is>
          <t>Core Set 2019 (M19)</t>
        </is>
      </c>
      <c r="I1623" s="11" t="inlineStr">
        <is>
          <t>Não</t>
        </is>
      </c>
      <c r="J1623" s="11" t="n">
        <v>2018</v>
      </c>
      <c r="L1623" s="11" t="n">
        <v>1</v>
      </c>
      <c r="M1623" s="8">
        <f>L1623*G1623</f>
        <v/>
      </c>
      <c r="P1623" s="9" t="n"/>
    </row>
    <row r="1624">
      <c r="A1624" s="11" t="inlineStr">
        <is>
          <t>Mage Hunters' Onslaught / Investida dos Caça-magos</t>
        </is>
      </c>
      <c r="B1624" s="11" t="inlineStr">
        <is>
          <t>Sorcery / Feitiço</t>
        </is>
      </c>
      <c r="C1624" s="11" t="inlineStr">
        <is>
          <t>Common / Comum</t>
        </is>
      </c>
      <c r="D1624" s="11" t="inlineStr">
        <is>
          <t>Destroy target creature or planeswalker. Whenever a creature blocks this turn, its controller loses 1 life. / Destrua a criatura ou o planeswalker alvo. Toda vez que uma criatura bloqueia neste turno, seu controlador perde 1 ponto de vida.</t>
        </is>
      </c>
      <c r="E1624" s="11" t="inlineStr">
        <is>
          <t>{2}{B}{B}</t>
        </is>
      </c>
      <c r="F1624" s="11" t="inlineStr">
        <is>
          <t>Preto</t>
        </is>
      </c>
      <c r="G1624" s="8" t="n">
        <v>0.05</v>
      </c>
      <c r="H1624" s="11" t="inlineStr">
        <is>
          <t>Strixhaven: School of Mages (STX)</t>
        </is>
      </c>
      <c r="I1624" s="11" t="inlineStr">
        <is>
          <t>Não</t>
        </is>
      </c>
      <c r="J1624" s="11" t="n">
        <v>2021</v>
      </c>
      <c r="L1624" s="11" t="n">
        <v>1</v>
      </c>
      <c r="M1624" s="8">
        <f>L1624*G1624</f>
        <v/>
      </c>
      <c r="P1624" s="9" t="n"/>
    </row>
    <row r="1625">
      <c r="A1625" s="11" t="inlineStr">
        <is>
          <t>Grim Guardian / Guardião Sinistro</t>
        </is>
      </c>
      <c r="B1625" s="11" t="inlineStr">
        <is>
          <t>Enchantment Creature — Zombie / Criatura Encantamento — Zumbi</t>
        </is>
      </c>
      <c r="C1625" s="11" t="inlineStr">
        <is>
          <t>Common / Comum</t>
        </is>
      </c>
      <c r="D1625" s="11"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5" s="11" t="inlineStr">
        <is>
          <t>{2}{B}</t>
        </is>
      </c>
      <c r="F1625" s="11" t="inlineStr">
        <is>
          <t>Preto</t>
        </is>
      </c>
      <c r="G1625" s="8" t="n">
        <v>0.2</v>
      </c>
      <c r="H1625" s="11" t="inlineStr">
        <is>
          <t>Journey into Nyx (JOU)</t>
        </is>
      </c>
      <c r="I1625" s="11" t="inlineStr">
        <is>
          <t>Não</t>
        </is>
      </c>
      <c r="J1625" s="11" t="n">
        <v>2014</v>
      </c>
      <c r="K1625" s="10" t="n">
        <v>46113</v>
      </c>
      <c r="L1625" s="11" t="n">
        <v>5</v>
      </c>
      <c r="M1625" s="8">
        <f>L1625*G1625</f>
        <v/>
      </c>
      <c r="P1625" s="9" t="n"/>
    </row>
    <row r="1626">
      <c r="A1626" s="11" t="inlineStr">
        <is>
          <t>Grim Guardian / Guardião Sinistro</t>
        </is>
      </c>
      <c r="B1626" s="11" t="inlineStr">
        <is>
          <t>Enchantment Creature — Zombie / Criatura Encantamento — Zumbi</t>
        </is>
      </c>
      <c r="C1626" s="11" t="inlineStr">
        <is>
          <t>Common / Comum</t>
        </is>
      </c>
      <c r="D1626" s="11"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6" s="11" t="inlineStr">
        <is>
          <t>{2}{B}</t>
        </is>
      </c>
      <c r="F1626" s="11" t="inlineStr">
        <is>
          <t>Preto</t>
        </is>
      </c>
      <c r="G1626" s="8" t="n">
        <v>12.96</v>
      </c>
      <c r="H1626" s="11" t="inlineStr">
        <is>
          <t>Journey into Nyx (JOU)</t>
        </is>
      </c>
      <c r="I1626" s="11" t="inlineStr">
        <is>
          <t>Sim</t>
        </is>
      </c>
      <c r="J1626" s="11" t="n">
        <v>2014</v>
      </c>
      <c r="K1626" s="10" t="n">
        <v>46113</v>
      </c>
      <c r="L1626" s="11" t="n">
        <v>1</v>
      </c>
      <c r="M1626" s="8">
        <f>L1626*G1626</f>
        <v/>
      </c>
      <c r="P1626" s="9" t="n"/>
    </row>
    <row r="1627">
      <c r="A1627" s="11" t="inlineStr">
        <is>
          <t>Daring Demolition / Demolição Ousada</t>
        </is>
      </c>
      <c r="B1627" s="11" t="inlineStr">
        <is>
          <t>Sorcery / Feitiço</t>
        </is>
      </c>
      <c r="C1627" s="11" t="inlineStr">
        <is>
          <t>Common / Comum</t>
        </is>
      </c>
      <c r="D1627" s="11" t="inlineStr">
        <is>
          <t>Destroy target creature or Vehicle. / Destrua a criatura ou o Veículo alvo.</t>
        </is>
      </c>
      <c r="E1627" s="11" t="inlineStr">
        <is>
          <t>{2}{B}{B}</t>
        </is>
      </c>
      <c r="F1627" s="11" t="inlineStr">
        <is>
          <t>Preto</t>
        </is>
      </c>
      <c r="G1627" s="8" t="n">
        <v>0.03</v>
      </c>
      <c r="H1627" s="11" t="inlineStr">
        <is>
          <t>Aether Revolt (AER)</t>
        </is>
      </c>
      <c r="I1627" s="11" t="inlineStr">
        <is>
          <t>Não</t>
        </is>
      </c>
      <c r="J1627" s="11" t="n">
        <v>2017</v>
      </c>
      <c r="L1627" s="11" t="n">
        <v>1</v>
      </c>
      <c r="M1627" s="8">
        <f>L1627*G1627</f>
        <v/>
      </c>
      <c r="P1627" s="9" t="n"/>
    </row>
    <row r="1628">
      <c r="A1628" s="11" t="inlineStr">
        <is>
          <t>Festive Funeral / Funeral Festivo</t>
        </is>
      </c>
      <c r="B1628" s="11" t="inlineStr">
        <is>
          <t>Instant / Mágica Instantânea</t>
        </is>
      </c>
      <c r="C1628" s="11" t="inlineStr">
        <is>
          <t>Common / Comum</t>
        </is>
      </c>
      <c r="D1628" s="11" t="inlineStr">
        <is>
          <t>Target creature gets -X/-X until end of turn, where X is the number of cards in your graveyard. / A criatura alvo recebe -X/-X até o final do turno, sendo X o número de cards em seu cemitério.</t>
        </is>
      </c>
      <c r="E1628" s="11" t="inlineStr">
        <is>
          <t>{4}{B}</t>
        </is>
      </c>
      <c r="F1628" s="11" t="inlineStr">
        <is>
          <t>Preto</t>
        </is>
      </c>
      <c r="G1628" s="8" t="n">
        <v>0.05</v>
      </c>
      <c r="H1628" s="11" t="inlineStr">
        <is>
          <t>Throne of Eldraine (ELD)</t>
        </is>
      </c>
      <c r="I1628" s="11" t="inlineStr">
        <is>
          <t>Não</t>
        </is>
      </c>
      <c r="J1628" s="11" t="n">
        <v>2019</v>
      </c>
      <c r="L1628" s="11" t="n">
        <v>1</v>
      </c>
      <c r="M1628" s="8">
        <f>L1628*G1628</f>
        <v/>
      </c>
      <c r="P1628" s="9" t="n"/>
    </row>
    <row r="1629">
      <c r="A1629" s="11" t="inlineStr">
        <is>
          <t>Dark Inquiry / Interrogatório Sombrio</t>
        </is>
      </c>
      <c r="B1629" s="11" t="inlineStr">
        <is>
          <t>Sorcery / Feitiço</t>
        </is>
      </c>
      <c r="C1629" s="11" t="inlineStr">
        <is>
          <t>Common / Comum</t>
        </is>
      </c>
      <c r="D1629" s="11" t="inlineStr">
        <is>
          <t>Target opponent reveals their hand. You choose a nonland card from it. That player discards that card. / O oponente alvo revela a própria mão. Você escolhe um card que não seja um terreno da mão dele. Aquele jogador descarta aquele card.</t>
        </is>
      </c>
      <c r="E1629" s="11" t="inlineStr">
        <is>
          <t>{2}{B}</t>
        </is>
      </c>
      <c r="F1629" s="11" t="inlineStr">
        <is>
          <t>Preto</t>
        </is>
      </c>
      <c r="G1629" s="8" t="n">
        <v>0.03</v>
      </c>
      <c r="H1629" s="11" t="inlineStr">
        <is>
          <t>Rivals of Ixalan (RIX)</t>
        </is>
      </c>
      <c r="I1629" s="11" t="inlineStr">
        <is>
          <t>Não</t>
        </is>
      </c>
      <c r="J1629" s="11" t="n">
        <v>2018</v>
      </c>
      <c r="L1629" s="11" t="n">
        <v>1</v>
      </c>
      <c r="M1629" s="8">
        <f>L1629*G1629</f>
        <v/>
      </c>
      <c r="P1629" s="9" t="n"/>
    </row>
    <row r="1630">
      <c r="A1630" s="11" t="inlineStr">
        <is>
          <t>Sugar Rush / Frenesi do Açúcar</t>
        </is>
      </c>
      <c r="B1630" s="11" t="inlineStr">
        <is>
          <t>Instant / Mágica Instantânea</t>
        </is>
      </c>
      <c r="C1630" s="11" t="inlineStr">
        <is>
          <t>Common / Comum</t>
        </is>
      </c>
      <c r="D1630" s="11" t="inlineStr">
        <is>
          <t>Target creature gets +3/+0 until end of turn. Draw a card. / A criatura alvo recebe +3/+0 até o final do turno. Compre um card.</t>
        </is>
      </c>
      <c r="E1630" s="11" t="inlineStr">
        <is>
          <t>{1}{B}</t>
        </is>
      </c>
      <c r="F1630" s="11" t="inlineStr">
        <is>
          <t>Preto</t>
        </is>
      </c>
      <c r="G1630" s="8" t="n">
        <v>0.07000000000000001</v>
      </c>
      <c r="H1630" s="11" t="inlineStr">
        <is>
          <t>Wilds of Eldraine (WOE)</t>
        </is>
      </c>
      <c r="I1630" s="11" t="inlineStr">
        <is>
          <t>Não</t>
        </is>
      </c>
      <c r="J1630" s="11" t="n">
        <v>2023</v>
      </c>
      <c r="L1630" s="11" t="n">
        <v>2</v>
      </c>
      <c r="M1630" s="8">
        <f>L1630*G1630</f>
        <v/>
      </c>
      <c r="P1630" s="9" t="n"/>
    </row>
    <row r="1631">
      <c r="A1631" s="11" t="inlineStr">
        <is>
          <t>Crucible of the Spirit Dragon / Crisol do Dragão Espírito</t>
        </is>
      </c>
      <c r="B1631" s="11" t="inlineStr">
        <is>
          <t>Land / Terreno</t>
        </is>
      </c>
      <c r="C1631" s="11" t="inlineStr">
        <is>
          <t>Rare / Rara</t>
        </is>
      </c>
      <c r="D1631" s="11"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1631" s="11" t="inlineStr">
        <is>
          <t>Incolor</t>
        </is>
      </c>
      <c r="G1631" s="8" t="n">
        <v>0.23</v>
      </c>
      <c r="H1631" s="11" t="inlineStr">
        <is>
          <t>Fate Reforged (FRF)</t>
        </is>
      </c>
      <c r="I1631" s="11" t="inlineStr">
        <is>
          <t>Não</t>
        </is>
      </c>
      <c r="J1631" s="11" t="n">
        <v>2015</v>
      </c>
      <c r="L1631" s="11" t="n">
        <v>1</v>
      </c>
      <c r="M1631" s="8">
        <f>L1631*G1631</f>
        <v/>
      </c>
      <c r="P1631" s="9" t="n"/>
    </row>
    <row r="1632">
      <c r="A1632" s="11" t="inlineStr">
        <is>
          <t>Abnormal Endurance / Resistência Anormal</t>
        </is>
      </c>
      <c r="B1632" s="11" t="inlineStr">
        <is>
          <t>Instant / Mágica Instantânea</t>
        </is>
      </c>
      <c r="C1632" s="11" t="inlineStr">
        <is>
          <t>Common / Comum</t>
        </is>
      </c>
      <c r="D1632" s="11"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632" s="11" t="inlineStr">
        <is>
          <t>{1}{B}</t>
        </is>
      </c>
      <c r="F1632" s="11" t="inlineStr">
        <is>
          <t>Preto</t>
        </is>
      </c>
      <c r="G1632" s="8" t="n">
        <v>0.03</v>
      </c>
      <c r="H1632" s="11" t="inlineStr">
        <is>
          <t>Core Set 2019 (M19)</t>
        </is>
      </c>
      <c r="I1632" s="11" t="inlineStr">
        <is>
          <t>Não</t>
        </is>
      </c>
      <c r="J1632" s="11" t="n">
        <v>2018</v>
      </c>
      <c r="L1632" s="11" t="n">
        <v>1</v>
      </c>
      <c r="M1632" s="8">
        <f>L1632*G1632</f>
        <v/>
      </c>
      <c r="P1632" s="9" t="n"/>
    </row>
    <row r="1633">
      <c r="A1633" s="11" t="inlineStr">
        <is>
          <t>Sivriss, Nightmare Speaker / Sivriss, Orador do Pesadelo</t>
        </is>
      </c>
      <c r="B1633" s="11" t="inlineStr">
        <is>
          <t>Legendary Creature — Snake Cleric Warlock / Criatura Lendária — Cobra Clérigo Bruxo</t>
        </is>
      </c>
      <c r="C1633" s="11" t="inlineStr">
        <is>
          <t>Uncommon / Incomum</t>
        </is>
      </c>
      <c r="D1633" s="11"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1633" s="11" t="inlineStr">
        <is>
          <t>{3}{B}</t>
        </is>
      </c>
      <c r="F1633" s="11" t="inlineStr">
        <is>
          <t>Preto</t>
        </is>
      </c>
      <c r="G1633" s="8" t="n">
        <v>0.09</v>
      </c>
      <c r="H1633" s="11" t="inlineStr">
        <is>
          <t>Commander Legends: Battle for Baldur's Gate (CLB)</t>
        </is>
      </c>
      <c r="I1633" s="11" t="inlineStr">
        <is>
          <t>Não</t>
        </is>
      </c>
      <c r="J1633" s="11" t="n">
        <v>2022</v>
      </c>
      <c r="K1633" s="10" t="n">
        <v>46084</v>
      </c>
      <c r="L1633" s="11" t="n">
        <v>1</v>
      </c>
      <c r="M1633" s="8">
        <f>L1633*G1633</f>
        <v/>
      </c>
      <c r="P1633" s="9" t="n"/>
    </row>
    <row r="1634">
      <c r="A1634" s="11" t="inlineStr">
        <is>
          <t>Lost Legion / Legião Perdida</t>
        </is>
      </c>
      <c r="B1634" s="11" t="inlineStr">
        <is>
          <t>Creature — Spirit Knight / Criatura — Espírito Cavaleiro</t>
        </is>
      </c>
      <c r="C1634" s="11" t="inlineStr">
        <is>
          <t>Common / Comum</t>
        </is>
      </c>
      <c r="D1634" s="11"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1634" s="11" t="inlineStr">
        <is>
          <t>{1}{B}{B}</t>
        </is>
      </c>
      <c r="F1634" s="11" t="inlineStr">
        <is>
          <t>Preto</t>
        </is>
      </c>
      <c r="G1634" s="8" t="n">
        <v>0.05</v>
      </c>
      <c r="H1634" s="11" t="inlineStr">
        <is>
          <t>Throne of Eldraine (ELD)</t>
        </is>
      </c>
      <c r="I1634" s="11" t="inlineStr">
        <is>
          <t>Não</t>
        </is>
      </c>
      <c r="J1634" s="11" t="n">
        <v>2019</v>
      </c>
      <c r="K1634" s="10" t="n">
        <v>46083</v>
      </c>
      <c r="L1634" s="11" t="n">
        <v>1</v>
      </c>
      <c r="M1634" s="8">
        <f>L1634*G1634</f>
        <v/>
      </c>
      <c r="P1634" s="9" t="n"/>
    </row>
    <row r="1635">
      <c r="A1635" s="11" t="inlineStr">
        <is>
          <t>Cruel Sadist / Sádico Cruel</t>
        </is>
      </c>
      <c r="B1635" s="11" t="inlineStr">
        <is>
          <t>Creature — Human Assassin / Criatura — Humano Assassino</t>
        </is>
      </c>
      <c r="C1635" s="11" t="inlineStr">
        <is>
          <t>Rare / Rara</t>
        </is>
      </c>
      <c r="D1635" s="11"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635" s="11" t="inlineStr">
        <is>
          <t>{B}</t>
        </is>
      </c>
      <c r="F1635" s="11" t="inlineStr">
        <is>
          <t>Preto</t>
        </is>
      </c>
      <c r="G1635" s="8" t="n">
        <v>0.3</v>
      </c>
      <c r="H1635" s="11" t="inlineStr">
        <is>
          <t>Magic 2015 (M15)</t>
        </is>
      </c>
      <c r="I1635" s="11" t="inlineStr">
        <is>
          <t>Não</t>
        </is>
      </c>
      <c r="J1635" s="11" t="n">
        <v>2014</v>
      </c>
      <c r="K1635" s="10" t="n">
        <v>46023</v>
      </c>
      <c r="L1635" s="11" t="n">
        <v>1</v>
      </c>
      <c r="M1635" s="8">
        <f>L1635*G1635</f>
        <v/>
      </c>
      <c r="P1635" s="9" t="n"/>
    </row>
    <row r="1636">
      <c r="A1636" s="11" t="inlineStr">
        <is>
          <t>Radiant Fountain / Fonte Radiante</t>
        </is>
      </c>
      <c r="B1636" s="11" t="inlineStr">
        <is>
          <t>Land / Terreno</t>
        </is>
      </c>
      <c r="C1636" s="11" t="inlineStr">
        <is>
          <t>Common / Comum</t>
        </is>
      </c>
      <c r="D1636" s="11" t="inlineStr">
        <is>
          <t>When this land enters, you gain 2 life. {T}: Add {C}. / Quando Fonte Radiante entra no campo de batalha, você ganha 2 pontos de vida. {T}: Adicione {C}.</t>
        </is>
      </c>
      <c r="F1636" s="11" t="inlineStr">
        <is>
          <t>Incolor</t>
        </is>
      </c>
      <c r="G1636" s="8" t="n">
        <v>0.3</v>
      </c>
      <c r="H1636" s="11" t="inlineStr">
        <is>
          <t>Iconic Masters (IMA)</t>
        </is>
      </c>
      <c r="I1636" s="11" t="inlineStr">
        <is>
          <t>Não</t>
        </is>
      </c>
      <c r="J1636" s="11" t="n">
        <v>2017</v>
      </c>
      <c r="L1636" s="11" t="n">
        <v>2</v>
      </c>
      <c r="M1636" s="8">
        <f>L1636*G1636</f>
        <v/>
      </c>
      <c r="P1636" s="9" t="n"/>
    </row>
    <row r="1637">
      <c r="A1637" s="11" t="inlineStr">
        <is>
          <t>Fake Your Own Death / Fingir a Própria Morte</t>
        </is>
      </c>
      <c r="B1637" s="11" t="inlineStr">
        <is>
          <t>Instant / Mágica Instantânea</t>
        </is>
      </c>
      <c r="C1637" s="11" t="inlineStr">
        <is>
          <t>Common / Comum</t>
        </is>
      </c>
      <c r="D1637" s="11"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637" s="11" t="inlineStr">
        <is>
          <t>{1}{B}</t>
        </is>
      </c>
      <c r="F1637" s="11" t="inlineStr">
        <is>
          <t>Preto</t>
        </is>
      </c>
      <c r="G1637" s="8" t="n">
        <v>0.07000000000000001</v>
      </c>
      <c r="H1637" s="11" t="inlineStr">
        <is>
          <t>Outlaws of Thunder Junction (OTJ)</t>
        </is>
      </c>
      <c r="I1637" s="11" t="inlineStr">
        <is>
          <t>Não</t>
        </is>
      </c>
      <c r="J1637" s="11" t="n">
        <v>2024</v>
      </c>
      <c r="L1637" s="11" t="n">
        <v>1</v>
      </c>
      <c r="M1637" s="8">
        <f>L1637*G1637</f>
        <v/>
      </c>
      <c r="P1637" s="9" t="n"/>
    </row>
    <row r="1638">
      <c r="A1638" s="11" t="inlineStr">
        <is>
          <t>Priest of the Blood Rite / Sacerdote do Ritual de Sangue</t>
        </is>
      </c>
      <c r="B1638" s="11" t="inlineStr">
        <is>
          <t>Creature — Human Cleric / Criatura — Humano Clérigo</t>
        </is>
      </c>
      <c r="C1638" s="11" t="inlineStr">
        <is>
          <t>Rare / Rara</t>
        </is>
      </c>
      <c r="D1638" s="11"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1638" s="11" t="inlineStr">
        <is>
          <t>{3}{B}{B}</t>
        </is>
      </c>
      <c r="F1638" s="11" t="inlineStr">
        <is>
          <t>Preto</t>
        </is>
      </c>
      <c r="G1638" s="8" t="n">
        <v>0.25</v>
      </c>
      <c r="H1638" s="11" t="inlineStr">
        <is>
          <t>Magic Origins (ORI)</t>
        </is>
      </c>
      <c r="I1638" s="11" t="inlineStr">
        <is>
          <t>Não</t>
        </is>
      </c>
      <c r="J1638" s="11" t="n">
        <v>2015</v>
      </c>
      <c r="K1638" s="10" t="n">
        <v>46055</v>
      </c>
      <c r="L1638" s="11" t="n">
        <v>1</v>
      </c>
      <c r="M1638" s="8">
        <f>L1638*G1638</f>
        <v/>
      </c>
      <c r="P1638" s="9" t="n"/>
    </row>
    <row r="1639">
      <c r="A1639" s="11" t="inlineStr">
        <is>
          <t>Boneclad Necromancer / Necromante da Veste Óssea</t>
        </is>
      </c>
      <c r="B1639" s="11" t="inlineStr">
        <is>
          <t>Creature — Human Wizard / Criatura — Humano Mago</t>
        </is>
      </c>
      <c r="C1639" s="11" t="inlineStr">
        <is>
          <t>Common / Comum</t>
        </is>
      </c>
      <c r="D1639" s="11"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1639" s="11" t="inlineStr">
        <is>
          <t>{3}{B}{B}</t>
        </is>
      </c>
      <c r="F1639" s="11" t="inlineStr">
        <is>
          <t>Preto</t>
        </is>
      </c>
      <c r="G1639" s="8" t="n">
        <v>0.03</v>
      </c>
      <c r="H1639" s="11" t="inlineStr">
        <is>
          <t>Core Set 2020 (M20)</t>
        </is>
      </c>
      <c r="I1639" s="11" t="inlineStr">
        <is>
          <t>Não</t>
        </is>
      </c>
      <c r="J1639" s="11" t="n">
        <v>2019</v>
      </c>
      <c r="K1639" s="10" t="n">
        <v>46084</v>
      </c>
      <c r="L1639" s="11" t="n">
        <v>1</v>
      </c>
      <c r="M1639" s="8">
        <f>L1639*G1639</f>
        <v/>
      </c>
      <c r="P1639" s="9" t="n"/>
    </row>
    <row r="1640">
      <c r="A1640" s="11" t="inlineStr">
        <is>
          <t>Soulflayer / Flagelador de Alma</t>
        </is>
      </c>
      <c r="B1640" s="11" t="inlineStr">
        <is>
          <t>Creature — Demon / Criatura — Demônio</t>
        </is>
      </c>
      <c r="C1640" s="11" t="inlineStr">
        <is>
          <t>Rare / Rara</t>
        </is>
      </c>
      <c r="D1640" s="11"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1640" s="11" t="inlineStr">
        <is>
          <t>{4}{B}{B}</t>
        </is>
      </c>
      <c r="F1640" s="11" t="inlineStr">
        <is>
          <t>Preto</t>
        </is>
      </c>
      <c r="G1640" s="8" t="n">
        <v>0.2</v>
      </c>
      <c r="H1640" s="11" t="inlineStr">
        <is>
          <t>Fate Reforged (FRF)</t>
        </is>
      </c>
      <c r="I1640" s="11" t="inlineStr">
        <is>
          <t>Não</t>
        </is>
      </c>
      <c r="J1640" s="11" t="n">
        <v>2015</v>
      </c>
      <c r="K1640" s="10" t="n">
        <v>46116</v>
      </c>
      <c r="L1640" s="11" t="n">
        <v>1</v>
      </c>
      <c r="M1640" s="8">
        <f>L1640*G1640</f>
        <v/>
      </c>
      <c r="P1640" s="9" t="n"/>
    </row>
    <row r="1641">
      <c r="A1641" s="11" t="inlineStr">
        <is>
          <t>Sightless Ghoul / Carniçal Cego</t>
        </is>
      </c>
      <c r="B1641" s="11" t="inlineStr">
        <is>
          <t>Creature — Zombie Soldier / Criatura — Zumbi Soldado</t>
        </is>
      </c>
      <c r="C1641" s="11" t="inlineStr">
        <is>
          <t>Common / Comum</t>
        </is>
      </c>
      <c r="D1641" s="11"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1641" s="11" t="inlineStr">
        <is>
          <t>{3}{B}</t>
        </is>
      </c>
      <c r="F1641" s="11" t="inlineStr">
        <is>
          <t>Preto</t>
        </is>
      </c>
      <c r="G1641" s="8" t="n">
        <v>0.09</v>
      </c>
      <c r="H1641" s="11" t="inlineStr">
        <is>
          <t>Dark Ascension (DKA)</t>
        </is>
      </c>
      <c r="I1641" s="11" t="inlineStr">
        <is>
          <t>Não</t>
        </is>
      </c>
      <c r="J1641" s="11" t="n">
        <v>2012</v>
      </c>
      <c r="K1641" s="10" t="n">
        <v>46055</v>
      </c>
      <c r="L1641" s="11" t="n">
        <v>1</v>
      </c>
      <c r="M1641" s="8">
        <f>L1641*G1641</f>
        <v/>
      </c>
      <c r="P1641" s="9" t="n"/>
    </row>
    <row r="1642">
      <c r="A1642" s="11" t="inlineStr">
        <is>
          <t>Dokuchi Silencer / Silenciador Dokuchi</t>
        </is>
      </c>
      <c r="B1642" s="11" t="inlineStr">
        <is>
          <t>Creature — Human Ninja / Criatura — Humano Ninja</t>
        </is>
      </c>
      <c r="C1642" s="11" t="inlineStr">
        <is>
          <t>Uncommon / Incomum</t>
        </is>
      </c>
      <c r="D1642" s="11"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642" s="11" t="inlineStr">
        <is>
          <t>{1}{B}</t>
        </is>
      </c>
      <c r="F1642" s="11" t="inlineStr">
        <is>
          <t>Preto</t>
        </is>
      </c>
      <c r="G1642" s="8" t="n">
        <v>0.15</v>
      </c>
      <c r="H1642" s="11" t="inlineStr">
        <is>
          <t>Kamigawa: Neon Dynasty (NEO)</t>
        </is>
      </c>
      <c r="I1642" s="11" t="inlineStr">
        <is>
          <t>Não</t>
        </is>
      </c>
      <c r="J1642" s="11" t="n">
        <v>2022</v>
      </c>
      <c r="K1642" s="10" t="n">
        <v>46024</v>
      </c>
      <c r="L1642" s="11" t="n">
        <v>1</v>
      </c>
      <c r="M1642" s="8">
        <f>L1642*G1642</f>
        <v/>
      </c>
      <c r="P1642" s="9" t="n"/>
    </row>
    <row r="1643">
      <c r="A1643" s="11" t="inlineStr">
        <is>
          <t>Soulstinger / Picador de Almas</t>
        </is>
      </c>
      <c r="B1643" s="11" t="inlineStr">
        <is>
          <t>Creature — Scorpion Demon / Criatura — Escorpião Demônio</t>
        </is>
      </c>
      <c r="C1643" s="11" t="inlineStr">
        <is>
          <t>Common / Comum</t>
        </is>
      </c>
      <c r="D1643" s="11"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1643" s="11" t="inlineStr">
        <is>
          <t>{3}{B}</t>
        </is>
      </c>
      <c r="F1643" s="11" t="inlineStr">
        <is>
          <t>Preto</t>
        </is>
      </c>
      <c r="G1643" s="8" t="n">
        <v>0.03</v>
      </c>
      <c r="H1643" s="11" t="inlineStr">
        <is>
          <t>Amonkhet (AKH)</t>
        </is>
      </c>
      <c r="I1643" s="11" t="inlineStr">
        <is>
          <t>Não</t>
        </is>
      </c>
      <c r="J1643" s="11" t="n">
        <v>2017</v>
      </c>
      <c r="K1643" s="10" t="n">
        <v>46146</v>
      </c>
      <c r="L1643" s="11" t="n">
        <v>1</v>
      </c>
      <c r="M1643" s="8">
        <f>L1643*G1643</f>
        <v/>
      </c>
      <c r="P1643" s="9" t="n"/>
    </row>
    <row r="1644">
      <c r="A1644" s="11" t="inlineStr">
        <is>
          <t>Bankrupt in Blood / Falir em Sangue</t>
        </is>
      </c>
      <c r="B1644" s="11" t="inlineStr">
        <is>
          <t>Sorcery / Feitiço</t>
        </is>
      </c>
      <c r="C1644" s="11" t="inlineStr">
        <is>
          <t>Uncommon / Incomum</t>
        </is>
      </c>
      <c r="D1644" s="11" t="inlineStr">
        <is>
          <t>As an additional cost to cast this spell, sacrifice two creatures. Draw three cards. / Como custo adicional para conjurar esta mágica, sacrifique duas criaturas. Compre três cards.</t>
        </is>
      </c>
      <c r="E1644" s="11" t="inlineStr">
        <is>
          <t>{1}{B}</t>
        </is>
      </c>
      <c r="F1644" s="11" t="inlineStr">
        <is>
          <t>Preto</t>
        </is>
      </c>
      <c r="G1644" s="8" t="n">
        <v>0.05</v>
      </c>
      <c r="H1644" s="11" t="inlineStr">
        <is>
          <t>Ravnica Allegiance (RNA)</t>
        </is>
      </c>
      <c r="I1644" s="11" t="inlineStr">
        <is>
          <t>Não</t>
        </is>
      </c>
      <c r="J1644" s="11" t="n">
        <v>2019</v>
      </c>
      <c r="L1644" s="11" t="n">
        <v>1</v>
      </c>
      <c r="M1644" s="8">
        <f>L1644*G1644</f>
        <v/>
      </c>
      <c r="P1644" s="9" t="n"/>
    </row>
    <row r="1645">
      <c r="A1645" s="11" t="inlineStr">
        <is>
          <t>Malicious Malfunction / Anomalia Maligna</t>
        </is>
      </c>
      <c r="B1645" s="11" t="inlineStr">
        <is>
          <t>Sorcery / Feitiço</t>
        </is>
      </c>
      <c r="C1645" s="11" t="inlineStr">
        <is>
          <t>Uncommon / Incomum</t>
        </is>
      </c>
      <c r="D1645" s="11" t="inlineStr">
        <is>
          <t>All creatures get -2/-2 until end of turn. If a creature would die this turn, exile it instead. / Todas as criaturas recebem -2/-2 até o final do turno. Se uma criatura morreria neste turno, em vez disso, exile-a.</t>
        </is>
      </c>
      <c r="E1645" s="11" t="inlineStr">
        <is>
          <t>{1}{B}{B}</t>
        </is>
      </c>
      <c r="F1645" s="11" t="inlineStr">
        <is>
          <t>Preto</t>
        </is>
      </c>
      <c r="G1645" s="8" t="n">
        <v>0.09</v>
      </c>
      <c r="H1645" s="11" t="inlineStr">
        <is>
          <t>Kamigawa: Neon Dynasty (NEO)</t>
        </is>
      </c>
      <c r="I1645" s="11" t="inlineStr">
        <is>
          <t>Não</t>
        </is>
      </c>
      <c r="J1645" s="11" t="n">
        <v>2022</v>
      </c>
      <c r="L1645" s="11" t="n">
        <v>1</v>
      </c>
      <c r="M1645" s="8">
        <f>L1645*G1645</f>
        <v/>
      </c>
      <c r="P1645" s="9" t="n"/>
    </row>
    <row r="1646">
      <c r="A1646" s="11" t="inlineStr">
        <is>
          <t>Chilling Shade / Sombra Congelante</t>
        </is>
      </c>
      <c r="B1646" s="11" t="inlineStr">
        <is>
          <t>Snow Creature — Shade / Criatura da Neve — Sombra</t>
        </is>
      </c>
      <c r="C1646" s="11" t="inlineStr">
        <is>
          <t>Common / Comum</t>
        </is>
      </c>
      <c r="D1646" s="11" t="inlineStr">
        <is>
          <t>Flying {S}: This creature gets +1/+1 until end of turn. ({S} can be paid with one mana from a snow source.) / Voar {S}: Sombra Congelante recebe +1/+1 até o final do turno. ({S} pode ser pago com um mana de uma permanente da neve.)</t>
        </is>
      </c>
      <c r="E1646" s="11" t="inlineStr">
        <is>
          <t>{2}{B}</t>
        </is>
      </c>
      <c r="F1646" s="11" t="inlineStr">
        <is>
          <t>Preto</t>
        </is>
      </c>
      <c r="G1646" s="8" t="n">
        <v>0.07000000000000001</v>
      </c>
      <c r="H1646" s="11" t="inlineStr">
        <is>
          <t>Coldsnap (CSP)</t>
        </is>
      </c>
      <c r="I1646" s="11" t="inlineStr">
        <is>
          <t>Não</t>
        </is>
      </c>
      <c r="J1646" s="11" t="n">
        <v>2006</v>
      </c>
      <c r="K1646" s="10" t="n">
        <v>46023</v>
      </c>
      <c r="L1646" s="11" t="n">
        <v>1</v>
      </c>
      <c r="M1646" s="8">
        <f>L1646*G1646</f>
        <v/>
      </c>
      <c r="P1646" s="9" t="n"/>
    </row>
    <row r="1647">
      <c r="A1647" s="11" t="inlineStr">
        <is>
          <t>Debt to the Kami / Dívida com os Kami</t>
        </is>
      </c>
      <c r="B1647" s="11" t="inlineStr">
        <is>
          <t>Instant / Mágica Instantânea</t>
        </is>
      </c>
      <c r="C1647" s="11" t="inlineStr">
        <is>
          <t>Common / Comum</t>
        </is>
      </c>
      <c r="D1647" s="11" t="inlineStr">
        <is>
          <t>Choose one — • Target opponent exiles a creature they control. • Target opponent exiles an enchantment they control. / Escolha um — • O oponente alvo exila uma criatura que ele controla. • O oponente alvo exila um encantamento que ele controla.</t>
        </is>
      </c>
      <c r="E1647" s="11" t="inlineStr">
        <is>
          <t>{2}{B}</t>
        </is>
      </c>
      <c r="F1647" s="11" t="inlineStr">
        <is>
          <t>Preto</t>
        </is>
      </c>
      <c r="G1647" s="8" t="n">
        <v>0.15</v>
      </c>
      <c r="H1647" s="11" t="inlineStr">
        <is>
          <t>Kamigawa: Neon Dynasty (NEO)</t>
        </is>
      </c>
      <c r="I1647" s="11" t="inlineStr">
        <is>
          <t>Não</t>
        </is>
      </c>
      <c r="J1647" s="11" t="n">
        <v>2022</v>
      </c>
      <c r="L1647" s="11" t="n">
        <v>1</v>
      </c>
      <c r="M1647" s="8">
        <f>L1647*G1647</f>
        <v/>
      </c>
      <c r="P1647" s="9" t="n"/>
    </row>
    <row r="1648">
      <c r="A1648" s="11" t="inlineStr">
        <is>
          <t>Psychic Whorl</t>
        </is>
      </c>
      <c r="B1648" s="11" t="inlineStr">
        <is>
          <t>Sorcery</t>
        </is>
      </c>
      <c r="C1648" s="11" t="inlineStr">
        <is>
          <t>Common / Comum</t>
        </is>
      </c>
      <c r="D1648" s="11" t="inlineStr">
        <is>
          <t>Target opponent discards two cards. Then if you control a Rat, surveil 2. (Look at the top two cards of your library, then put any number of them into your graveyard and the rest on top of your library in any order.)</t>
        </is>
      </c>
      <c r="E1648" s="11" t="inlineStr">
        <is>
          <t>{2}{B}</t>
        </is>
      </c>
      <c r="F1648" s="11" t="inlineStr">
        <is>
          <t>Preto</t>
        </is>
      </c>
      <c r="G1648" s="8" t="n">
        <v>0.1</v>
      </c>
      <c r="H1648" s="11" t="inlineStr">
        <is>
          <t>Bloomburrow (BLB)</t>
        </is>
      </c>
      <c r="I1648" s="11" t="inlineStr">
        <is>
          <t>Não</t>
        </is>
      </c>
      <c r="J1648" s="11" t="n">
        <v>2024</v>
      </c>
      <c r="L1648" s="11" t="n">
        <v>1</v>
      </c>
      <c r="M1648" s="8">
        <f>L1648*G1648</f>
        <v/>
      </c>
      <c r="P1648" s="9" t="n"/>
    </row>
    <row r="1649">
      <c r="A1649" s="11" t="inlineStr">
        <is>
          <t>Surging Dementia / Demência Ondulante</t>
        </is>
      </c>
      <c r="B1649" s="11" t="inlineStr">
        <is>
          <t>Sorcery / Feitiço</t>
        </is>
      </c>
      <c r="C1649" s="11" t="inlineStr">
        <is>
          <t>Common / Comum</t>
        </is>
      </c>
      <c r="D1649" s="11"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1649" s="11" t="inlineStr">
        <is>
          <t>{1}{B}</t>
        </is>
      </c>
      <c r="F1649" s="11" t="inlineStr">
        <is>
          <t>Preto</t>
        </is>
      </c>
      <c r="G1649" s="8" t="n">
        <v>0.14</v>
      </c>
      <c r="H1649" s="11" t="inlineStr">
        <is>
          <t>Coldsnap (CSP)</t>
        </is>
      </c>
      <c r="I1649" s="11" t="inlineStr">
        <is>
          <t>Não</t>
        </is>
      </c>
      <c r="J1649" s="11" t="n">
        <v>2006</v>
      </c>
      <c r="L1649" s="11" t="n">
        <v>1</v>
      </c>
      <c r="M1649" s="8">
        <f>L1649*G1649</f>
        <v/>
      </c>
      <c r="P1649" s="9" t="n"/>
    </row>
    <row r="1650">
      <c r="A1650" s="11" t="inlineStr">
        <is>
          <t>Perplexing Chimera / Quimera Desconcertante</t>
        </is>
      </c>
      <c r="B1650" s="11" t="inlineStr">
        <is>
          <t>Enchantment Creature — Chimera / Criatura Encantamento — Quimera</t>
        </is>
      </c>
      <c r="C1650" s="11" t="inlineStr">
        <is>
          <t>Rare / Rara</t>
        </is>
      </c>
      <c r="D1650" s="11"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1650" s="11" t="inlineStr">
        <is>
          <t>{4}{U}</t>
        </is>
      </c>
      <c r="F1650" s="11" t="inlineStr">
        <is>
          <t>Azul</t>
        </is>
      </c>
      <c r="G1650" s="8" t="n">
        <v>0.4</v>
      </c>
      <c r="H1650" s="11" t="inlineStr">
        <is>
          <t>Born of the Gods (BNG)</t>
        </is>
      </c>
      <c r="I1650" s="11" t="inlineStr">
        <is>
          <t>Não</t>
        </is>
      </c>
      <c r="J1650" s="11" t="n">
        <v>2014</v>
      </c>
      <c r="K1650" s="10" t="n">
        <v>46084</v>
      </c>
      <c r="L1650" s="11" t="n">
        <v>1</v>
      </c>
      <c r="M1650" s="8">
        <f>L1650*G1650</f>
        <v/>
      </c>
      <c r="P1650" s="9" t="n"/>
    </row>
    <row r="1651">
      <c r="A1651" s="11" t="inlineStr">
        <is>
          <t>Thunder Drake / Dragonete do Trovão</t>
        </is>
      </c>
      <c r="B1651" s="11" t="inlineStr">
        <is>
          <t>Creature — Elemental Drake / Criatura — Elemental Dragonete</t>
        </is>
      </c>
      <c r="C1651" s="11" t="inlineStr">
        <is>
          <t>Common / Comum</t>
        </is>
      </c>
      <c r="D1651" s="11" t="inlineStr">
        <is>
          <t>Flying Whenever you cast your second spell each turn, put a +1/+1 counter on this creature. / Voar Toda vez que você conjurar sua segunda mágica a cada turno, coloque um marcador +1/+1 em Dragonete do Trovão.</t>
        </is>
      </c>
      <c r="E1651" s="11" t="inlineStr">
        <is>
          <t>{3}{U}</t>
        </is>
      </c>
      <c r="F1651" s="11" t="inlineStr">
        <is>
          <t>Azul</t>
        </is>
      </c>
      <c r="G1651" s="8" t="n">
        <v>0.02</v>
      </c>
      <c r="H1651" s="11" t="inlineStr">
        <is>
          <t>War of the Spark (WAR)</t>
        </is>
      </c>
      <c r="I1651" s="11" t="inlineStr">
        <is>
          <t>Não</t>
        </is>
      </c>
      <c r="J1651" s="11" t="n">
        <v>2019</v>
      </c>
      <c r="K1651" s="10" t="n">
        <v>46083</v>
      </c>
      <c r="L1651" s="11" t="n">
        <v>1</v>
      </c>
      <c r="M1651" s="8">
        <f>L1651*G1651</f>
        <v/>
      </c>
      <c r="P1651" s="9" t="n"/>
    </row>
    <row r="1652">
      <c r="A1652" s="11" t="inlineStr">
        <is>
          <t>Drowner of Hope / Afogador da Esperança</t>
        </is>
      </c>
      <c r="B1652" s="11" t="inlineStr">
        <is>
          <t>Creature — Eldrazi / Criatura — Eldrazi</t>
        </is>
      </c>
      <c r="C1652" s="11" t="inlineStr">
        <is>
          <t>Rare / Rara</t>
        </is>
      </c>
      <c r="D1652" s="11"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652" s="11" t="inlineStr">
        <is>
          <t>{5}{U}</t>
        </is>
      </c>
      <c r="F1652" s="11" t="inlineStr">
        <is>
          <t>Azul</t>
        </is>
      </c>
      <c r="G1652" s="8" t="n">
        <v>0.25</v>
      </c>
      <c r="H1652" s="11" t="inlineStr">
        <is>
          <t>Battle for Zendikar (BFZ)</t>
        </is>
      </c>
      <c r="I1652" s="11" t="inlineStr">
        <is>
          <t>Não</t>
        </is>
      </c>
      <c r="J1652" s="11" t="n">
        <v>2015</v>
      </c>
      <c r="K1652" s="10" t="n">
        <v>46147</v>
      </c>
      <c r="L1652" s="11" t="n">
        <v>1</v>
      </c>
      <c r="M1652" s="8">
        <f>L1652*G1652</f>
        <v/>
      </c>
      <c r="P1652" s="9" t="n"/>
    </row>
    <row r="1653">
      <c r="A1653" s="11" t="inlineStr">
        <is>
          <t>Court Hussar / Hussardo Real</t>
        </is>
      </c>
      <c r="B1653" s="11" t="inlineStr">
        <is>
          <t>Creature — Vedalken Knight / Criatura — Cavaleiro Vedalkeano</t>
        </is>
      </c>
      <c r="C1653" s="11" t="inlineStr">
        <is>
          <t>Common / Comum</t>
        </is>
      </c>
      <c r="D1653" s="11"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1653" s="11" t="inlineStr">
        <is>
          <t>{2}{U}</t>
        </is>
      </c>
      <c r="F1653" s="11" t="inlineStr">
        <is>
          <t>Azul</t>
        </is>
      </c>
      <c r="G1653" s="8" t="n">
        <v>0.24</v>
      </c>
      <c r="H1653" s="11" t="inlineStr">
        <is>
          <t>Masters 25 (A25)</t>
        </is>
      </c>
      <c r="I1653" s="11" t="inlineStr">
        <is>
          <t>Sim</t>
        </is>
      </c>
      <c r="J1653" s="11" t="n">
        <v>2018</v>
      </c>
      <c r="K1653" s="10" t="n">
        <v>46082</v>
      </c>
      <c r="L1653" s="11" t="n">
        <v>1</v>
      </c>
      <c r="M1653" s="8">
        <f>L1653*G1653</f>
        <v/>
      </c>
      <c r="P1653" s="9" t="n"/>
    </row>
    <row r="1654">
      <c r="A1654" s="11" t="inlineStr">
        <is>
          <t>Lunar Mystic / Místico Lunar</t>
        </is>
      </c>
      <c r="B1654" s="11" t="inlineStr">
        <is>
          <t>Creature — Human Wizard / Criatura — Humano Mago</t>
        </is>
      </c>
      <c r="C1654" s="11" t="inlineStr">
        <is>
          <t>Rare / Rara</t>
        </is>
      </c>
      <c r="D1654" s="11" t="inlineStr">
        <is>
          <t>Whenever you cast an instant spell, you may pay {1}. If you do, draw a card. / Toda vez que conjura uma mágica instantânea, você pode pagar {1}. Se fizer isso, compre um card.</t>
        </is>
      </c>
      <c r="E1654" s="11" t="inlineStr">
        <is>
          <t>{2}{U}{U}</t>
        </is>
      </c>
      <c r="F1654" s="11" t="inlineStr">
        <is>
          <t>Azul</t>
        </is>
      </c>
      <c r="G1654" s="8" t="n">
        <v>0.17</v>
      </c>
      <c r="H1654" s="11" t="inlineStr">
        <is>
          <t>Avacyn Restored (AVR)</t>
        </is>
      </c>
      <c r="I1654" s="11" t="inlineStr">
        <is>
          <t>Não</t>
        </is>
      </c>
      <c r="J1654" s="11" t="n">
        <v>2012</v>
      </c>
      <c r="K1654" s="10" t="n">
        <v>46055</v>
      </c>
      <c r="L1654" s="11" t="n">
        <v>1</v>
      </c>
      <c r="M1654" s="8">
        <f>L1654*G1654</f>
        <v/>
      </c>
      <c r="P1654" s="9" t="n"/>
    </row>
    <row r="1655">
      <c r="A1655" s="11" t="inlineStr">
        <is>
          <t>Sultai Skullkeeper / Guardião de Crânios Sultai</t>
        </is>
      </c>
      <c r="B1655" s="11" t="inlineStr">
        <is>
          <t>Creature — Snake Shaman / Criatura — Naga Xamã</t>
        </is>
      </c>
      <c r="C1655" s="11" t="inlineStr">
        <is>
          <t>Common / Comum</t>
        </is>
      </c>
      <c r="D1655" s="11" t="inlineStr">
        <is>
          <t>When this creature enters, mill two cards. / Quando Guardião de Crânios Sultai entrar no campo de batalha, coloque os dois cards do topo de seu grimório em seu cemitério.</t>
        </is>
      </c>
      <c r="E1655" s="11" t="inlineStr">
        <is>
          <t>{1}{U}</t>
        </is>
      </c>
      <c r="F1655" s="11" t="inlineStr">
        <is>
          <t>Azul</t>
        </is>
      </c>
      <c r="G1655" s="8" t="n">
        <v>0.05</v>
      </c>
      <c r="H1655" s="11" t="inlineStr">
        <is>
          <t>Fate Reforged (FRF)</t>
        </is>
      </c>
      <c r="I1655" s="11" t="inlineStr">
        <is>
          <t>Não</t>
        </is>
      </c>
      <c r="J1655" s="11" t="n">
        <v>2015</v>
      </c>
      <c r="K1655" s="10" t="n">
        <v>46024</v>
      </c>
      <c r="L1655" s="11" t="n">
        <v>1</v>
      </c>
      <c r="M1655" s="8">
        <f>L1655*G1655</f>
        <v/>
      </c>
      <c r="P1655" s="9" t="n"/>
    </row>
    <row r="1656">
      <c r="A1656" s="11" t="inlineStr">
        <is>
          <t>Harbinger of the Tides / Anunciador das Marés</t>
        </is>
      </c>
      <c r="B1656" s="11" t="inlineStr">
        <is>
          <t>Creature — Merfolk Wizard / Criatura — Tritão Mago</t>
        </is>
      </c>
      <c r="C1656" s="11" t="inlineStr">
        <is>
          <t>Rare / Rara</t>
        </is>
      </c>
      <c r="D1656" s="11"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1656" s="11" t="inlineStr">
        <is>
          <t>{U}{U}</t>
        </is>
      </c>
      <c r="F1656" s="11" t="inlineStr">
        <is>
          <t>Azul</t>
        </is>
      </c>
      <c r="G1656" s="8" t="n">
        <v>0.5</v>
      </c>
      <c r="H1656" s="11" t="inlineStr">
        <is>
          <t>Magic Origins (ORI)</t>
        </is>
      </c>
      <c r="I1656" s="11" t="inlineStr">
        <is>
          <t>Não</t>
        </is>
      </c>
      <c r="J1656" s="11" t="n">
        <v>2015</v>
      </c>
      <c r="K1656" s="10" t="n">
        <v>46055</v>
      </c>
      <c r="L1656" s="11" t="n">
        <v>1</v>
      </c>
      <c r="M1656" s="8">
        <f>L1656*G1656</f>
        <v/>
      </c>
      <c r="P1656" s="9" t="n"/>
    </row>
    <row r="1657">
      <c r="A1657" s="11" t="inlineStr">
        <is>
          <t>Cogwork Wrestler / Lutador Mecânico</t>
        </is>
      </c>
      <c r="B1657" s="11" t="inlineStr">
        <is>
          <t>Artifact Creature — Gnome / Criatura Artefato — Gnomo</t>
        </is>
      </c>
      <c r="C1657" s="11" t="inlineStr">
        <is>
          <t>Common / Comum</t>
        </is>
      </c>
      <c r="D1657" s="11" t="inlineStr">
        <is>
          <t>Flash When this creature enters, target creature an opponent controls gets -2/-0 until end of turn. / Lampejo Quando Lutador Mecânico entra no campo de batalha, a criatura alvo que um oponente controla recebe -2/-0 até o final do turno.</t>
        </is>
      </c>
      <c r="E1657" s="11" t="inlineStr">
        <is>
          <t>{U}</t>
        </is>
      </c>
      <c r="F1657" s="11" t="inlineStr">
        <is>
          <t>Azul</t>
        </is>
      </c>
      <c r="G1657" s="8" t="n">
        <v>0.09</v>
      </c>
      <c r="H1657" s="11" t="inlineStr">
        <is>
          <t>The Lost Caverns of Ixalan (LCI)</t>
        </is>
      </c>
      <c r="I1657" s="11" t="inlineStr">
        <is>
          <t>Não</t>
        </is>
      </c>
      <c r="J1657" s="11" t="n">
        <v>2023</v>
      </c>
      <c r="K1657" s="10" t="n">
        <v>46054</v>
      </c>
      <c r="L1657" s="11" t="n">
        <v>4</v>
      </c>
      <c r="M1657" s="8">
        <f>L1657*G1657</f>
        <v/>
      </c>
      <c r="P1657" s="9" t="n"/>
    </row>
    <row r="1658">
      <c r="A1658" s="11" t="inlineStr">
        <is>
          <t>Reef Worm / Verme do Recife</t>
        </is>
      </c>
      <c r="B1658" s="11" t="inlineStr">
        <is>
          <t>Creature — Worm / Criatura — Verme</t>
        </is>
      </c>
      <c r="C1658" s="11" t="inlineStr">
        <is>
          <t>Rare / Rara</t>
        </is>
      </c>
      <c r="D1658" s="11"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1658" s="11" t="inlineStr">
        <is>
          <t>{3}{U}</t>
        </is>
      </c>
      <c r="F1658" s="11" t="inlineStr">
        <is>
          <t>Azul</t>
        </is>
      </c>
      <c r="G1658" s="8" t="n">
        <v>0.19</v>
      </c>
      <c r="H1658" s="11" t="inlineStr">
        <is>
          <t>Masters 25 (A25)</t>
        </is>
      </c>
      <c r="I1658" s="11" t="inlineStr">
        <is>
          <t>Não</t>
        </is>
      </c>
      <c r="J1658" s="11" t="n">
        <v>2018</v>
      </c>
      <c r="K1658" s="11" t="inlineStr">
        <is>
          <t>0/1</t>
        </is>
      </c>
      <c r="L1658" s="11" t="n">
        <v>1</v>
      </c>
      <c r="M1658" s="8">
        <f>L1658*G1658</f>
        <v/>
      </c>
      <c r="P1658" s="9" t="n"/>
    </row>
    <row r="1659">
      <c r="A1659" s="11" t="inlineStr">
        <is>
          <t>Wetland Sambar / Sâmbar do Charco</t>
        </is>
      </c>
      <c r="B1659" s="11" t="inlineStr">
        <is>
          <t>Creature — Elk / Criatura — Alce</t>
        </is>
      </c>
      <c r="C1659" s="11" t="inlineStr">
        <is>
          <t>Common / Comum</t>
        </is>
      </c>
      <c r="E1659" s="11" t="inlineStr">
        <is>
          <t>{1}{U}</t>
        </is>
      </c>
      <c r="F1659" s="11" t="inlineStr">
        <is>
          <t>Azul</t>
        </is>
      </c>
      <c r="G1659" s="8" t="n">
        <v>0.06</v>
      </c>
      <c r="H1659" s="11" t="inlineStr">
        <is>
          <t>Khans of Tarkir (KTK)</t>
        </is>
      </c>
      <c r="I1659" s="11" t="inlineStr">
        <is>
          <t>Não</t>
        </is>
      </c>
      <c r="J1659" s="11" t="n">
        <v>2014</v>
      </c>
      <c r="K1659" s="10" t="n">
        <v>46024</v>
      </c>
      <c r="L1659" s="11" t="n">
        <v>5</v>
      </c>
      <c r="M1659" s="8">
        <f>L1659*G1659</f>
        <v/>
      </c>
      <c r="P1659" s="9" t="n"/>
    </row>
    <row r="1660">
      <c r="A1660" s="11" t="inlineStr">
        <is>
          <t>Etherium Spinner / Propulsor de Etherium</t>
        </is>
      </c>
      <c r="B1660" s="11" t="inlineStr">
        <is>
          <t>Artifact Creature — Human Wizard / Criatura Artefato — Humano Mago</t>
        </is>
      </c>
      <c r="C1660" s="11" t="inlineStr">
        <is>
          <t>Common / Comum</t>
        </is>
      </c>
      <c r="D1660" s="11"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660" s="11" t="inlineStr">
        <is>
          <t>{2}{U}</t>
        </is>
      </c>
      <c r="F1660" s="11" t="inlineStr">
        <is>
          <t>Azul</t>
        </is>
      </c>
      <c r="G1660" s="8" t="n">
        <v>0.1</v>
      </c>
      <c r="H1660" s="11" t="inlineStr">
        <is>
          <t>Modern Horizons 2 (MH2)</t>
        </is>
      </c>
      <c r="I1660" s="11" t="inlineStr">
        <is>
          <t>Não</t>
        </is>
      </c>
      <c r="J1660" s="11" t="n">
        <v>2021</v>
      </c>
      <c r="K1660" s="10" t="n">
        <v>46024</v>
      </c>
      <c r="L1660" s="11" t="n">
        <v>4</v>
      </c>
      <c r="M1660" s="8">
        <f>L1660*G1660</f>
        <v/>
      </c>
      <c r="P1660" s="9" t="n"/>
    </row>
    <row r="1661">
      <c r="A1661" s="11" t="inlineStr">
        <is>
          <t>Blinding Drone / Zangão Cegante</t>
        </is>
      </c>
      <c r="B1661" s="11" t="inlineStr">
        <is>
          <t>Creature — Eldrazi Drone / Criatura — Eldrazi Zangão</t>
        </is>
      </c>
      <c r="C1661" s="11" t="inlineStr">
        <is>
          <t>Common / Comum</t>
        </is>
      </c>
      <c r="D1661" s="11" t="inlineStr">
        <is>
          <t>Devoid (This card has no color.) {C}, {T}: Tap target creature. ({C} represents colorless mana.) / Desprovido (Este card não tem cor.) {C}, {T}: Vire a criatura alvo. ({C} representa mana incolor.)</t>
        </is>
      </c>
      <c r="E1661" s="11" t="inlineStr">
        <is>
          <t>{1}{U}</t>
        </is>
      </c>
      <c r="F1661" s="11" t="inlineStr">
        <is>
          <t>Azul</t>
        </is>
      </c>
      <c r="G1661" s="8" t="n">
        <v>0.05</v>
      </c>
      <c r="H1661" s="11" t="inlineStr">
        <is>
          <t>Oath of the Gatewatch (OGW)</t>
        </is>
      </c>
      <c r="I1661" s="11" t="inlineStr">
        <is>
          <t>Não</t>
        </is>
      </c>
      <c r="J1661" s="11" t="n">
        <v>2016</v>
      </c>
      <c r="K1661" s="10" t="n">
        <v>46082</v>
      </c>
      <c r="L1661" s="11" t="n">
        <v>1</v>
      </c>
      <c r="M1661" s="8">
        <f>L1661*G1661</f>
        <v/>
      </c>
      <c r="P1661" s="9" t="n"/>
    </row>
    <row r="1662">
      <c r="A1662" s="11" t="inlineStr">
        <is>
          <t>Galvanic Alchemist / Alquimista Galvânico</t>
        </is>
      </c>
      <c r="B1662" s="11" t="inlineStr">
        <is>
          <t>Creature — Human Wizard / Criatura — Humano Mago</t>
        </is>
      </c>
      <c r="C1662" s="11" t="inlineStr">
        <is>
          <t>Common / Comum</t>
        </is>
      </c>
      <c r="D1662" s="11"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662" s="11" t="inlineStr">
        <is>
          <t>{2}{U}</t>
        </is>
      </c>
      <c r="F1662" s="11" t="inlineStr">
        <is>
          <t>Azul</t>
        </is>
      </c>
      <c r="G1662" s="8" t="n">
        <v>0.2</v>
      </c>
      <c r="H1662" s="11" t="inlineStr">
        <is>
          <t>Avacyn Restored (AVR)</t>
        </is>
      </c>
      <c r="I1662" s="11" t="inlineStr">
        <is>
          <t>Não</t>
        </is>
      </c>
      <c r="J1662" s="11" t="n">
        <v>2012</v>
      </c>
      <c r="K1662" s="10" t="n">
        <v>46113</v>
      </c>
      <c r="L1662" s="11" t="n">
        <v>1</v>
      </c>
      <c r="M1662" s="8">
        <f>L1662*G1662</f>
        <v/>
      </c>
      <c r="P1662" s="9" t="n"/>
    </row>
    <row r="1663">
      <c r="A1663" s="11" t="inlineStr">
        <is>
          <t>Screeching Skaab / Skaab Guinchante</t>
        </is>
      </c>
      <c r="B1663" s="11" t="inlineStr">
        <is>
          <t>Creature — Zombie / Criatura — Zumbi</t>
        </is>
      </c>
      <c r="C1663" s="11" t="inlineStr">
        <is>
          <t>Common / Comum</t>
        </is>
      </c>
      <c r="D1663" s="11" t="inlineStr">
        <is>
          <t>When this creature enters, mill two cards. / Quando Skaab Guinchante entrar no campo de batalha, coloque os dois cards do topo de seu grimório em seu cemitério.</t>
        </is>
      </c>
      <c r="E1663" s="11" t="inlineStr">
        <is>
          <t>{1}{U}</t>
        </is>
      </c>
      <c r="F1663" s="11" t="inlineStr">
        <is>
          <t>Azul</t>
        </is>
      </c>
      <c r="G1663" s="8" t="n">
        <v>0.05</v>
      </c>
      <c r="H1663" s="11" t="inlineStr">
        <is>
          <t>Dark Ascension (DKA)</t>
        </is>
      </c>
      <c r="I1663" s="11" t="inlineStr">
        <is>
          <t>Não</t>
        </is>
      </c>
      <c r="J1663" s="11" t="n">
        <v>2012</v>
      </c>
      <c r="K1663" s="10" t="n">
        <v>46024</v>
      </c>
      <c r="L1663" s="11" t="n">
        <v>1</v>
      </c>
      <c r="M1663" s="8">
        <f>L1663*G1663</f>
        <v/>
      </c>
      <c r="P1663" s="9" t="n"/>
    </row>
    <row r="1664">
      <c r="A1664" s="11" t="inlineStr">
        <is>
          <t>Bubble Smuggler / Contrabandista Borbulhante</t>
        </is>
      </c>
      <c r="B1664" s="11" t="inlineStr">
        <is>
          <t>Creature — Octopus Fish / Criatura — Polvo Peixe</t>
        </is>
      </c>
      <c r="C1664" s="11" t="inlineStr">
        <is>
          <t>Common / Comum</t>
        </is>
      </c>
      <c r="D1664" s="11"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1664" s="11" t="inlineStr">
        <is>
          <t>{1}{U}</t>
        </is>
      </c>
      <c r="F1664" s="11" t="inlineStr">
        <is>
          <t>Azul</t>
        </is>
      </c>
      <c r="G1664" s="8" t="n">
        <v>0.22</v>
      </c>
      <c r="H1664" s="11" t="inlineStr">
        <is>
          <t>Murders at Karlov Manor (MKM)</t>
        </is>
      </c>
      <c r="I1664" s="11" t="inlineStr">
        <is>
          <t>Sim</t>
        </is>
      </c>
      <c r="J1664" s="11" t="n">
        <v>2024</v>
      </c>
      <c r="K1664" s="10" t="n">
        <v>46024</v>
      </c>
      <c r="L1664" s="11" t="n">
        <v>1</v>
      </c>
      <c r="M1664" s="8">
        <f>L1664*G1664</f>
        <v/>
      </c>
      <c r="P1664" s="9" t="n"/>
    </row>
    <row r="1665">
      <c r="A1665" s="11" t="inlineStr">
        <is>
          <t>Hullbreaker Horror / Horror Quebra-casco</t>
        </is>
      </c>
      <c r="B1665" s="11" t="inlineStr">
        <is>
          <t>Creature — Kraken Horror / Criatura — Kraken Horror</t>
        </is>
      </c>
      <c r="C1665" s="11" t="inlineStr">
        <is>
          <t>Rare / Rara</t>
        </is>
      </c>
      <c r="D1665" s="11"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1665" s="11" t="inlineStr">
        <is>
          <t>{5}{U}{U}</t>
        </is>
      </c>
      <c r="F1665" s="11" t="inlineStr">
        <is>
          <t>Azul</t>
        </is>
      </c>
      <c r="G1665" s="8" t="n">
        <v>28.8</v>
      </c>
      <c r="H1665" s="11" t="inlineStr">
        <is>
          <t>Innistrad: Crimson Vow (VOW)</t>
        </is>
      </c>
      <c r="I1665" s="11" t="inlineStr">
        <is>
          <t>Não</t>
        </is>
      </c>
      <c r="J1665" s="11" t="n">
        <v>2021</v>
      </c>
      <c r="K1665" s="10" t="n">
        <v>46241</v>
      </c>
      <c r="L1665" s="11" t="n">
        <v>1</v>
      </c>
      <c r="M1665" s="8">
        <f>L1665*G1665</f>
        <v/>
      </c>
      <c r="P1665" s="9" t="n"/>
    </row>
    <row r="1666">
      <c r="A1666" s="11" t="inlineStr">
        <is>
          <t>Tome Anima / Anima dos Tomos</t>
        </is>
      </c>
      <c r="B1666" s="11" t="inlineStr">
        <is>
          <t>Creature — Spirit / Criatura — Espírito</t>
        </is>
      </c>
      <c r="C1666" s="11" t="inlineStr">
        <is>
          <t>Common / Comum</t>
        </is>
      </c>
      <c r="D1666" s="11" t="inlineStr">
        <is>
          <t>This creature can't be blocked as long as you've drawn two or more cards this turn. / Anima dos Tomos não pode ser bloqueado desde que você tenha comprado dois ou mais cards neste turno.</t>
        </is>
      </c>
      <c r="E1666" s="11" t="inlineStr">
        <is>
          <t>{3}{U}</t>
        </is>
      </c>
      <c r="F1666" s="11" t="inlineStr">
        <is>
          <t>Azul</t>
        </is>
      </c>
      <c r="G1666" s="8" t="n">
        <v>0.05</v>
      </c>
      <c r="H1666" s="11" t="inlineStr">
        <is>
          <t>Core Set 2021 (M21)</t>
        </is>
      </c>
      <c r="I1666" s="11" t="inlineStr">
        <is>
          <t>Sim</t>
        </is>
      </c>
      <c r="J1666" s="11" t="n">
        <v>2020</v>
      </c>
      <c r="K1666" s="10" t="n">
        <v>46084</v>
      </c>
      <c r="L1666" s="11" t="n">
        <v>1</v>
      </c>
      <c r="M1666" s="8">
        <f>L1666*G1666</f>
        <v/>
      </c>
      <c r="P1666" s="9" t="n"/>
    </row>
    <row r="1667">
      <c r="A1667" s="11" t="inlineStr">
        <is>
          <t>Jace's Mindseeker / Caça-mentes de Jace</t>
        </is>
      </c>
      <c r="B1667" s="11" t="inlineStr">
        <is>
          <t>Creature — Fish Illusion / Criatura — Peixe Ilusão</t>
        </is>
      </c>
      <c r="C1667" s="11" t="inlineStr">
        <is>
          <t>Rare / Rara</t>
        </is>
      </c>
      <c r="D1667" s="11"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1667" s="11" t="inlineStr">
        <is>
          <t>{4}{U}{U}</t>
        </is>
      </c>
      <c r="F1667" s="11" t="inlineStr">
        <is>
          <t>Azul</t>
        </is>
      </c>
      <c r="G1667" s="8" t="n">
        <v>0.25</v>
      </c>
      <c r="H1667" s="11" t="inlineStr">
        <is>
          <t>Magic 2014 (M14)</t>
        </is>
      </c>
      <c r="I1667" s="11" t="inlineStr">
        <is>
          <t>Não</t>
        </is>
      </c>
      <c r="J1667" s="11" t="n">
        <v>2013</v>
      </c>
      <c r="K1667" s="10" t="n">
        <v>46116</v>
      </c>
      <c r="L1667" s="11" t="n">
        <v>1</v>
      </c>
      <c r="M1667" s="8">
        <f>L1667*G1667</f>
        <v/>
      </c>
      <c r="P1667" s="9" t="n"/>
    </row>
    <row r="1668">
      <c r="A1668" s="11" t="inlineStr">
        <is>
          <t>Dreamshackle Geist / Geist do Grilhão Onírico</t>
        </is>
      </c>
      <c r="B1668" s="11" t="inlineStr">
        <is>
          <t>Creature — Spirit / Criatura — Espírito</t>
        </is>
      </c>
      <c r="C1668" s="11" t="inlineStr">
        <is>
          <t>Rare / Rara</t>
        </is>
      </c>
      <c r="D1668" s="11"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668" s="11" t="inlineStr">
        <is>
          <t>{1}{U}{U}</t>
        </is>
      </c>
      <c r="F1668" s="11" t="inlineStr">
        <is>
          <t>Azul</t>
        </is>
      </c>
      <c r="G1668" s="8" t="n">
        <v>0.3</v>
      </c>
      <c r="H1668" s="11" t="inlineStr">
        <is>
          <t>Innistrad: Crimson Vow (VOW)</t>
        </is>
      </c>
      <c r="I1668" s="11" t="inlineStr">
        <is>
          <t>Não</t>
        </is>
      </c>
      <c r="J1668" s="11" t="n">
        <v>2021</v>
      </c>
      <c r="K1668" s="10" t="n">
        <v>46025</v>
      </c>
      <c r="L1668" s="11" t="n">
        <v>1</v>
      </c>
      <c r="M1668" s="8">
        <f>L1668*G1668</f>
        <v/>
      </c>
      <c r="P1668" s="9" t="n"/>
    </row>
    <row r="1669">
      <c r="A1669" s="11" t="inlineStr">
        <is>
          <t>Futurist Sentinel / Sentinela Futurista</t>
        </is>
      </c>
      <c r="B1669" s="11" t="inlineStr">
        <is>
          <t>Artifact — Vehicle / Artefato — Veículo</t>
        </is>
      </c>
      <c r="C1669" s="11" t="inlineStr">
        <is>
          <t>Common / Comum</t>
        </is>
      </c>
      <c r="D1669" s="11"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669" s="11" t="inlineStr">
        <is>
          <t>{3}{U}</t>
        </is>
      </c>
      <c r="F1669" s="11" t="inlineStr">
        <is>
          <t>Azul</t>
        </is>
      </c>
      <c r="G1669" s="8" t="n">
        <v>0.06</v>
      </c>
      <c r="H1669" s="11" t="inlineStr">
        <is>
          <t>Kamigawa: Neon Dynasty (NEO)</t>
        </is>
      </c>
      <c r="I1669" s="11" t="inlineStr">
        <is>
          <t>Não</t>
        </is>
      </c>
      <c r="J1669" s="11" t="n">
        <v>2022</v>
      </c>
      <c r="K1669" s="10" t="n">
        <v>46179</v>
      </c>
      <c r="L1669" s="11" t="n">
        <v>3</v>
      </c>
      <c r="M1669" s="8">
        <f>L1669*G1669</f>
        <v/>
      </c>
      <c r="P1669" s="9" t="n"/>
    </row>
    <row r="1670">
      <c r="A1670" s="11" t="inlineStr">
        <is>
          <t>Genju of the Falls / Genju das Cataratas</t>
        </is>
      </c>
      <c r="B1670" s="11" t="inlineStr">
        <is>
          <t>Enchantment — Aura / Encantar Ilha</t>
        </is>
      </c>
      <c r="C1670" s="11" t="inlineStr">
        <is>
          <t>Uncommon / Incomum</t>
        </is>
      </c>
      <c r="D1670" s="11"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670" s="11" t="inlineStr">
        <is>
          <t>{U}</t>
        </is>
      </c>
      <c r="F1670" s="11" t="inlineStr">
        <is>
          <t>Azul</t>
        </is>
      </c>
      <c r="G1670" s="8" t="n">
        <v>0.5</v>
      </c>
      <c r="H1670" s="11" t="inlineStr">
        <is>
          <t>Masters 25 (A25)</t>
        </is>
      </c>
      <c r="I1670" s="11" t="inlineStr">
        <is>
          <t>Sim</t>
        </is>
      </c>
      <c r="J1670" s="11" t="n">
        <v>2018</v>
      </c>
      <c r="L1670" s="11" t="n">
        <v>1</v>
      </c>
      <c r="M1670" s="8">
        <f>L1670*G1670</f>
        <v/>
      </c>
      <c r="P1670" s="9" t="n"/>
    </row>
    <row r="1671">
      <c r="A1671" s="11" t="inlineStr">
        <is>
          <t>Chronic Flooding / Alagamento Crônico</t>
        </is>
      </c>
      <c r="B1671" s="11" t="inlineStr">
        <is>
          <t>Enchantment — Aura / Encantamento — Aura</t>
        </is>
      </c>
      <c r="C1671" s="11" t="inlineStr">
        <is>
          <t>Common / Comum</t>
        </is>
      </c>
      <c r="D1671" s="11" t="inlineStr">
        <is>
          <t>Enchant land Whenever enchanted land becomes tapped, its controller mills three cards. / Encantar terreno Toda vez que o terreno encantado é virado, seu controlador coloca os três cards do topo do grimório dele no próprio cemitério.</t>
        </is>
      </c>
      <c r="E1671" s="11" t="inlineStr">
        <is>
          <t>{1}{U}</t>
        </is>
      </c>
      <c r="F1671" s="11" t="inlineStr">
        <is>
          <t>Azul</t>
        </is>
      </c>
      <c r="G1671" s="8" t="n">
        <v>0.05</v>
      </c>
      <c r="H1671" s="11" t="inlineStr">
        <is>
          <t>Return to Ravnica (RTR)</t>
        </is>
      </c>
      <c r="I1671" s="11" t="inlineStr">
        <is>
          <t>Não</t>
        </is>
      </c>
      <c r="J1671" s="11" t="n">
        <v>2012</v>
      </c>
      <c r="L1671" s="11" t="n">
        <v>1</v>
      </c>
      <c r="M1671" s="8">
        <f>L1671*G1671</f>
        <v/>
      </c>
      <c r="P1671" s="9" t="n"/>
    </row>
    <row r="1672">
      <c r="A1672" s="11" t="inlineStr">
        <is>
          <t>Harrier Strix / Estrige Saqueadora</t>
        </is>
      </c>
      <c r="B1672" s="11" t="inlineStr">
        <is>
          <t>Creature — Bird / Criatura — Ave</t>
        </is>
      </c>
      <c r="C1672" s="11" t="inlineStr">
        <is>
          <t>Common / Comum</t>
        </is>
      </c>
      <c r="D1672" s="11" t="inlineStr">
        <is>
          <t>Flying When this creature enters, tap target permanent. {2}{U}: Draw a card, then discard a card. / Voar Quando Estrige Saqueadora entrar no campo de batalha, vire a permanente alvo. {2}{U}: Compre um card e depois descarte um card.</t>
        </is>
      </c>
      <c r="E1672" s="11" t="inlineStr">
        <is>
          <t>{U}</t>
        </is>
      </c>
      <c r="F1672" s="11" t="inlineStr">
        <is>
          <t>Azul</t>
        </is>
      </c>
      <c r="G1672" s="8" t="n">
        <v>0.17</v>
      </c>
      <c r="H1672" s="11" t="inlineStr">
        <is>
          <t>Outlaws of Thunder Junction (OTJ)</t>
        </is>
      </c>
      <c r="I1672" s="11" t="inlineStr">
        <is>
          <t>Não</t>
        </is>
      </c>
      <c r="J1672" s="11" t="n">
        <v>2024</v>
      </c>
      <c r="K1672" s="10" t="n">
        <v>46023</v>
      </c>
      <c r="L1672" s="11" t="n">
        <v>2</v>
      </c>
      <c r="M1672" s="8">
        <f>L1672*G1672</f>
        <v/>
      </c>
      <c r="P1672" s="9" t="n"/>
    </row>
    <row r="1673">
      <c r="A1673" s="11" t="inlineStr">
        <is>
          <t>Stormrider Spirit / Espírito Ginete de Tempestade</t>
        </is>
      </c>
      <c r="B1673" s="11" t="inlineStr">
        <is>
          <t>Creature — Spirit / Criatura — Espírito</t>
        </is>
      </c>
      <c r="C1673" s="11" t="inlineStr">
        <is>
          <t>Common / Comum</t>
        </is>
      </c>
      <c r="D1673" s="11" t="inlineStr">
        <is>
          <t>Flash Flying / Lampejo Voar</t>
        </is>
      </c>
      <c r="E1673" s="11" t="inlineStr">
        <is>
          <t>{4}{U}</t>
        </is>
      </c>
      <c r="F1673" s="11" t="inlineStr">
        <is>
          <t>Azul</t>
        </is>
      </c>
      <c r="G1673" s="8" t="n">
        <v>0.09</v>
      </c>
      <c r="H1673" s="11" t="inlineStr">
        <is>
          <t>Innistrad: Midnight Hunt (MID)</t>
        </is>
      </c>
      <c r="I1673" s="11" t="inlineStr">
        <is>
          <t>Não</t>
        </is>
      </c>
      <c r="J1673" s="11" t="n">
        <v>2021</v>
      </c>
      <c r="K1673" s="10" t="n">
        <v>46084</v>
      </c>
      <c r="L1673" s="11" t="n">
        <v>2</v>
      </c>
      <c r="M1673" s="8">
        <f>L1673*G1673</f>
        <v/>
      </c>
      <c r="P1673" s="9" t="n"/>
    </row>
    <row r="1674">
      <c r="A1674" s="11" t="inlineStr">
        <is>
          <t>The Mirari Conjecture / A Conjectura do Mirari</t>
        </is>
      </c>
      <c r="B1674" s="11" t="inlineStr">
        <is>
          <t>Enchantment — Saga / Encantamento — Saga</t>
        </is>
      </c>
      <c r="C1674" s="11" t="inlineStr">
        <is>
          <t>Rare / Rara</t>
        </is>
      </c>
      <c r="D1674" s="11"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1674" s="11" t="inlineStr">
        <is>
          <t>{4}{U}</t>
        </is>
      </c>
      <c r="F1674" s="11" t="inlineStr">
        <is>
          <t>Azul</t>
        </is>
      </c>
      <c r="G1674" s="8" t="n">
        <v>0.27</v>
      </c>
      <c r="H1674" s="11" t="inlineStr">
        <is>
          <t>Dominaria (DOM)</t>
        </is>
      </c>
      <c r="I1674" s="11" t="inlineStr">
        <is>
          <t>Não</t>
        </is>
      </c>
      <c r="J1674" s="11" t="n">
        <v>2018</v>
      </c>
      <c r="L1674" s="11" t="n">
        <v>1</v>
      </c>
      <c r="M1674" s="8">
        <f>L1674*G1674</f>
        <v/>
      </c>
      <c r="P1674" s="9" t="n"/>
    </row>
    <row r="1675">
      <c r="A1675" s="11" t="inlineStr">
        <is>
          <t>Helm of the Ghastlord / Elmo do Lorde Fantasmal</t>
        </is>
      </c>
      <c r="B1675" s="11" t="inlineStr">
        <is>
          <t>Enchantment — Aura / Encantamento — Aura</t>
        </is>
      </c>
      <c r="C1675" s="11" t="inlineStr">
        <is>
          <t>Common / Comum</t>
        </is>
      </c>
      <c r="D1675" s="11"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1675" s="11" t="inlineStr">
        <is>
          <t>{3}{U/B}</t>
        </is>
      </c>
      <c r="F1675" s="11" t="inlineStr">
        <is>
          <t>Preto, Azul</t>
        </is>
      </c>
      <c r="G1675" s="8" t="n">
        <v>16</v>
      </c>
      <c r="H1675" s="11" t="inlineStr">
        <is>
          <t>Shadowmoor (SHM)</t>
        </is>
      </c>
      <c r="I1675" s="11" t="inlineStr">
        <is>
          <t>Não</t>
        </is>
      </c>
      <c r="J1675" s="11" t="n">
        <v>2008</v>
      </c>
      <c r="L1675" s="11" t="n">
        <v>1</v>
      </c>
      <c r="M1675" s="8">
        <f>L1675*G1675</f>
        <v/>
      </c>
      <c r="P1675" s="9" t="n"/>
    </row>
    <row r="1676">
      <c r="A1676" s="11" t="inlineStr">
        <is>
          <t>Cryoshatter</t>
        </is>
      </c>
      <c r="B1676" s="11" t="inlineStr">
        <is>
          <t>Enchantment — Aura</t>
        </is>
      </c>
      <c r="C1676" s="11" t="inlineStr">
        <is>
          <t>Common / Comum</t>
        </is>
      </c>
      <c r="D1676" s="11" t="inlineStr">
        <is>
          <t>Enchant creature Enchanted creature gets -5/-0. When enchanted creature becomes tapped or is dealt damage, destroy it.</t>
        </is>
      </c>
      <c r="E1676" s="11" t="inlineStr">
        <is>
          <t>{U}</t>
        </is>
      </c>
      <c r="F1676" s="11" t="inlineStr">
        <is>
          <t>Azul</t>
        </is>
      </c>
      <c r="G1676" s="8" t="n">
        <v>0.33</v>
      </c>
      <c r="H1676" s="11" t="inlineStr">
        <is>
          <t>Edge of Eternities (EOE)</t>
        </is>
      </c>
      <c r="I1676" s="11" t="inlineStr">
        <is>
          <t>Sim</t>
        </is>
      </c>
      <c r="J1676" s="11" t="n">
        <v>2025</v>
      </c>
      <c r="L1676" s="11" t="n">
        <v>2</v>
      </c>
      <c r="M1676" s="8">
        <f>L1676*G1676</f>
        <v/>
      </c>
      <c r="P1676" s="9" t="n"/>
    </row>
    <row r="1677">
      <c r="A1677" s="11" t="inlineStr">
        <is>
          <t>Weakstone's Subjugation / Subjugação da Pedra de Fraqueza</t>
        </is>
      </c>
      <c r="B1677" s="11" t="inlineStr">
        <is>
          <t>Enchantment — Aura / Encantamento — Aura</t>
        </is>
      </c>
      <c r="C1677" s="11" t="inlineStr">
        <is>
          <t>Common / Comum</t>
        </is>
      </c>
      <c r="D1677" s="11"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1677" s="11" t="inlineStr">
        <is>
          <t>{U}</t>
        </is>
      </c>
      <c r="F1677" s="11" t="inlineStr">
        <is>
          <t>Azul</t>
        </is>
      </c>
      <c r="G1677" s="8" t="n">
        <v>0.33</v>
      </c>
      <c r="H1677" s="11" t="inlineStr">
        <is>
          <t>The Brothers' War (BRO)</t>
        </is>
      </c>
      <c r="I1677" s="11" t="inlineStr">
        <is>
          <t>Sim</t>
        </is>
      </c>
      <c r="J1677" s="11" t="n">
        <v>2022</v>
      </c>
      <c r="L1677" s="11" t="n">
        <v>1</v>
      </c>
      <c r="M1677" s="8">
        <f>L1677*G1677</f>
        <v/>
      </c>
      <c r="P1677" s="9" t="n"/>
    </row>
    <row r="1678">
      <c r="A1678" s="11" t="inlineStr">
        <is>
          <t>Jace, Vryn's Prodigy // Jace, Telepath Unbound / Jace, Prodígio de Vryn // Jace, Telepata Ilimitado</t>
        </is>
      </c>
      <c r="B1678" s="11" t="inlineStr">
        <is>
          <t>Legendary Creature — Human Wizard // Legendary Planeswalker — Jace / Criatura Lendária — Humano Mago</t>
        </is>
      </c>
      <c r="C1678" s="11" t="inlineStr">
        <is>
          <t>Mythic / Mítica</t>
        </is>
      </c>
      <c r="D1678" s="11"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1678" s="11" t="inlineStr">
        <is>
          <t>{1}{U}</t>
        </is>
      </c>
      <c r="F1678" s="11" t="inlineStr">
        <is>
          <t>Azul</t>
        </is>
      </c>
      <c r="G1678" s="8" t="n">
        <v>0.99</v>
      </c>
      <c r="H1678" s="11" t="inlineStr">
        <is>
          <t>Magic Origins (ORI)</t>
        </is>
      </c>
      <c r="I1678" s="11" t="inlineStr">
        <is>
          <t>Não</t>
        </is>
      </c>
      <c r="J1678" s="11" t="n">
        <v>2015</v>
      </c>
      <c r="K1678" s="11" t="inlineStr">
        <is>
          <t>0/2</t>
        </is>
      </c>
      <c r="L1678" s="11" t="n">
        <v>1</v>
      </c>
      <c r="M1678" s="8">
        <f>L1678*G1678</f>
        <v/>
      </c>
      <c r="P1678" s="9" t="n"/>
    </row>
    <row r="1679">
      <c r="A1679" s="11" t="inlineStr">
        <is>
          <t>Murk Strider / Andarilho do Lodo</t>
        </is>
      </c>
      <c r="B1679" s="11" t="inlineStr">
        <is>
          <t>Creature — Eldrazi Processor / Criatura — Eldrazi Processador</t>
        </is>
      </c>
      <c r="C1679" s="11" t="inlineStr">
        <is>
          <t>Common / Comum</t>
        </is>
      </c>
      <c r="D1679" s="11"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1679" s="11" t="inlineStr">
        <is>
          <t>{3}{U}</t>
        </is>
      </c>
      <c r="F1679" s="11" t="inlineStr">
        <is>
          <t>Azul</t>
        </is>
      </c>
      <c r="G1679" s="8" t="n">
        <v>0.06</v>
      </c>
      <c r="H1679" s="11" t="inlineStr">
        <is>
          <t>Battle for Zendikar (BFZ)</t>
        </is>
      </c>
      <c r="I1679" s="11" t="inlineStr">
        <is>
          <t>Não</t>
        </is>
      </c>
      <c r="J1679" s="11" t="n">
        <v>2015</v>
      </c>
      <c r="K1679" s="10" t="n">
        <v>46056</v>
      </c>
      <c r="L1679" s="11" t="n">
        <v>5</v>
      </c>
      <c r="M1679" s="8">
        <f>L1679*G1679</f>
        <v/>
      </c>
      <c r="P1679" s="9" t="n"/>
    </row>
    <row r="1680">
      <c r="A1680" s="11" t="inlineStr">
        <is>
          <t>Leech Bonder / Aplicador de Sanguessuga</t>
        </is>
      </c>
      <c r="B1680" s="11" t="inlineStr">
        <is>
          <t>Creature — Merfolk Soldier / Criatura — Tritão Soldado</t>
        </is>
      </c>
      <c r="C1680" s="11" t="inlineStr">
        <is>
          <t>Uncommon / Incomum</t>
        </is>
      </c>
      <c r="D1680" s="11"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1680" s="11" t="inlineStr">
        <is>
          <t>{2}{U}</t>
        </is>
      </c>
      <c r="F1680" s="11" t="inlineStr">
        <is>
          <t>Azul</t>
        </is>
      </c>
      <c r="G1680" s="8" t="n">
        <v>0.08</v>
      </c>
      <c r="H1680" s="11" t="inlineStr">
        <is>
          <t>Shadowmoor (SHM)</t>
        </is>
      </c>
      <c r="I1680" s="11" t="inlineStr">
        <is>
          <t>Não</t>
        </is>
      </c>
      <c r="J1680" s="11" t="n">
        <v>2008</v>
      </c>
      <c r="K1680" s="10" t="n">
        <v>46084</v>
      </c>
      <c r="L1680" s="11" t="n">
        <v>1</v>
      </c>
      <c r="M1680" s="8">
        <f>L1680*G1680</f>
        <v/>
      </c>
      <c r="P1680" s="9" t="n"/>
    </row>
    <row r="1681">
      <c r="A1681" s="11" t="inlineStr">
        <is>
          <t>Griptide / Corrente de Refluxo</t>
        </is>
      </c>
      <c r="B1681" s="11" t="inlineStr">
        <is>
          <t>Instant / Mágica Instantânea</t>
        </is>
      </c>
      <c r="C1681" s="11" t="inlineStr">
        <is>
          <t>Common / Comum</t>
        </is>
      </c>
      <c r="D1681" s="11" t="inlineStr">
        <is>
          <t>Put target creature on top of its owner's library. / Coloque a criatura alvo no topo do grimório de seu dono.</t>
        </is>
      </c>
      <c r="E1681" s="11" t="inlineStr">
        <is>
          <t>{3}{U}</t>
        </is>
      </c>
      <c r="F1681" s="11" t="inlineStr">
        <is>
          <t>Azul</t>
        </is>
      </c>
      <c r="G1681" s="8" t="n">
        <v>0.05</v>
      </c>
      <c r="H1681" s="11" t="inlineStr">
        <is>
          <t>Duel Decks: Jace vs. Vraska (DDM)</t>
        </is>
      </c>
      <c r="I1681" s="11" t="inlineStr">
        <is>
          <t>Não</t>
        </is>
      </c>
      <c r="J1681" s="11" t="n">
        <v>2014</v>
      </c>
      <c r="L1681" s="11" t="n">
        <v>1</v>
      </c>
      <c r="M1681" s="8">
        <f>L1681*G1681</f>
        <v/>
      </c>
      <c r="P1681" s="9" t="n"/>
    </row>
    <row r="1682">
      <c r="A1682" s="11" t="inlineStr">
        <is>
          <t>Merrow Wavebreakers / Sirenídeos Saltadores</t>
        </is>
      </c>
      <c r="B1682" s="11" t="inlineStr">
        <is>
          <t>Creature — Merfolk Soldier / Criatura — Tritão Soldado</t>
        </is>
      </c>
      <c r="C1682" s="11" t="inlineStr">
        <is>
          <t>Common / Comum</t>
        </is>
      </c>
      <c r="D1682" s="11" t="inlineStr">
        <is>
          <t>{1}{U}, {Q}: This creature gains flying until end of turn. ({Q} is the untap symbol.) / {1}{U}, {Q}: Sirenídeos Saltadores ganha voar até o final do turno. ({Q} é o símbolo de desvirar.)</t>
        </is>
      </c>
      <c r="E1682" s="11" t="inlineStr">
        <is>
          <t>{4}{U}</t>
        </is>
      </c>
      <c r="F1682" s="11" t="inlineStr">
        <is>
          <t>Azul</t>
        </is>
      </c>
      <c r="G1682" s="8" t="n">
        <v>0.05</v>
      </c>
      <c r="H1682" s="11" t="inlineStr">
        <is>
          <t>Shadowmoor (SHM)</t>
        </is>
      </c>
      <c r="I1682" s="11" t="inlineStr">
        <is>
          <t>Não</t>
        </is>
      </c>
      <c r="J1682" s="11" t="n">
        <v>2008</v>
      </c>
      <c r="K1682" s="10" t="n">
        <v>46084</v>
      </c>
      <c r="L1682" s="11" t="n">
        <v>1</v>
      </c>
      <c r="M1682" s="8">
        <f>L1682*G1682</f>
        <v/>
      </c>
      <c r="P1682" s="9" t="n"/>
    </row>
    <row r="1683">
      <c r="A1683" s="11" t="inlineStr">
        <is>
          <t>Hightide Hermit / Eremita da Maré Alta</t>
        </is>
      </c>
      <c r="B1683" s="11" t="inlineStr">
        <is>
          <t>Creature — Crab / Criatura — Caranguejo</t>
        </is>
      </c>
      <c r="C1683" s="11" t="inlineStr">
        <is>
          <t>Common / Comum</t>
        </is>
      </c>
      <c r="D1683" s="11"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1683" s="11" t="inlineStr">
        <is>
          <t>{4}{U}</t>
        </is>
      </c>
      <c r="F1683" s="11" t="inlineStr">
        <is>
          <t>Azul</t>
        </is>
      </c>
      <c r="G1683" s="8" t="n">
        <v>0.03</v>
      </c>
      <c r="H1683" s="11" t="inlineStr">
        <is>
          <t>Kaladesh (KLD)</t>
        </is>
      </c>
      <c r="I1683" s="11" t="inlineStr">
        <is>
          <t>Não</t>
        </is>
      </c>
      <c r="J1683" s="11" t="n">
        <v>2016</v>
      </c>
      <c r="K1683" s="10" t="n">
        <v>46116</v>
      </c>
      <c r="L1683" s="11" t="n">
        <v>2</v>
      </c>
      <c r="M1683" s="8">
        <f>L1683*G1683</f>
        <v/>
      </c>
      <c r="P1683" s="9" t="n"/>
    </row>
    <row r="1684">
      <c r="A1684" s="11" t="inlineStr">
        <is>
          <t>Saving Grasp / Mão Salvadora</t>
        </is>
      </c>
      <c r="B1684" s="11" t="inlineStr">
        <is>
          <t>Instant / Mágica Instantânea</t>
        </is>
      </c>
      <c r="C1684" s="11" t="inlineStr">
        <is>
          <t>Common / Comum</t>
        </is>
      </c>
      <c r="D1684" s="11"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1684" s="11" t="inlineStr">
        <is>
          <t>{U}</t>
        </is>
      </c>
      <c r="F1684" s="11" t="inlineStr">
        <is>
          <t>Azul</t>
        </is>
      </c>
      <c r="G1684" s="8" t="n">
        <v>0.04</v>
      </c>
      <c r="H1684" s="11" t="inlineStr">
        <is>
          <t>Dark Ascension (DKA)</t>
        </is>
      </c>
      <c r="I1684" s="11" t="inlineStr">
        <is>
          <t>Não</t>
        </is>
      </c>
      <c r="J1684" s="11" t="n">
        <v>2012</v>
      </c>
      <c r="L1684" s="11" t="n">
        <v>2</v>
      </c>
      <c r="M1684" s="8">
        <f>L1684*G1684</f>
        <v/>
      </c>
      <c r="P1684" s="9" t="n"/>
    </row>
    <row r="1685">
      <c r="A1685" s="11" t="inlineStr">
        <is>
          <t>Ancient Crab / Caranguejo Ancião</t>
        </is>
      </c>
      <c r="B1685" s="11" t="inlineStr">
        <is>
          <t>Creature — Crab / Criatura — Caranguejo</t>
        </is>
      </c>
      <c r="C1685" s="11" t="inlineStr">
        <is>
          <t>Common / Comum</t>
        </is>
      </c>
      <c r="E1685" s="11" t="inlineStr">
        <is>
          <t>{1}{U}{U}</t>
        </is>
      </c>
      <c r="F1685" s="11" t="inlineStr">
        <is>
          <t>Azul</t>
        </is>
      </c>
      <c r="G1685" s="8" t="n">
        <v>0.05</v>
      </c>
      <c r="H1685" s="11" t="inlineStr">
        <is>
          <t>Oath of the Gatewatch (OGW)</t>
        </is>
      </c>
      <c r="I1685" s="11" t="inlineStr">
        <is>
          <t>Não</t>
        </is>
      </c>
      <c r="J1685" s="11" t="n">
        <v>2016</v>
      </c>
      <c r="K1685" s="10" t="n">
        <v>46143</v>
      </c>
      <c r="L1685" s="11" t="n">
        <v>3</v>
      </c>
      <c r="M1685" s="8">
        <f>L1685*G1685</f>
        <v/>
      </c>
      <c r="P1685" s="9" t="n"/>
    </row>
    <row r="1686">
      <c r="A1686" s="11" t="inlineStr">
        <is>
          <t>Wretched Throng / Multidão Abominável</t>
        </is>
      </c>
      <c r="B1686" s="11" t="inlineStr">
        <is>
          <t>Creature — Zombie Horror / Criatura — Zumbi Horror</t>
        </is>
      </c>
      <c r="C1686" s="11" t="inlineStr">
        <is>
          <t>Common / Comum</t>
        </is>
      </c>
      <c r="D1686" s="11"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1686" s="11" t="inlineStr">
        <is>
          <t>{1}{U}</t>
        </is>
      </c>
      <c r="F1686" s="11" t="inlineStr">
        <is>
          <t>Azul</t>
        </is>
      </c>
      <c r="G1686" s="8" t="n">
        <v>0.07000000000000001</v>
      </c>
      <c r="H1686" s="11" t="inlineStr">
        <is>
          <t>Innistrad: Crimson Vow (VOW)</t>
        </is>
      </c>
      <c r="I1686" s="11" t="inlineStr">
        <is>
          <t>Não</t>
        </is>
      </c>
      <c r="J1686" s="11" t="n">
        <v>2021</v>
      </c>
      <c r="K1686" s="10" t="n">
        <v>46024</v>
      </c>
      <c r="L1686" s="11" t="n">
        <v>4</v>
      </c>
      <c r="M1686" s="8">
        <f>L1686*G1686</f>
        <v/>
      </c>
      <c r="P1686" s="9" t="n"/>
    </row>
    <row r="1687">
      <c r="A1687" s="11" t="inlineStr">
        <is>
          <t>Headless Skaab / Skaab Sem Cabeça</t>
        </is>
      </c>
      <c r="B1687" s="11" t="inlineStr">
        <is>
          <t>Creature — Zombie Warrior / Criatura — Zumbi Guerreiro</t>
        </is>
      </c>
      <c r="C1687" s="11" t="inlineStr">
        <is>
          <t>Common / Comum</t>
        </is>
      </c>
      <c r="D1687" s="11"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1687" s="11" t="inlineStr">
        <is>
          <t>{2}{U}</t>
        </is>
      </c>
      <c r="F1687" s="11" t="inlineStr">
        <is>
          <t>Azul</t>
        </is>
      </c>
      <c r="G1687" s="8" t="n">
        <v>0.07000000000000001</v>
      </c>
      <c r="H1687" s="11" t="inlineStr">
        <is>
          <t>Dark Ascension (DKA)</t>
        </is>
      </c>
      <c r="I1687" s="11" t="inlineStr">
        <is>
          <t>Não</t>
        </is>
      </c>
      <c r="J1687" s="11" t="n">
        <v>2012</v>
      </c>
      <c r="K1687" s="10" t="n">
        <v>46176</v>
      </c>
      <c r="L1687" s="11" t="n">
        <v>2</v>
      </c>
      <c r="M1687" s="8">
        <f>L1687*G1687</f>
        <v/>
      </c>
      <c r="P1687" s="9" t="n"/>
    </row>
    <row r="1688">
      <c r="A1688" s="11" t="inlineStr">
        <is>
          <t>Exclude / Excluir</t>
        </is>
      </c>
      <c r="B1688" s="11" t="inlineStr">
        <is>
          <t>Instant / Mágica Instantânea</t>
        </is>
      </c>
      <c r="C1688" s="11" t="inlineStr">
        <is>
          <t>Uncommon / Incomum</t>
        </is>
      </c>
      <c r="D1688" s="11" t="inlineStr">
        <is>
          <t>Counter target creature spell. Draw a card. / Anule a mágica de criatura alvo. Compre um card.</t>
        </is>
      </c>
      <c r="E1688" s="11" t="inlineStr">
        <is>
          <t>{2}{U}</t>
        </is>
      </c>
      <c r="F1688" s="11" t="inlineStr">
        <is>
          <t>Azul</t>
        </is>
      </c>
      <c r="G1688" s="8" t="n">
        <v>0.25</v>
      </c>
      <c r="H1688" s="11" t="inlineStr">
        <is>
          <t>Masters 25 (A25)</t>
        </is>
      </c>
      <c r="I1688" s="11" t="inlineStr">
        <is>
          <t>Não</t>
        </is>
      </c>
      <c r="J1688" s="11" t="n">
        <v>2018</v>
      </c>
      <c r="L1688" s="11" t="n">
        <v>1</v>
      </c>
      <c r="M1688" s="8">
        <f>L1688*G1688</f>
        <v/>
      </c>
      <c r="P1688" s="9" t="n"/>
    </row>
    <row r="1689">
      <c r="A1689" s="11" t="inlineStr">
        <is>
          <t>Exclude / Excluir</t>
        </is>
      </c>
      <c r="B1689" s="11" t="inlineStr">
        <is>
          <t>Instant / Mágica Instantânea</t>
        </is>
      </c>
      <c r="C1689" s="11" t="inlineStr">
        <is>
          <t>Common / Comum</t>
        </is>
      </c>
      <c r="D1689" s="11" t="inlineStr">
        <is>
          <t>Counter target creature spell. Draw a card. / Anule a mágica de criatura alvo. Compre um card.</t>
        </is>
      </c>
      <c r="E1689" s="11" t="inlineStr">
        <is>
          <t>{2}{U}</t>
        </is>
      </c>
      <c r="F1689" s="11" t="inlineStr">
        <is>
          <t>Azul</t>
        </is>
      </c>
      <c r="G1689" s="8" t="n">
        <v>0.25</v>
      </c>
      <c r="H1689" s="11" t="inlineStr">
        <is>
          <t>Commander Masters (CMM)</t>
        </is>
      </c>
      <c r="I1689" s="11" t="inlineStr">
        <is>
          <t>Sim</t>
        </is>
      </c>
      <c r="J1689" s="11" t="n">
        <v>2023</v>
      </c>
      <c r="L1689" s="11" t="n">
        <v>1</v>
      </c>
      <c r="M1689" s="8" t="n"/>
      <c r="P1689" s="9" t="n"/>
    </row>
    <row r="1690">
      <c r="A1690" s="11" t="inlineStr">
        <is>
          <t>Dire Downdraft</t>
        </is>
      </c>
      <c r="B1690" s="11" t="inlineStr">
        <is>
          <t>Instant</t>
        </is>
      </c>
      <c r="C1690" s="11" t="inlineStr">
        <is>
          <t>Common / Comum</t>
        </is>
      </c>
      <c r="D1690" s="11" t="inlineStr">
        <is>
          <t>This spell costs {1} less to cast if it targets an attacking or tapped creature. Target creature's owner puts it on their choice of the top or bottom of their library.</t>
        </is>
      </c>
      <c r="E1690" s="11" t="inlineStr">
        <is>
          <t>{3}{U}</t>
        </is>
      </c>
      <c r="F1690" s="11" t="inlineStr">
        <is>
          <t>Azul</t>
        </is>
      </c>
      <c r="G1690" s="8" t="n">
        <v>0.04</v>
      </c>
      <c r="H1690" s="11" t="inlineStr">
        <is>
          <t>Bloomburrow (BLB)</t>
        </is>
      </c>
      <c r="I1690" s="11" t="inlineStr">
        <is>
          <t>Não</t>
        </is>
      </c>
      <c r="J1690" s="11" t="n">
        <v>2024</v>
      </c>
      <c r="L1690" s="11" t="n">
        <v>1</v>
      </c>
      <c r="M1690" s="8">
        <f>L1690*G1690</f>
        <v/>
      </c>
      <c r="P1690" s="9" t="n"/>
    </row>
    <row r="1691">
      <c r="A1691" s="11" t="inlineStr">
        <is>
          <t>Summary Dismissal / Dispensa Sumária</t>
        </is>
      </c>
      <c r="B1691" s="11" t="inlineStr">
        <is>
          <t>Instant / Mágica Instantânea</t>
        </is>
      </c>
      <c r="C1691" s="11" t="inlineStr">
        <is>
          <t>Rare / Rara</t>
        </is>
      </c>
      <c r="D1691" s="11" t="inlineStr">
        <is>
          <t>Exile all other spells and counter all abilities. / Exile todas as outras mágicas e anule todas as habilidades.</t>
        </is>
      </c>
      <c r="E1691" s="11" t="inlineStr">
        <is>
          <t>{2}{U}{U}</t>
        </is>
      </c>
      <c r="F1691" s="11" t="inlineStr">
        <is>
          <t>Azul</t>
        </is>
      </c>
      <c r="G1691" s="8" t="n">
        <v>0.25</v>
      </c>
      <c r="H1691" s="11" t="inlineStr">
        <is>
          <t>Eldritch Moon (EMN)</t>
        </is>
      </c>
      <c r="I1691" s="11" t="inlineStr">
        <is>
          <t>Não</t>
        </is>
      </c>
      <c r="J1691" s="11" t="n">
        <v>2016</v>
      </c>
      <c r="L1691" s="11" t="n">
        <v>1</v>
      </c>
      <c r="M1691" s="8">
        <f>L1691*G1691</f>
        <v/>
      </c>
      <c r="P1691" s="9" t="n"/>
    </row>
    <row r="1692">
      <c r="A1692" s="11" t="inlineStr">
        <is>
          <t>Discover the Impossible / Descobrir o Impossível</t>
        </is>
      </c>
      <c r="B1692" s="11" t="inlineStr">
        <is>
          <t>Instant / Mágica Instantânea</t>
        </is>
      </c>
      <c r="C1692" s="11" t="inlineStr">
        <is>
          <t>Uncommon / Incomum</t>
        </is>
      </c>
      <c r="D1692" s="11"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692" s="11" t="inlineStr">
        <is>
          <t>{2}{U}</t>
        </is>
      </c>
      <c r="F1692" s="11" t="inlineStr">
        <is>
          <t>Azul</t>
        </is>
      </c>
      <c r="G1692" s="8" t="n">
        <v>0.13</v>
      </c>
      <c r="H1692" s="11" t="inlineStr">
        <is>
          <t>Kamigawa: Neon Dynasty (NEO)</t>
        </is>
      </c>
      <c r="I1692" s="11" t="inlineStr">
        <is>
          <t>Não</t>
        </is>
      </c>
      <c r="J1692" s="11" t="n">
        <v>2022</v>
      </c>
      <c r="L1692" s="11" t="n">
        <v>1</v>
      </c>
      <c r="M1692" s="8">
        <f>L1692*G1692</f>
        <v/>
      </c>
      <c r="P1692" s="9" t="n"/>
    </row>
    <row r="1693">
      <c r="A1693" s="11" t="inlineStr">
        <is>
          <t>Essence Capture / Captura de Essência</t>
        </is>
      </c>
      <c r="B1693" s="11" t="inlineStr">
        <is>
          <t>Instant / Mágica Instantânea</t>
        </is>
      </c>
      <c r="C1693" s="11" t="inlineStr">
        <is>
          <t>Uncommon / Incomum</t>
        </is>
      </c>
      <c r="D1693" s="11" t="inlineStr">
        <is>
          <t>Counter target creature spell. Put a +1/+1 counter on up to one target creature you control. / Anule a mágica de criatura alvo. Coloque um marcador +1/+1 em até uma criatura alvo que você controla.</t>
        </is>
      </c>
      <c r="E1693" s="11" t="inlineStr">
        <is>
          <t>{U}{U}</t>
        </is>
      </c>
      <c r="F1693" s="11" t="inlineStr">
        <is>
          <t>Azul</t>
        </is>
      </c>
      <c r="G1693" s="8" t="n">
        <v>0.07000000000000001</v>
      </c>
      <c r="H1693" s="11" t="inlineStr">
        <is>
          <t>Ravnica Allegiance (RNA)</t>
        </is>
      </c>
      <c r="I1693" s="11" t="inlineStr">
        <is>
          <t>Não</t>
        </is>
      </c>
      <c r="J1693" s="11" t="n">
        <v>2019</v>
      </c>
      <c r="L1693" s="11" t="n">
        <v>1</v>
      </c>
      <c r="M1693" s="8">
        <f>L1693*G1693</f>
        <v/>
      </c>
      <c r="P1693" s="9" t="n"/>
    </row>
    <row r="1694">
      <c r="A1694" s="11" t="inlineStr">
        <is>
          <t>Thought Collapse / Colapso do Pensamento</t>
        </is>
      </c>
      <c r="B1694" s="11" t="inlineStr">
        <is>
          <t>Instant / Mágica Instantânea</t>
        </is>
      </c>
      <c r="C1694" s="11" t="inlineStr">
        <is>
          <t>Common / Comum</t>
        </is>
      </c>
      <c r="D1694" s="11" t="inlineStr">
        <is>
          <t>Counter target spell. Its controller mills three cards. / Anule a mágica alvo. Seu controlador coloca os três cards do topo do próprio grimório no próprio cemitério.</t>
        </is>
      </c>
      <c r="E1694" s="11" t="inlineStr">
        <is>
          <t>{1}{U}{U}</t>
        </is>
      </c>
      <c r="F1694" s="11" t="inlineStr">
        <is>
          <t>Azul</t>
        </is>
      </c>
      <c r="G1694" s="8" t="n">
        <v>0.06</v>
      </c>
      <c r="H1694" s="11" t="inlineStr">
        <is>
          <t>Ravnica Allegiance (RNA)</t>
        </is>
      </c>
      <c r="I1694" s="11" t="inlineStr">
        <is>
          <t>Não</t>
        </is>
      </c>
      <c r="J1694" s="11" t="n">
        <v>2019</v>
      </c>
      <c r="L1694" s="11" t="n">
        <v>3</v>
      </c>
      <c r="M1694" s="8">
        <f>L1694*G1694</f>
        <v/>
      </c>
      <c r="P1694" s="9" t="n"/>
    </row>
    <row r="1695">
      <c r="A1695" s="11" t="inlineStr">
        <is>
          <t>Quench / Arrefecer</t>
        </is>
      </c>
      <c r="B1695" s="11" t="inlineStr">
        <is>
          <t>Instant / Mágica Instantânea</t>
        </is>
      </c>
      <c r="C1695" s="11" t="inlineStr">
        <is>
          <t>Common / Comum</t>
        </is>
      </c>
      <c r="D1695" s="11" t="inlineStr">
        <is>
          <t>Counter target spell unless its controller pays {2}. / Anule a mágica alvo, a menos que seu controlador pague {2}.</t>
        </is>
      </c>
      <c r="E1695" s="11" t="inlineStr">
        <is>
          <t>{1}{U}</t>
        </is>
      </c>
      <c r="F1695" s="11" t="inlineStr">
        <is>
          <t>Azul</t>
        </is>
      </c>
      <c r="G1695" s="8" t="n">
        <v>0.04</v>
      </c>
      <c r="H1695" s="11" t="inlineStr">
        <is>
          <t>Ravnica Allegiance (RNA)</t>
        </is>
      </c>
      <c r="I1695" s="11" t="inlineStr">
        <is>
          <t>Não</t>
        </is>
      </c>
      <c r="J1695" s="11" t="n">
        <v>2019</v>
      </c>
      <c r="L1695" s="11" t="n">
        <v>2</v>
      </c>
      <c r="M1695" s="8">
        <f>L1695*G1695</f>
        <v/>
      </c>
      <c r="P1695" s="9" t="n"/>
    </row>
    <row r="1696">
      <c r="A1696" s="11" t="inlineStr">
        <is>
          <t>Mystical Teachings / Ensinamentos Místicos</t>
        </is>
      </c>
      <c r="B1696" s="11" t="inlineStr">
        <is>
          <t>Instant / Mágica Instantânea</t>
        </is>
      </c>
      <c r="C1696" s="11" t="inlineStr">
        <is>
          <t>Common / Comum</t>
        </is>
      </c>
      <c r="D1696" s="11"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1696" s="11" t="inlineStr">
        <is>
          <t>{3}{U}</t>
        </is>
      </c>
      <c r="F1696" s="11" t="inlineStr">
        <is>
          <t>Azul</t>
        </is>
      </c>
      <c r="G1696" s="8" t="n">
        <v>0.3</v>
      </c>
      <c r="H1696" s="11" t="inlineStr">
        <is>
          <t>Modern Masters 2017 (MM3)</t>
        </is>
      </c>
      <c r="I1696" s="11" t="inlineStr">
        <is>
          <t>Não</t>
        </is>
      </c>
      <c r="J1696" s="11" t="n">
        <v>2017</v>
      </c>
      <c r="L1696" s="11" t="n">
        <v>2</v>
      </c>
      <c r="M1696" s="8">
        <f>L1696*G1696</f>
        <v/>
      </c>
      <c r="P1696" s="9" t="n"/>
    </row>
    <row r="1697">
      <c r="A1697" s="11" t="inlineStr">
        <is>
          <t>Make Disappear / Fazer Desaparecer</t>
        </is>
      </c>
      <c r="B1697" s="11" t="inlineStr">
        <is>
          <t>Instant / Mágica Instantânea</t>
        </is>
      </c>
      <c r="C1697" s="11" t="inlineStr">
        <is>
          <t>Common / Comum</t>
        </is>
      </c>
      <c r="D1697" s="11"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1697" s="11" t="inlineStr">
        <is>
          <t>{1}{U}</t>
        </is>
      </c>
      <c r="F1697" s="11" t="inlineStr">
        <is>
          <t>Azul</t>
        </is>
      </c>
      <c r="G1697" s="8" t="n">
        <v>0.4</v>
      </c>
      <c r="H1697" s="11" t="inlineStr">
        <is>
          <t>Streets of New Capenna (SNC)</t>
        </is>
      </c>
      <c r="I1697" s="11" t="inlineStr">
        <is>
          <t>Sim</t>
        </is>
      </c>
      <c r="J1697" s="11" t="n">
        <v>2022</v>
      </c>
      <c r="L1697" s="11" t="n">
        <v>4</v>
      </c>
      <c r="M1697" s="8">
        <f>L1697*G1697</f>
        <v/>
      </c>
      <c r="P1697" s="9" t="n"/>
    </row>
    <row r="1698">
      <c r="A1698" s="11" t="inlineStr">
        <is>
          <t>Deduce / Deduzir</t>
        </is>
      </c>
      <c r="B1698" s="11" t="inlineStr">
        <is>
          <t>Instant / Mágica Instantânea</t>
        </is>
      </c>
      <c r="C1698" s="11" t="inlineStr">
        <is>
          <t>Common / Comum</t>
        </is>
      </c>
      <c r="D1698" s="11" t="inlineStr">
        <is>
          <t>Draw a card. Investigate. (Create a Clue token. It's an artifact with "{2}, Sacrifice this token: Draw a card.") / Compre um card. Investigue. (Crie uma ficha de Pista. Ela é um artefato com "{2}, sacrifique este artefato: Compre um card".)</t>
        </is>
      </c>
      <c r="E1698" s="11" t="inlineStr">
        <is>
          <t>{1}{U}</t>
        </is>
      </c>
      <c r="F1698" s="11" t="inlineStr">
        <is>
          <t>Azul</t>
        </is>
      </c>
      <c r="G1698" s="8" t="n">
        <v>0.25</v>
      </c>
      <c r="H1698" s="11" t="inlineStr">
        <is>
          <t>Murders at Karlov Manor (MKM)</t>
        </is>
      </c>
      <c r="I1698" s="11" t="inlineStr">
        <is>
          <t>Não</t>
        </is>
      </c>
      <c r="J1698" s="11" t="n">
        <v>2024</v>
      </c>
      <c r="L1698" s="11" t="n">
        <v>1</v>
      </c>
      <c r="M1698" s="8">
        <f>L1698*G1698</f>
        <v/>
      </c>
      <c r="P1698" s="9" t="n"/>
    </row>
    <row r="1699">
      <c r="A1699" s="11" t="inlineStr">
        <is>
          <t>Blink of an Eye / Piscar de Olhos</t>
        </is>
      </c>
      <c r="B1699" s="11" t="inlineStr">
        <is>
          <t>Instant / Mágica Instantânea</t>
        </is>
      </c>
      <c r="C1699" s="11" t="inlineStr">
        <is>
          <t>Common / Comum</t>
        </is>
      </c>
      <c r="D1699" s="11"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699" s="11" t="inlineStr">
        <is>
          <t>{1}{U}</t>
        </is>
      </c>
      <c r="F1699" s="11" t="inlineStr">
        <is>
          <t>Azul</t>
        </is>
      </c>
      <c r="G1699" s="8" t="n">
        <v>0.07000000000000001</v>
      </c>
      <c r="H1699" s="11" t="inlineStr">
        <is>
          <t>Dominaria (DOM)</t>
        </is>
      </c>
      <c r="I1699" s="11" t="inlineStr">
        <is>
          <t>Não</t>
        </is>
      </c>
      <c r="J1699" s="11" t="n">
        <v>2018</v>
      </c>
      <c r="L1699" s="11" t="n">
        <v>2</v>
      </c>
      <c r="M1699" s="8">
        <f>L1699*G1699</f>
        <v/>
      </c>
      <c r="P1699" s="9" t="n"/>
    </row>
    <row r="1700">
      <c r="A1700" s="11" t="inlineStr">
        <is>
          <t>Steel Sabotage / Sabotagem de Aço</t>
        </is>
      </c>
      <c r="B1700" s="11" t="inlineStr">
        <is>
          <t>Instant / Mágica Instantânea</t>
        </is>
      </c>
      <c r="C1700" s="11" t="inlineStr">
        <is>
          <t>Common / Comum</t>
        </is>
      </c>
      <c r="D1700" s="11" t="inlineStr">
        <is>
          <t>Choose one — • Counter target artifact spell. • Return target artifact to its owner's hand. / Escolha um — Anule a mágica de artefato alvo; ou devolva o artefato alvo para a mão de seu dono.</t>
        </is>
      </c>
      <c r="E1700" s="11" t="inlineStr">
        <is>
          <t>{U}</t>
        </is>
      </c>
      <c r="F1700" s="11" t="inlineStr">
        <is>
          <t>Azul</t>
        </is>
      </c>
      <c r="G1700" s="8" t="n">
        <v>2.02</v>
      </c>
      <c r="H1700" s="11" t="inlineStr">
        <is>
          <t>Mirrodin Besieged (MBS)</t>
        </is>
      </c>
      <c r="I1700" s="11" t="inlineStr">
        <is>
          <t>Não</t>
        </is>
      </c>
      <c r="J1700" s="11" t="n">
        <v>2011</v>
      </c>
      <c r="L1700" s="11" t="n">
        <v>2</v>
      </c>
      <c r="M1700" s="8">
        <f>L1700*G1700</f>
        <v/>
      </c>
      <c r="P1700" s="9" t="n"/>
    </row>
    <row r="1701">
      <c r="A1701" s="11" t="inlineStr">
        <is>
          <t>Moment of Truth / Hora da Verdade</t>
        </is>
      </c>
      <c r="B1701" s="11" t="inlineStr">
        <is>
          <t>Instant / Mágica Instantânea</t>
        </is>
      </c>
      <c r="C1701" s="11" t="inlineStr">
        <is>
          <t>Common / Comum</t>
        </is>
      </c>
      <c r="D1701" s="11"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1701" s="11" t="inlineStr">
        <is>
          <t>{1}{U}</t>
        </is>
      </c>
      <c r="F1701" s="11" t="inlineStr">
        <is>
          <t>Azul</t>
        </is>
      </c>
      <c r="G1701" s="8" t="n">
        <v>0.2</v>
      </c>
      <c r="H1701" s="11" t="inlineStr">
        <is>
          <t>March of the Machine (MOM)</t>
        </is>
      </c>
      <c r="I1701" s="11" t="inlineStr">
        <is>
          <t>Não</t>
        </is>
      </c>
      <c r="J1701" s="11" t="n">
        <v>2023</v>
      </c>
      <c r="L1701" s="11" t="n">
        <v>1</v>
      </c>
      <c r="M1701" s="8">
        <f>L1701*G1701</f>
        <v/>
      </c>
      <c r="P1701" s="9" t="n"/>
    </row>
    <row r="1702">
      <c r="A1702" s="11" t="inlineStr">
        <is>
          <t>Think Twice / Pensar Duas Vezes</t>
        </is>
      </c>
      <c r="B1702" s="11" t="inlineStr">
        <is>
          <t>Instant / Mágica Instantânea</t>
        </is>
      </c>
      <c r="C1702" s="11" t="inlineStr">
        <is>
          <t>Common / Comum</t>
        </is>
      </c>
      <c r="D1702" s="11" t="inlineStr">
        <is>
          <t>Draw a card. Flashback {2}{U} (You may cast this card from your graveyard for its flashback cost. Then exile it.) / Compre um card. Recapitular {2}{U} (Você pode conjurar este card de seu cemitério pagando seu custo de recapitular. Depois, exile-o.)</t>
        </is>
      </c>
      <c r="E1702" s="11" t="inlineStr">
        <is>
          <t>{1}{U}</t>
        </is>
      </c>
      <c r="F1702" s="11" t="inlineStr">
        <is>
          <t>Azul</t>
        </is>
      </c>
      <c r="G1702" s="8" t="n">
        <v>0.05</v>
      </c>
      <c r="H1702" s="11" t="inlineStr">
        <is>
          <t>Historic Anthology 4 (HA4)</t>
        </is>
      </c>
      <c r="I1702" s="11" t="inlineStr">
        <is>
          <t>Não</t>
        </is>
      </c>
      <c r="J1702" s="11" t="n">
        <v>2021</v>
      </c>
      <c r="L1702" s="11" t="n">
        <v>2</v>
      </c>
      <c r="M1702" s="8">
        <f>L1702*G1702</f>
        <v/>
      </c>
      <c r="P1702" s="9" t="n"/>
    </row>
    <row r="1703">
      <c r="A1703" s="11" t="inlineStr">
        <is>
          <t>Radical Idea / Ideia Radical</t>
        </is>
      </c>
      <c r="B1703" s="11" t="inlineStr">
        <is>
          <t>Instant / Mágica Instantânea</t>
        </is>
      </c>
      <c r="C1703" s="11" t="inlineStr">
        <is>
          <t>Common / Comum</t>
        </is>
      </c>
      <c r="D1703" s="11"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1703" s="11" t="inlineStr">
        <is>
          <t>{1}{U}</t>
        </is>
      </c>
      <c r="F1703" s="11" t="inlineStr">
        <is>
          <t>Azul</t>
        </is>
      </c>
      <c r="G1703" s="8" t="n">
        <v>0.04</v>
      </c>
      <c r="H1703" s="11" t="inlineStr">
        <is>
          <t>Guilds of Ravnica (GRN)</t>
        </is>
      </c>
      <c r="I1703" s="11" t="inlineStr">
        <is>
          <t>Não</t>
        </is>
      </c>
      <c r="J1703" s="11" t="n">
        <v>2018</v>
      </c>
      <c r="L1703" s="11" t="n">
        <v>4</v>
      </c>
      <c r="M1703" s="8">
        <f>L1703*G1703</f>
        <v/>
      </c>
      <c r="P1703" s="9" t="n"/>
    </row>
    <row r="1704">
      <c r="A1704" s="11" t="inlineStr">
        <is>
          <t>Deep-Sea Terror / Terror das Profundezas</t>
        </is>
      </c>
      <c r="B1704" s="11" t="inlineStr">
        <is>
          <t>Creature — Serpent / Criatura — Serpente</t>
        </is>
      </c>
      <c r="C1704" s="11" t="inlineStr">
        <is>
          <t>Common / Comum</t>
        </is>
      </c>
      <c r="D1704" s="11" t="inlineStr">
        <is>
          <t>This creature can't attack unless there are seven or more cards in your graveyard. / Terror das Profundezas não pode atacar a menos que haja sete cards ou mais em seu cemitério.</t>
        </is>
      </c>
      <c r="E1704" s="11" t="inlineStr">
        <is>
          <t>{4}{U}{U}</t>
        </is>
      </c>
      <c r="F1704" s="11" t="inlineStr">
        <is>
          <t>Azul</t>
        </is>
      </c>
      <c r="G1704" s="8" t="n">
        <v>0.05</v>
      </c>
      <c r="H1704" s="11" t="inlineStr">
        <is>
          <t>Magic Origins (ORI)</t>
        </is>
      </c>
      <c r="I1704" s="11" t="inlineStr">
        <is>
          <t>Não</t>
        </is>
      </c>
      <c r="J1704" s="11" t="n">
        <v>2015</v>
      </c>
      <c r="K1704" s="10" t="n">
        <v>46179</v>
      </c>
      <c r="L1704" s="11" t="n">
        <v>1</v>
      </c>
      <c r="M1704" s="8">
        <f>L1704*G1704</f>
        <v/>
      </c>
      <c r="P1704" s="9" t="n"/>
    </row>
    <row r="1705">
      <c r="A1705" s="11" t="inlineStr">
        <is>
          <t>Tolarian Scholar / Escolástico Tolariano</t>
        </is>
      </c>
      <c r="B1705" s="11" t="inlineStr">
        <is>
          <t>Creature — Human Wizard / Criatura — Humano Mago</t>
        </is>
      </c>
      <c r="C1705" s="11" t="inlineStr">
        <is>
          <t>Common / Comum</t>
        </is>
      </c>
      <c r="E1705" s="11" t="inlineStr">
        <is>
          <t>{2}{U}</t>
        </is>
      </c>
      <c r="F1705" s="11" t="inlineStr">
        <is>
          <t>Azul</t>
        </is>
      </c>
      <c r="G1705" s="8" t="n">
        <v>0.03</v>
      </c>
      <c r="H1705" s="11" t="inlineStr">
        <is>
          <t>Core Set 2019 (M19)</t>
        </is>
      </c>
      <c r="I1705" s="11" t="inlineStr">
        <is>
          <t>Não</t>
        </is>
      </c>
      <c r="J1705" s="11" t="n">
        <v>2018</v>
      </c>
      <c r="K1705" s="10" t="n">
        <v>46083</v>
      </c>
      <c r="L1705" s="11" t="n">
        <v>3</v>
      </c>
      <c r="M1705" s="8">
        <f>L1705*G1705</f>
        <v/>
      </c>
      <c r="P1705" s="9" t="n"/>
    </row>
    <row r="1706">
      <c r="A1706" s="11" t="inlineStr">
        <is>
          <t>Naga Eternal / Eterna Naga</t>
        </is>
      </c>
      <c r="B1706" s="11" t="inlineStr">
        <is>
          <t>Creature — Zombie Snake / Criatura — Zumbi Naga</t>
        </is>
      </c>
      <c r="C1706" s="11" t="inlineStr">
        <is>
          <t>Common / Comum</t>
        </is>
      </c>
      <c r="E1706" s="11" t="inlineStr">
        <is>
          <t>{2}{U}</t>
        </is>
      </c>
      <c r="F1706" s="11" t="inlineStr">
        <is>
          <t>Azul</t>
        </is>
      </c>
      <c r="G1706" s="8" t="n">
        <v>0.02</v>
      </c>
      <c r="H1706" s="11" t="inlineStr">
        <is>
          <t>War of the Spark (WAR)</t>
        </is>
      </c>
      <c r="I1706" s="11" t="inlineStr">
        <is>
          <t>Não</t>
        </is>
      </c>
      <c r="J1706" s="11" t="n">
        <v>2019</v>
      </c>
      <c r="K1706" s="10" t="n">
        <v>46056</v>
      </c>
      <c r="L1706" s="11" t="n">
        <v>2</v>
      </c>
      <c r="M1706" s="8">
        <f>L1706*G1706</f>
        <v/>
      </c>
      <c r="P1706" s="9" t="n"/>
    </row>
    <row r="1707">
      <c r="A1707" s="11" t="inlineStr">
        <is>
          <t>Sage's Row Denizen / Habitante da Travessa dos Sábios</t>
        </is>
      </c>
      <c r="B1707" s="11" t="inlineStr">
        <is>
          <t>Creature — Vedalken Wizard / Criatura — Vedalkeano Mago</t>
        </is>
      </c>
      <c r="C1707" s="11" t="inlineStr">
        <is>
          <t>Common / Comum</t>
        </is>
      </c>
      <c r="D1707" s="11" t="inlineStr">
        <is>
          <t>Whenever another blue creature you control enters, target player mills two cards. / Toda vez que outra criatura azul entra no campo de batalha sob o seu controle, o jogador alvo coloca os dois cards do topo do grimório dele no próprio cemitério.</t>
        </is>
      </c>
      <c r="E1707" s="11" t="inlineStr">
        <is>
          <t>{2}{U}</t>
        </is>
      </c>
      <c r="F1707" s="11" t="inlineStr">
        <is>
          <t>Azul</t>
        </is>
      </c>
      <c r="G1707" s="8" t="n">
        <v>0.09</v>
      </c>
      <c r="H1707" s="11" t="inlineStr">
        <is>
          <t>Gatecrash (GTC)</t>
        </is>
      </c>
      <c r="I1707" s="11" t="inlineStr">
        <is>
          <t>Não</t>
        </is>
      </c>
      <c r="J1707" s="11" t="n">
        <v>2013</v>
      </c>
      <c r="K1707" s="10" t="n">
        <v>46083</v>
      </c>
      <c r="L1707" s="11" t="n">
        <v>1</v>
      </c>
      <c r="M1707" s="8">
        <f>L1707*G1707</f>
        <v/>
      </c>
      <c r="P1707" s="9" t="n"/>
    </row>
    <row r="1708">
      <c r="A1708" s="11" t="inlineStr">
        <is>
          <t>Steelfin Whale / Baleia Barbatana-de-aço</t>
        </is>
      </c>
      <c r="B1708" s="11" t="inlineStr">
        <is>
          <t>Creature — Whale / Criatura — Baleia</t>
        </is>
      </c>
      <c r="C1708" s="11" t="inlineStr">
        <is>
          <t>Common / Comum</t>
        </is>
      </c>
      <c r="D1708" s="11"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1708" s="11" t="inlineStr">
        <is>
          <t>{5}{U}</t>
        </is>
      </c>
      <c r="F1708" s="11" t="inlineStr">
        <is>
          <t>Azul</t>
        </is>
      </c>
      <c r="G1708" s="8" t="n">
        <v>0.14</v>
      </c>
      <c r="H1708" s="11" t="inlineStr">
        <is>
          <t>Modern Horizons 2 (MH2)</t>
        </is>
      </c>
      <c r="I1708" s="11" t="inlineStr">
        <is>
          <t>Sim</t>
        </is>
      </c>
      <c r="J1708" s="11" t="n">
        <v>2021</v>
      </c>
      <c r="K1708" s="10" t="n">
        <v>46115</v>
      </c>
      <c r="L1708" s="11" t="n">
        <v>4</v>
      </c>
      <c r="M1708" s="8">
        <f>L1708*G1708</f>
        <v/>
      </c>
      <c r="P1708" s="9" t="n"/>
    </row>
    <row r="1709">
      <c r="A1709" s="11" t="inlineStr">
        <is>
          <t>Wind Drake / Dragonete do Vento</t>
        </is>
      </c>
      <c r="B1709" s="11" t="inlineStr">
        <is>
          <t>Creature — Drake / Criatura — Dragonete</t>
        </is>
      </c>
      <c r="C1709" s="11" t="inlineStr">
        <is>
          <t>Common / Comum</t>
        </is>
      </c>
      <c r="D1709" s="11" t="inlineStr">
        <is>
          <t>Flying / Voar</t>
        </is>
      </c>
      <c r="E1709" s="11" t="inlineStr">
        <is>
          <t>{2}{U}</t>
        </is>
      </c>
      <c r="F1709" s="11" t="inlineStr">
        <is>
          <t>Azul</t>
        </is>
      </c>
      <c r="G1709" s="8" t="n">
        <v>0.06</v>
      </c>
      <c r="H1709" s="11" t="inlineStr">
        <is>
          <t>The List (PLST)</t>
        </is>
      </c>
      <c r="I1709" s="11" t="inlineStr">
        <is>
          <t>Não</t>
        </is>
      </c>
      <c r="J1709" s="11" t="n">
        <v>2019</v>
      </c>
      <c r="K1709" s="10" t="n">
        <v>46055</v>
      </c>
      <c r="L1709" s="11" t="n">
        <v>2</v>
      </c>
      <c r="M1709" s="8">
        <f>L1709*G1709</f>
        <v/>
      </c>
      <c r="P1709" s="9" t="n"/>
    </row>
    <row r="1710">
      <c r="A1710" s="11" t="inlineStr">
        <is>
          <t>Curio Vendor / Vendedora de Raridades</t>
        </is>
      </c>
      <c r="B1710" s="11" t="inlineStr">
        <is>
          <t>Creature — Vedalken / Criatura — Vedalkeano</t>
        </is>
      </c>
      <c r="C1710" s="11" t="inlineStr">
        <is>
          <t>Common / Comum</t>
        </is>
      </c>
      <c r="E1710" s="11" t="inlineStr">
        <is>
          <t>{1}{U}</t>
        </is>
      </c>
      <c r="F1710" s="11" t="inlineStr">
        <is>
          <t>Azul</t>
        </is>
      </c>
      <c r="G1710" s="8" t="n">
        <v>0.03</v>
      </c>
      <c r="H1710" s="11" t="inlineStr">
        <is>
          <t>Kaladesh (KLD)</t>
        </is>
      </c>
      <c r="I1710" s="11" t="inlineStr">
        <is>
          <t>Não</t>
        </is>
      </c>
      <c r="J1710" s="11" t="n">
        <v>2016</v>
      </c>
      <c r="K1710" s="10" t="n">
        <v>46024</v>
      </c>
      <c r="L1710" s="11" t="n">
        <v>2</v>
      </c>
      <c r="M1710" s="8">
        <f>L1710*G1710</f>
        <v/>
      </c>
      <c r="P1710" s="9" t="n"/>
    </row>
    <row r="1711">
      <c r="A1711" s="11" t="inlineStr">
        <is>
          <t>Turn Aside / Desviar Olhar</t>
        </is>
      </c>
      <c r="B1711" s="11" t="inlineStr">
        <is>
          <t>Instant / Mágica Instantânea</t>
        </is>
      </c>
      <c r="C1711" s="11" t="inlineStr">
        <is>
          <t>Common / Comum</t>
        </is>
      </c>
      <c r="D1711" s="11" t="inlineStr">
        <is>
          <t>Counter target spell that targets a permanent you control. / Anule a mágica alvo que tenha como alvo uma permanente que você controla.</t>
        </is>
      </c>
      <c r="E1711" s="11" t="inlineStr">
        <is>
          <t>{U}</t>
        </is>
      </c>
      <c r="F1711" s="11" t="inlineStr">
        <is>
          <t>Azul</t>
        </is>
      </c>
      <c r="G1711" s="8" t="n">
        <v>0.25</v>
      </c>
      <c r="H1711" s="11" t="inlineStr">
        <is>
          <t>Scars of Mirrodin (SOM)</t>
        </is>
      </c>
      <c r="I1711" s="11" t="inlineStr">
        <is>
          <t>Não</t>
        </is>
      </c>
      <c r="J1711" s="11" t="n">
        <v>2010</v>
      </c>
      <c r="L1711" s="11" t="n">
        <v>4</v>
      </c>
      <c r="M1711" s="8">
        <f>L1711*G1711</f>
        <v/>
      </c>
      <c r="P1711" s="9" t="n"/>
    </row>
    <row r="1712">
      <c r="A1712" s="11" t="inlineStr">
        <is>
          <t>Spell Pierce / Perfurar Mágica</t>
        </is>
      </c>
      <c r="B1712" s="11" t="inlineStr">
        <is>
          <t>Instant / Mágica Instantânea</t>
        </is>
      </c>
      <c r="C1712" s="11" t="inlineStr">
        <is>
          <t>Common / Comum</t>
        </is>
      </c>
      <c r="D1712" s="11" t="inlineStr">
        <is>
          <t>Counter target noncreature spell unless its controller pays {2}. / Anule a mágica não de criatura alvo, a menos que seu controlador pague {2}.</t>
        </is>
      </c>
      <c r="E1712" s="11" t="inlineStr">
        <is>
          <t>{U}</t>
        </is>
      </c>
      <c r="F1712" s="11" t="inlineStr">
        <is>
          <t>Azul</t>
        </is>
      </c>
      <c r="G1712" s="8" t="n">
        <v>0.5</v>
      </c>
      <c r="H1712" s="11" t="inlineStr">
        <is>
          <t>Kamigawa: Neon Dynasty (NEO)</t>
        </is>
      </c>
      <c r="I1712" s="11" t="inlineStr">
        <is>
          <t>Não</t>
        </is>
      </c>
      <c r="J1712" s="11" t="n">
        <v>2022</v>
      </c>
      <c r="L1712" s="11" t="n">
        <v>2</v>
      </c>
      <c r="M1712" s="8">
        <f>L1712*G1712</f>
        <v/>
      </c>
      <c r="P1712" s="9" t="n"/>
    </row>
    <row r="1713">
      <c r="A1713" s="11" t="inlineStr">
        <is>
          <t>Spell Pierce / Perfurar Mágica</t>
        </is>
      </c>
      <c r="B1713" s="11" t="inlineStr">
        <is>
          <t>Instant / Mágica Instantânea</t>
        </is>
      </c>
      <c r="C1713" s="11" t="inlineStr">
        <is>
          <t>Rare / Rara</t>
        </is>
      </c>
      <c r="D1713" s="11" t="inlineStr">
        <is>
          <t>Counter target noncreature spell unless its controller pays {2}. / Anule a mágica não de criatura alvo, a menos que seu controlador pague {2}.</t>
        </is>
      </c>
      <c r="E1713" s="11" t="inlineStr">
        <is>
          <t>{U}</t>
        </is>
      </c>
      <c r="F1713" s="11" t="inlineStr">
        <is>
          <t>Azul</t>
        </is>
      </c>
      <c r="G1713" s="8" t="n">
        <v>1.8</v>
      </c>
      <c r="H1713" s="11" t="inlineStr">
        <is>
          <t>Store Championships (SCH)</t>
        </is>
      </c>
      <c r="I1713" s="11" t="inlineStr">
        <is>
          <t>Não</t>
        </is>
      </c>
      <c r="J1713" s="11" t="n">
        <v>2022</v>
      </c>
      <c r="L1713" s="11" t="n">
        <v>1</v>
      </c>
      <c r="M1713" s="8" t="n"/>
      <c r="P1713" s="9" t="n"/>
    </row>
    <row r="1714">
      <c r="A1714" s="11" t="inlineStr">
        <is>
          <t>Fading Hope / Esperança Evanescente</t>
        </is>
      </c>
      <c r="B1714" s="11" t="inlineStr">
        <is>
          <t>Instant / Mágica Instantânea</t>
        </is>
      </c>
      <c r="C1714" s="11" t="inlineStr">
        <is>
          <t>Uncommon / Incomum</t>
        </is>
      </c>
      <c r="D1714" s="11"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714" s="11" t="inlineStr">
        <is>
          <t>{U}</t>
        </is>
      </c>
      <c r="F1714" s="11" t="inlineStr">
        <is>
          <t>Azul</t>
        </is>
      </c>
      <c r="G1714" s="8" t="n">
        <v>1</v>
      </c>
      <c r="H1714" s="11" t="inlineStr">
        <is>
          <t>Innistrad: Midnight Hunt (MID)</t>
        </is>
      </c>
      <c r="I1714" s="11" t="inlineStr">
        <is>
          <t>Não</t>
        </is>
      </c>
      <c r="J1714" s="11" t="n">
        <v>2021</v>
      </c>
      <c r="L1714" s="11" t="n">
        <v>2</v>
      </c>
      <c r="M1714" s="8">
        <f>L1714*G1714</f>
        <v/>
      </c>
      <c r="P1714" s="9" t="n"/>
    </row>
    <row r="1715">
      <c r="A1715" s="11" t="inlineStr">
        <is>
          <t>Spire Serpent / Serpente Pontiaguda</t>
        </is>
      </c>
      <c r="B1715" s="11" t="inlineStr">
        <is>
          <t>Creature — Serpent / Criatura — Serpente</t>
        </is>
      </c>
      <c r="C1715" s="11" t="inlineStr">
        <is>
          <t>Common / Comum</t>
        </is>
      </c>
      <c r="D1715" s="11"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1715" s="11" t="inlineStr">
        <is>
          <t>{4}{U}</t>
        </is>
      </c>
      <c r="F1715" s="11" t="inlineStr">
        <is>
          <t>Azul</t>
        </is>
      </c>
      <c r="G1715" s="8" t="n">
        <v>0.05</v>
      </c>
      <c r="H1715" s="11" t="inlineStr">
        <is>
          <t>Mirrodin Besieged (MBS)</t>
        </is>
      </c>
      <c r="I1715" s="11" t="inlineStr">
        <is>
          <t>Não</t>
        </is>
      </c>
      <c r="J1715" s="11" t="n">
        <v>2011</v>
      </c>
      <c r="K1715" s="10" t="n">
        <v>46145</v>
      </c>
      <c r="L1715" s="11" t="n">
        <v>1</v>
      </c>
      <c r="M1715" s="8">
        <f>L1715*G1715</f>
        <v/>
      </c>
      <c r="P1715" s="9" t="n"/>
    </row>
    <row r="1716">
      <c r="A1716" s="11" t="inlineStr">
        <is>
          <t>Shriekgeist / Geist do Grito</t>
        </is>
      </c>
      <c r="B1716" s="11" t="inlineStr">
        <is>
          <t>Creature — Spirit / Criatura — Espírito</t>
        </is>
      </c>
      <c r="C1716" s="11" t="inlineStr">
        <is>
          <t>Common / Comum</t>
        </is>
      </c>
      <c r="D1716" s="11" t="inlineStr">
        <is>
          <t>Flying Whenever this creature deals combat damage to a player, that player mills two cards. / Voar Toda vez que Geist do Grito causa dano de combate a um jogador, aquele jogador coloca os dois cards do topo do grimório dele no próprio cemitério.</t>
        </is>
      </c>
      <c r="E1716" s="11" t="inlineStr">
        <is>
          <t>{1}{U}</t>
        </is>
      </c>
      <c r="F1716" s="11" t="inlineStr">
        <is>
          <t>Azul</t>
        </is>
      </c>
      <c r="G1716" s="8" t="n">
        <v>0.09</v>
      </c>
      <c r="H1716" s="11" t="inlineStr">
        <is>
          <t>Dark Ascension (DKA)</t>
        </is>
      </c>
      <c r="I1716" s="11" t="inlineStr">
        <is>
          <t>Não</t>
        </is>
      </c>
      <c r="J1716" s="11" t="n">
        <v>2012</v>
      </c>
      <c r="K1716" s="10" t="n">
        <v>46023</v>
      </c>
      <c r="L1716" s="11" t="n">
        <v>1</v>
      </c>
      <c r="M1716" s="8">
        <f>L1716*G1716</f>
        <v/>
      </c>
      <c r="P1716" s="9" t="n"/>
    </row>
    <row r="1717">
      <c r="A1717" s="11" t="inlineStr">
        <is>
          <t>Nephalia Seakite / Gavião Marinho de Nefália</t>
        </is>
      </c>
      <c r="B1717" s="11" t="inlineStr">
        <is>
          <t>Creature — Bird / Criatura — Ave</t>
        </is>
      </c>
      <c r="C1717" s="11" t="inlineStr">
        <is>
          <t>Common / Comum</t>
        </is>
      </c>
      <c r="D1717" s="11" t="inlineStr">
        <is>
          <t>Flash (You may cast this spell any time you could cast an instant.) Flying / Lampejo (Você poderá conjurar esta mágica a qualquer momento em que puder conjurar uma mágica instantânea.)Voar</t>
        </is>
      </c>
      <c r="E1717" s="11" t="inlineStr">
        <is>
          <t>{3}{U}</t>
        </is>
      </c>
      <c r="F1717" s="11" t="inlineStr">
        <is>
          <t>Azul</t>
        </is>
      </c>
      <c r="G1717" s="8" t="n">
        <v>0.05</v>
      </c>
      <c r="H1717" s="11" t="inlineStr">
        <is>
          <t>Dark Ascension (DKA)</t>
        </is>
      </c>
      <c r="I1717" s="11" t="inlineStr">
        <is>
          <t>Não</t>
        </is>
      </c>
      <c r="J1717" s="11" t="n">
        <v>2012</v>
      </c>
      <c r="K1717" s="10" t="n">
        <v>46083</v>
      </c>
      <c r="L1717" s="11" t="n">
        <v>1</v>
      </c>
      <c r="M1717" s="8">
        <f>L1717*G1717</f>
        <v/>
      </c>
      <c r="P1717" s="9" t="n"/>
    </row>
    <row r="1718">
      <c r="A1718" s="11" t="inlineStr">
        <is>
          <t>Consider / Considerar</t>
        </is>
      </c>
      <c r="B1718" s="11" t="inlineStr">
        <is>
          <t>Instant / Mágica Instantânea</t>
        </is>
      </c>
      <c r="C1718" s="11" t="inlineStr">
        <is>
          <t>Rare / Rara</t>
        </is>
      </c>
      <c r="D1718" s="11" t="inlineStr">
        <is>
          <t>Surveil 1. (Look at the top card of your library. You may put it into your graveyard.) Draw a card. / Olhe o card do topo de seu grimório. Você pode colocar aquele card em seu cemitério. Compre um card.</t>
        </is>
      </c>
      <c r="E1718" s="11" t="inlineStr">
        <is>
          <t>{U}</t>
        </is>
      </c>
      <c r="F1718" s="11" t="inlineStr">
        <is>
          <t>Azul</t>
        </is>
      </c>
      <c r="G1718" s="8" t="n">
        <v>4</v>
      </c>
      <c r="H1718" s="11" t="inlineStr">
        <is>
          <t>Secret Lair Drop (SLD)</t>
        </is>
      </c>
      <c r="I1718" s="11" t="inlineStr">
        <is>
          <t>Não</t>
        </is>
      </c>
      <c r="J1718" s="11" t="n">
        <v>2024</v>
      </c>
      <c r="L1718" s="11" t="n">
        <v>4</v>
      </c>
      <c r="M1718" s="8">
        <f>L1718*G1718</f>
        <v/>
      </c>
      <c r="P1718" s="9" t="n"/>
    </row>
    <row r="1719">
      <c r="A1719" s="11" t="inlineStr">
        <is>
          <t>Commence the Endgame / Iniciar Plano Final</t>
        </is>
      </c>
      <c r="B1719" s="11" t="inlineStr">
        <is>
          <t>Instant / Mágica Instantânea</t>
        </is>
      </c>
      <c r="C1719" s="11" t="inlineStr">
        <is>
          <t>Rare / Rara</t>
        </is>
      </c>
      <c r="D1719" s="11"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1719" s="11" t="inlineStr">
        <is>
          <t>{4}{U}{U}</t>
        </is>
      </c>
      <c r="F1719" s="11" t="inlineStr">
        <is>
          <t>Azul</t>
        </is>
      </c>
      <c r="G1719" s="8" t="n">
        <v>0.25</v>
      </c>
      <c r="H1719" s="11" t="inlineStr">
        <is>
          <t>War of the Spark (WAR)</t>
        </is>
      </c>
      <c r="I1719" s="11" t="inlineStr">
        <is>
          <t>Não</t>
        </is>
      </c>
      <c r="J1719" s="11" t="n">
        <v>2019</v>
      </c>
      <c r="L1719" s="11" t="n">
        <v>2</v>
      </c>
      <c r="M1719" s="8">
        <f>L1719*G1719</f>
        <v/>
      </c>
      <c r="P1719" s="9" t="n"/>
    </row>
    <row r="1720">
      <c r="A1720" s="11" t="inlineStr">
        <is>
          <t>Cackling Counterpart / Dupla de Bufões</t>
        </is>
      </c>
      <c r="B1720" s="11" t="inlineStr">
        <is>
          <t>Instant / Mágica Instantânea</t>
        </is>
      </c>
      <c r="C1720" s="11" t="inlineStr">
        <is>
          <t>Rare / Rara</t>
        </is>
      </c>
      <c r="D1720" s="11"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1720" s="11" t="inlineStr">
        <is>
          <t>{1}{U}{U}</t>
        </is>
      </c>
      <c r="F1720" s="11" t="inlineStr">
        <is>
          <t>Azul</t>
        </is>
      </c>
      <c r="G1720" s="8" t="n">
        <v>0.5</v>
      </c>
      <c r="H1720" s="11" t="inlineStr">
        <is>
          <t>Innistrad (ISD)</t>
        </is>
      </c>
      <c r="I1720" s="11" t="inlineStr">
        <is>
          <t>Não</t>
        </is>
      </c>
      <c r="J1720" s="11" t="n">
        <v>2011</v>
      </c>
      <c r="L1720" s="11" t="n">
        <v>1</v>
      </c>
      <c r="M1720" s="8">
        <f>L1720*G1720</f>
        <v/>
      </c>
      <c r="P1720" s="9" t="n"/>
    </row>
    <row r="1721">
      <c r="A1721" s="11" t="inlineStr">
        <is>
          <t>Unsummon / Esconjurar</t>
        </is>
      </c>
      <c r="B1721" s="11" t="inlineStr">
        <is>
          <t>Instant / Mágica Instantânea</t>
        </is>
      </c>
      <c r="C1721" s="11" t="inlineStr">
        <is>
          <t>Common / Comum</t>
        </is>
      </c>
      <c r="D1721" s="11" t="inlineStr">
        <is>
          <t>Return target creature to its owner's hand. / Devolva a criatura alvo para a mão de seu dono.</t>
        </is>
      </c>
      <c r="E1721" s="11" t="inlineStr">
        <is>
          <t>{U}</t>
        </is>
      </c>
      <c r="F1721" s="11" t="inlineStr">
        <is>
          <t>Azul</t>
        </is>
      </c>
      <c r="G1721" s="8" t="n">
        <v>0.05</v>
      </c>
      <c r="H1721" s="11" t="inlineStr">
        <is>
          <t>Hour of Devastation (HOU)</t>
        </is>
      </c>
      <c r="I1721" s="11" t="inlineStr">
        <is>
          <t>Não</t>
        </is>
      </c>
      <c r="J1721" s="11" t="n">
        <v>2017</v>
      </c>
      <c r="L1721" s="11" t="n">
        <v>2</v>
      </c>
      <c r="M1721" s="8">
        <f>L1721*G1721</f>
        <v/>
      </c>
      <c r="P1721" s="9" t="n"/>
    </row>
    <row r="1722">
      <c r="A1722" s="11" t="inlineStr">
        <is>
          <t>Ceremonious Rejection / Rejeição Cerimoniosa</t>
        </is>
      </c>
      <c r="B1722" s="11" t="inlineStr">
        <is>
          <t>Instant / Mágica Instantânea</t>
        </is>
      </c>
      <c r="C1722" s="11" t="inlineStr">
        <is>
          <t>Uncommon / Incomum</t>
        </is>
      </c>
      <c r="D1722" s="11" t="inlineStr">
        <is>
          <t>Counter target colorless spell. / Anule a mágica incolor alvo.</t>
        </is>
      </c>
      <c r="E1722" s="11" t="inlineStr">
        <is>
          <t>{U}</t>
        </is>
      </c>
      <c r="F1722" s="11" t="inlineStr">
        <is>
          <t>Azul</t>
        </is>
      </c>
      <c r="G1722" s="8" t="n">
        <v>0.03</v>
      </c>
      <c r="H1722" s="11" t="inlineStr">
        <is>
          <t>Kaladesh (KLD)</t>
        </is>
      </c>
      <c r="I1722" s="11" t="inlineStr">
        <is>
          <t>Não</t>
        </is>
      </c>
      <c r="J1722" s="11" t="n">
        <v>2016</v>
      </c>
      <c r="L1722" s="11" t="n">
        <v>1</v>
      </c>
      <c r="M1722" s="8">
        <f>L1722*G1722</f>
        <v/>
      </c>
      <c r="P1722" s="9" t="n"/>
    </row>
    <row r="1723">
      <c r="A1723" s="11" t="inlineStr">
        <is>
          <t>Dive Down / Mergulhar</t>
        </is>
      </c>
      <c r="B1723" s="11" t="inlineStr">
        <is>
          <t>Instant / Mágica Instantânea</t>
        </is>
      </c>
      <c r="C1723" s="11" t="inlineStr">
        <is>
          <t>Common / Comum</t>
        </is>
      </c>
      <c r="D1723" s="11"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723" s="11" t="inlineStr">
        <is>
          <t>{U}</t>
        </is>
      </c>
      <c r="F1723" s="11" t="inlineStr">
        <is>
          <t>Azul</t>
        </is>
      </c>
      <c r="G1723" s="8" t="n">
        <v>0.2</v>
      </c>
      <c r="H1723" s="11" t="inlineStr">
        <is>
          <t>Ixalan (XLN)</t>
        </is>
      </c>
      <c r="I1723" s="11" t="inlineStr">
        <is>
          <t>Não</t>
        </is>
      </c>
      <c r="J1723" s="11" t="n">
        <v>2017</v>
      </c>
      <c r="L1723" s="11" t="n">
        <v>4</v>
      </c>
      <c r="M1723" s="8">
        <f>L1723*G1723</f>
        <v/>
      </c>
      <c r="P1723" s="9" t="n"/>
    </row>
    <row r="1724">
      <c r="A1724" s="11" t="inlineStr">
        <is>
          <t>Into the Roil / Adentrar o Turbilhão</t>
        </is>
      </c>
      <c r="B1724" s="11" t="inlineStr">
        <is>
          <t>Instant / Mágica Instantânea</t>
        </is>
      </c>
      <c r="C1724" s="11" t="inlineStr">
        <is>
          <t>Common / Comum</t>
        </is>
      </c>
      <c r="D1724" s="11"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724" s="11" t="inlineStr">
        <is>
          <t>{1}{U}</t>
        </is>
      </c>
      <c r="F1724" s="11" t="inlineStr">
        <is>
          <t>Azul</t>
        </is>
      </c>
      <c r="G1724" s="8" t="n">
        <v>0.29</v>
      </c>
      <c r="H1724" s="11" t="inlineStr">
        <is>
          <t>Zendikar Rising (ZNR)</t>
        </is>
      </c>
      <c r="I1724" s="11" t="inlineStr">
        <is>
          <t>Sim</t>
        </is>
      </c>
      <c r="J1724" s="11" t="n">
        <v>2020</v>
      </c>
      <c r="L1724" s="11" t="n">
        <v>1</v>
      </c>
      <c r="M1724" s="8">
        <f>L1724*G1724</f>
        <v/>
      </c>
      <c r="P1724" s="9" t="n"/>
    </row>
    <row r="1725">
      <c r="A1725" s="11" t="inlineStr">
        <is>
          <t>Serpentine Ambush / Emboscada Serpentina</t>
        </is>
      </c>
      <c r="B1725" s="11" t="inlineStr">
        <is>
          <t>Instant / Mágica Instantânea</t>
        </is>
      </c>
      <c r="C1725" s="11" t="inlineStr">
        <is>
          <t>Common / Comum</t>
        </is>
      </c>
      <c r="D1725" s="11" t="inlineStr">
        <is>
          <t>Until end of turn, target creature becomes a blue Serpent with base power and toughness 5/5. / Até o final do turno, a criatura alvo torna-se uma Serpente azul com poder e resistência básicos 5/5.</t>
        </is>
      </c>
      <c r="E1725" s="11" t="inlineStr">
        <is>
          <t>{1}{U}</t>
        </is>
      </c>
      <c r="F1725" s="11" t="inlineStr">
        <is>
          <t>Azul</t>
        </is>
      </c>
      <c r="G1725" s="8" t="n">
        <v>0.08</v>
      </c>
      <c r="H1725" s="11" t="inlineStr">
        <is>
          <t>Innistrad: Crimson Vow (VOW)</t>
        </is>
      </c>
      <c r="I1725" s="11" t="inlineStr">
        <is>
          <t>Não</t>
        </is>
      </c>
      <c r="J1725" s="11" t="n">
        <v>2021</v>
      </c>
      <c r="L1725" s="11" t="n">
        <v>3</v>
      </c>
      <c r="M1725" s="8">
        <f>L1725*G1725</f>
        <v/>
      </c>
      <c r="P1725" s="9" t="n"/>
    </row>
    <row r="1726">
      <c r="A1726" s="11" t="inlineStr">
        <is>
          <t>Self-Reflection / Autorreflexão</t>
        </is>
      </c>
      <c r="B1726" s="11" t="inlineStr">
        <is>
          <t>Sorcery / Feitiço</t>
        </is>
      </c>
      <c r="C1726" s="11" t="inlineStr">
        <is>
          <t>Uncommon / Incomum</t>
        </is>
      </c>
      <c r="D1726" s="11"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1726" s="11" t="inlineStr">
        <is>
          <t>{4}{U}{U}</t>
        </is>
      </c>
      <c r="F1726" s="11" t="inlineStr">
        <is>
          <t>Azul</t>
        </is>
      </c>
      <c r="G1726" s="8" t="n">
        <v>0.1</v>
      </c>
      <c r="H1726" s="11" t="inlineStr">
        <is>
          <t>Foundations (FDN)</t>
        </is>
      </c>
      <c r="I1726" s="11" t="inlineStr">
        <is>
          <t>Não</t>
        </is>
      </c>
      <c r="J1726" s="11" t="n">
        <v>2024</v>
      </c>
      <c r="L1726" s="11" t="n">
        <v>4</v>
      </c>
      <c r="M1726" s="8">
        <f>L1726*G1726</f>
        <v/>
      </c>
      <c r="P1726" s="9" t="n"/>
    </row>
    <row r="1727">
      <c r="A1727" s="11" t="inlineStr">
        <is>
          <t>Clear the Mind / Limpar a Mente</t>
        </is>
      </c>
      <c r="B1727" s="11" t="inlineStr">
        <is>
          <t>Sorcery / Feitiço</t>
        </is>
      </c>
      <c r="C1727" s="11" t="inlineStr">
        <is>
          <t>Common / Comum</t>
        </is>
      </c>
      <c r="D1727" s="11" t="inlineStr">
        <is>
          <t>Target player shuffles their graveyard into their library. Draw a card. / O jogador alvo embaralha o próprio cemitério no próprio grimório. Compre um card.</t>
        </is>
      </c>
      <c r="E1727" s="11" t="inlineStr">
        <is>
          <t>{2}{U}</t>
        </is>
      </c>
      <c r="F1727" s="11" t="inlineStr">
        <is>
          <t>Azul</t>
        </is>
      </c>
      <c r="G1727" s="8" t="n">
        <v>0.06</v>
      </c>
      <c r="H1727" s="11" t="inlineStr">
        <is>
          <t>Ravnica Allegiance (RNA)</t>
        </is>
      </c>
      <c r="I1727" s="11" t="inlineStr">
        <is>
          <t>Não</t>
        </is>
      </c>
      <c r="J1727" s="11" t="n">
        <v>2019</v>
      </c>
      <c r="L1727" s="11" t="n">
        <v>3</v>
      </c>
      <c r="M1727" s="8">
        <f>L1727*G1727</f>
        <v/>
      </c>
      <c r="P1727" s="9" t="n"/>
    </row>
    <row r="1728">
      <c r="A1728" s="11" t="inlineStr">
        <is>
          <t>Third Path Savant / Erudito da Terceira Via</t>
        </is>
      </c>
      <c r="B1728" s="11" t="inlineStr">
        <is>
          <t>Creature — Human Wizard / Criatura — Humano Mago</t>
        </is>
      </c>
      <c r="C1728" s="11" t="inlineStr">
        <is>
          <t>Common / Comum</t>
        </is>
      </c>
      <c r="D1728" s="11" t="inlineStr">
        <is>
          <t>{7}: Draw two cards. / {7}: Compre dois cards.</t>
        </is>
      </c>
      <c r="E1728" s="11" t="inlineStr">
        <is>
          <t>{2}{U}</t>
        </is>
      </c>
      <c r="F1728" s="11" t="inlineStr">
        <is>
          <t>Azul</t>
        </is>
      </c>
      <c r="G1728" s="8" t="n">
        <v>0.06</v>
      </c>
      <c r="H1728" s="11" t="inlineStr">
        <is>
          <t>The Brothers' War (BRO)</t>
        </is>
      </c>
      <c r="I1728" s="11" t="inlineStr">
        <is>
          <t>Não</t>
        </is>
      </c>
      <c r="J1728" s="11" t="n">
        <v>2022</v>
      </c>
      <c r="K1728" s="10" t="n">
        <v>46083</v>
      </c>
      <c r="L1728" s="11" t="n">
        <v>1</v>
      </c>
      <c r="M1728" s="8">
        <f>L1728*G1728</f>
        <v/>
      </c>
      <c r="P1728" s="9" t="n"/>
    </row>
    <row r="1729">
      <c r="A1729" s="11" t="inlineStr">
        <is>
          <t>Chant of the Skifsang / Cântico dos Skifsang</t>
        </is>
      </c>
      <c r="B1729" s="11" t="inlineStr">
        <is>
          <t>Enchantment — Aura / Encantamento — Aura</t>
        </is>
      </c>
      <c r="C1729" s="11" t="inlineStr">
        <is>
          <t>Common / Comum</t>
        </is>
      </c>
      <c r="D1729" s="11" t="inlineStr">
        <is>
          <t>Enchant creature Enchanted creature gets -13/-0. / Encantar criatura A criatura encantada recebe -13/-0.</t>
        </is>
      </c>
      <c r="E1729" s="11" t="inlineStr">
        <is>
          <t>{2}{U}</t>
        </is>
      </c>
      <c r="F1729" s="11" t="inlineStr">
        <is>
          <t>Azul</t>
        </is>
      </c>
      <c r="G1729" s="8" t="n">
        <v>0.05</v>
      </c>
      <c r="H1729" s="11" t="inlineStr">
        <is>
          <t>Dark Ascension (DKA)</t>
        </is>
      </c>
      <c r="I1729" s="11" t="inlineStr">
        <is>
          <t>Não</t>
        </is>
      </c>
      <c r="J1729" s="11" t="n">
        <v>2012</v>
      </c>
      <c r="L1729" s="11" t="n">
        <v>1</v>
      </c>
      <c r="M1729" s="8">
        <f>L1729*G1729</f>
        <v/>
      </c>
      <c r="P1729" s="9" t="n"/>
    </row>
    <row r="1730">
      <c r="A1730" s="11" t="inlineStr">
        <is>
          <t>Wind Drake / Dragonete do Vento</t>
        </is>
      </c>
      <c r="B1730" s="11" t="inlineStr">
        <is>
          <t>Creature — Drake / Criatura — Dragonete</t>
        </is>
      </c>
      <c r="C1730" s="11" t="inlineStr">
        <is>
          <t>Common / Comum</t>
        </is>
      </c>
      <c r="D1730" s="11" t="inlineStr">
        <is>
          <t>Flying / Voar</t>
        </is>
      </c>
      <c r="E1730" s="11" t="inlineStr">
        <is>
          <t>{2}{U}</t>
        </is>
      </c>
      <c r="F1730" s="11" t="inlineStr">
        <is>
          <t>Azul</t>
        </is>
      </c>
      <c r="G1730" s="8" t="n">
        <v>0.03</v>
      </c>
      <c r="H1730" s="11" t="inlineStr">
        <is>
          <t>Kaladesh (KLD)</t>
        </is>
      </c>
      <c r="I1730" s="11" t="inlineStr">
        <is>
          <t>Não</t>
        </is>
      </c>
      <c r="J1730" s="11" t="n">
        <v>2016</v>
      </c>
      <c r="K1730" s="10" t="n">
        <v>46055</v>
      </c>
      <c r="L1730" s="11" t="n">
        <v>2</v>
      </c>
      <c r="M1730" s="8">
        <f>L1730*G1730</f>
        <v/>
      </c>
      <c r="P1730" s="9" t="n"/>
    </row>
    <row r="1731">
      <c r="A1731" s="11" t="inlineStr">
        <is>
          <t>Wall of Lost Thoughts / Barreira dos Pensamentos Perdidos</t>
        </is>
      </c>
      <c r="B1731" s="11" t="inlineStr">
        <is>
          <t>Creature — Wall / Criatura — Barreira</t>
        </is>
      </c>
      <c r="C1731" s="11" t="inlineStr">
        <is>
          <t>Uncommon / Incomum</t>
        </is>
      </c>
      <c r="D1731" s="11"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1731" s="11" t="inlineStr">
        <is>
          <t>{1}{U}</t>
        </is>
      </c>
      <c r="F1731" s="11" t="inlineStr">
        <is>
          <t>Azul</t>
        </is>
      </c>
      <c r="G1731" s="8" t="n">
        <v>0.13</v>
      </c>
      <c r="H1731" s="11" t="inlineStr">
        <is>
          <t>Ravnica Allegiance (RNA)</t>
        </is>
      </c>
      <c r="I1731" s="11" t="inlineStr">
        <is>
          <t>Não</t>
        </is>
      </c>
      <c r="J1731" s="11" t="n">
        <v>2019</v>
      </c>
      <c r="K1731" s="11" t="inlineStr">
        <is>
          <t>0/4</t>
        </is>
      </c>
      <c r="L1731" s="11" t="n">
        <v>1</v>
      </c>
      <c r="M1731" s="8">
        <f>L1731*G1731</f>
        <v/>
      </c>
      <c r="P1731" s="9" t="n"/>
    </row>
    <row r="1732">
      <c r="A1732" s="11" t="inlineStr">
        <is>
          <t>Pteramander / Pteromandra</t>
        </is>
      </c>
      <c r="B1732" s="11" t="inlineStr">
        <is>
          <t>Creature — Salamander Drake / Criatura — Salamandra Dragonete</t>
        </is>
      </c>
      <c r="C1732" s="11" t="inlineStr">
        <is>
          <t>Uncommon / Incomum</t>
        </is>
      </c>
      <c r="D1732" s="11"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1732" s="11" t="inlineStr">
        <is>
          <t>{U}</t>
        </is>
      </c>
      <c r="F1732" s="11" t="inlineStr">
        <is>
          <t>Azul</t>
        </is>
      </c>
      <c r="G1732" s="8" t="n">
        <v>0.15</v>
      </c>
      <c r="H1732" s="11" t="inlineStr">
        <is>
          <t>Ravnica Allegiance (RNA)</t>
        </is>
      </c>
      <c r="I1732" s="11" t="inlineStr">
        <is>
          <t>Não</t>
        </is>
      </c>
      <c r="J1732" s="11" t="n">
        <v>2019</v>
      </c>
      <c r="K1732" s="10" t="n">
        <v>46023</v>
      </c>
      <c r="L1732" s="11" t="n">
        <v>4</v>
      </c>
      <c r="M1732" s="8">
        <f>L1732*G1732</f>
        <v/>
      </c>
      <c r="P1732" s="9" t="n"/>
    </row>
    <row r="1733">
      <c r="A1733" s="11" t="inlineStr">
        <is>
          <t>Cloudkin Seer / Vidente Nubígena</t>
        </is>
      </c>
      <c r="B1733" s="11" t="inlineStr">
        <is>
          <t>Creature — Elemental Wizard / Criatura — Elemental Mago</t>
        </is>
      </c>
      <c r="C1733" s="11" t="inlineStr">
        <is>
          <t>Common / Comum</t>
        </is>
      </c>
      <c r="D1733" s="11" t="inlineStr">
        <is>
          <t>Flying When this creature enters, draw a card. / Voar Quando Vidente Nubígena entrar no campo de batalha, compre um card.</t>
        </is>
      </c>
      <c r="E1733" s="11" t="inlineStr">
        <is>
          <t>{2}{U}</t>
        </is>
      </c>
      <c r="F1733" s="11" t="inlineStr">
        <is>
          <t>Azul</t>
        </is>
      </c>
      <c r="G1733" s="8" t="n">
        <v>0.1</v>
      </c>
      <c r="H1733" s="11" t="inlineStr">
        <is>
          <t>Core Set 2020 (M20)</t>
        </is>
      </c>
      <c r="I1733" s="11" t="inlineStr">
        <is>
          <t>Não</t>
        </is>
      </c>
      <c r="J1733" s="11" t="n">
        <v>2019</v>
      </c>
      <c r="K1733" s="10" t="n">
        <v>46024</v>
      </c>
      <c r="L1733" s="11" t="n">
        <v>2</v>
      </c>
      <c r="M1733" s="8">
        <f>L1733*G1733</f>
        <v/>
      </c>
      <c r="P1733" s="9" t="n"/>
    </row>
    <row r="1734">
      <c r="A1734" s="11" t="inlineStr">
        <is>
          <t>Mesmerizing Benthid / Bentídeo Hipnotizante</t>
        </is>
      </c>
      <c r="B1734" s="11" t="inlineStr">
        <is>
          <t>Creature — Octopus / Criatura — Polvo</t>
        </is>
      </c>
      <c r="C1734" s="11" t="inlineStr">
        <is>
          <t>Mythic / Mítica</t>
        </is>
      </c>
      <c r="D1734" s="11"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1734" s="11" t="inlineStr">
        <is>
          <t>{3}{U}{U}</t>
        </is>
      </c>
      <c r="F1734" s="11" t="inlineStr">
        <is>
          <t>Azul</t>
        </is>
      </c>
      <c r="G1734" s="8" t="n">
        <v>0.5</v>
      </c>
      <c r="H1734" s="11" t="inlineStr">
        <is>
          <t>Ravnica Allegiance (RNA)</t>
        </is>
      </c>
      <c r="I1734" s="11" t="inlineStr">
        <is>
          <t>Não</t>
        </is>
      </c>
      <c r="J1734" s="11" t="n">
        <v>2019</v>
      </c>
      <c r="K1734" s="10" t="n">
        <v>46146</v>
      </c>
      <c r="L1734" s="11" t="n">
        <v>1</v>
      </c>
      <c r="M1734" s="8">
        <f>L1734*G1734</f>
        <v/>
      </c>
      <c r="P1734" s="9" t="n"/>
    </row>
    <row r="1735">
      <c r="A1735" s="11" t="inlineStr">
        <is>
          <t>Stormbound Geist / Geist da Tempestade</t>
        </is>
      </c>
      <c r="B1735" s="11" t="inlineStr">
        <is>
          <t>Creature — Spirit / Criatura — Espírito</t>
        </is>
      </c>
      <c r="C1735" s="11" t="inlineStr">
        <is>
          <t>Common / Comum</t>
        </is>
      </c>
      <c r="D1735" s="11"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1735" s="11" t="inlineStr">
        <is>
          <t>{1}{U}{U}</t>
        </is>
      </c>
      <c r="F1735" s="11" t="inlineStr">
        <is>
          <t>Azul</t>
        </is>
      </c>
      <c r="G1735" s="8" t="n">
        <v>0.17</v>
      </c>
      <c r="H1735" s="11" t="inlineStr">
        <is>
          <t>Dark Ascension (DKA)</t>
        </is>
      </c>
      <c r="I1735" s="11" t="inlineStr">
        <is>
          <t>Não</t>
        </is>
      </c>
      <c r="J1735" s="11" t="n">
        <v>2012</v>
      </c>
      <c r="K1735" s="10" t="n">
        <v>46055</v>
      </c>
      <c r="L1735" s="11" t="n">
        <v>3</v>
      </c>
      <c r="M1735" s="8">
        <f>L1735*G1735</f>
        <v/>
      </c>
      <c r="P1735" s="9" t="n"/>
    </row>
    <row r="1736">
      <c r="A1736" s="11" t="inlineStr">
        <is>
          <t>Jeskai Infiltrator / Infiltradora Jeskai</t>
        </is>
      </c>
      <c r="B1736" s="11" t="inlineStr">
        <is>
          <t>Creature — Human Monk / Criatura — Humano Monge</t>
        </is>
      </c>
      <c r="C1736" s="11" t="inlineStr">
        <is>
          <t>Rare / Rara</t>
        </is>
      </c>
      <c r="D1736" s="11"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1736" s="11" t="inlineStr">
        <is>
          <t>{2}{U}</t>
        </is>
      </c>
      <c r="F1736" s="11" t="inlineStr">
        <is>
          <t>Azul</t>
        </is>
      </c>
      <c r="G1736" s="8" t="n">
        <v>0.15</v>
      </c>
      <c r="H1736" s="11" t="inlineStr">
        <is>
          <t>Fate Reforged (FRF)</t>
        </is>
      </c>
      <c r="I1736" s="11" t="inlineStr">
        <is>
          <t>Não</t>
        </is>
      </c>
      <c r="J1736" s="11" t="n">
        <v>2015</v>
      </c>
      <c r="K1736" s="10" t="n">
        <v>46083</v>
      </c>
      <c r="L1736" s="11" t="n">
        <v>1</v>
      </c>
      <c r="M1736" s="8">
        <f>L1736*G1736</f>
        <v/>
      </c>
      <c r="P1736" s="9" t="n"/>
    </row>
    <row r="1737">
      <c r="A1737" s="11" t="inlineStr">
        <is>
          <t>Meletis Charlatan / Charlatão de Meletis</t>
        </is>
      </c>
      <c r="B1737" s="11" t="inlineStr">
        <is>
          <t>Creature — Human Wizard / Criatura — Humano Mago</t>
        </is>
      </c>
      <c r="C1737" s="11" t="inlineStr">
        <is>
          <t>Rare / Rara</t>
        </is>
      </c>
      <c r="D1737" s="11" t="inlineStr">
        <is>
          <t>{2}{U}, {T}: The controller of target instant or sorcery spell copies it. That player may choose new targets for the copy. / {2}{U}, {T}: O controlador da mágica instantânea ou de feitiço alvo a copia. Aquele jogador pode escolher novos alvos para a cópia.</t>
        </is>
      </c>
      <c r="E1737" s="11" t="inlineStr">
        <is>
          <t>{2}{U}</t>
        </is>
      </c>
      <c r="F1737" s="11" t="inlineStr">
        <is>
          <t>Azul</t>
        </is>
      </c>
      <c r="G1737" s="8" t="n">
        <v>0.22</v>
      </c>
      <c r="H1737" s="11" t="inlineStr">
        <is>
          <t>Theros (THS)</t>
        </is>
      </c>
      <c r="I1737" s="11" t="inlineStr">
        <is>
          <t>Não</t>
        </is>
      </c>
      <c r="J1737" s="11" t="n">
        <v>2013</v>
      </c>
      <c r="K1737" s="10" t="n">
        <v>46083</v>
      </c>
      <c r="L1737" s="11" t="n">
        <v>1</v>
      </c>
      <c r="M1737" s="8">
        <f>L1737*G1737</f>
        <v/>
      </c>
      <c r="P1737" s="9" t="n"/>
    </row>
    <row r="1738">
      <c r="A1738" s="11" t="inlineStr">
        <is>
          <t>Mocking Sprite / Sílfide Zombeteira</t>
        </is>
      </c>
      <c r="B1738" s="11" t="inlineStr">
        <is>
          <t>Creature — Faerie Rogue / Criatura — Fada Ladino</t>
        </is>
      </c>
      <c r="C1738" s="11" t="inlineStr">
        <is>
          <t>Common / Comum</t>
        </is>
      </c>
      <c r="D1738" s="11" t="inlineStr">
        <is>
          <t>Flying Instant and sorcery spells you cast cost {1} less to cast. / Voar As mágicas instantâneas e os feitiços que você conjura custam {1} a menos para conjurar.</t>
        </is>
      </c>
      <c r="E1738" s="11" t="inlineStr">
        <is>
          <t>{2}{U}</t>
        </is>
      </c>
      <c r="F1738" s="11" t="inlineStr">
        <is>
          <t>Azul</t>
        </is>
      </c>
      <c r="G1738" s="8" t="n">
        <v>0.26</v>
      </c>
      <c r="H1738" s="11" t="inlineStr">
        <is>
          <t>Foundations (FDN)</t>
        </is>
      </c>
      <c r="I1738" s="11" t="inlineStr">
        <is>
          <t>Sim</t>
        </is>
      </c>
      <c r="J1738" s="11" t="n">
        <v>2026</v>
      </c>
      <c r="K1738" s="10" t="n">
        <v>46024</v>
      </c>
      <c r="L1738" s="11" t="n">
        <v>1</v>
      </c>
      <c r="M1738" s="8">
        <f>L1738*G1738</f>
        <v/>
      </c>
      <c r="P1738" s="9" t="n"/>
    </row>
    <row r="1739">
      <c r="A1739" s="11" t="inlineStr">
        <is>
          <t>Academy Wall / Muralha da Academia</t>
        </is>
      </c>
      <c r="B1739" s="11" t="inlineStr">
        <is>
          <t>Creature — Wall / Criatura — Barreira</t>
        </is>
      </c>
      <c r="C1739" s="11" t="inlineStr">
        <is>
          <t>Common / Comum</t>
        </is>
      </c>
      <c r="D1739" s="11"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1739" s="11" t="inlineStr">
        <is>
          <t>{2}{U}</t>
        </is>
      </c>
      <c r="F1739" s="11" t="inlineStr">
        <is>
          <t>Azul</t>
        </is>
      </c>
      <c r="G1739" s="8" t="n">
        <v>0.2</v>
      </c>
      <c r="H1739" s="11" t="inlineStr">
        <is>
          <t>Dominaria United (DMU)</t>
        </is>
      </c>
      <c r="I1739" s="11" t="inlineStr">
        <is>
          <t>Sim</t>
        </is>
      </c>
      <c r="J1739" s="11" t="n">
        <v>2022</v>
      </c>
      <c r="K1739" s="11" t="inlineStr">
        <is>
          <t>0/5</t>
        </is>
      </c>
      <c r="L1739" s="11" t="n">
        <v>1</v>
      </c>
      <c r="M1739" s="8">
        <f>L1739*G1739</f>
        <v/>
      </c>
      <c r="P1739" s="9" t="n"/>
    </row>
    <row r="1740">
      <c r="A1740" s="11" t="inlineStr">
        <is>
          <t>Thieving Otter / Lontra Ladra</t>
        </is>
      </c>
      <c r="B1740" s="11" t="inlineStr">
        <is>
          <t>Creature — Otter / Criatura — Lontra</t>
        </is>
      </c>
      <c r="C1740" s="11" t="inlineStr">
        <is>
          <t>Common / Comum</t>
        </is>
      </c>
      <c r="D1740" s="11" t="inlineStr">
        <is>
          <t>Whenever this creature deals damage to an opponent, draw a card. / Toda vez que Lontra Ladra causar dano a um oponente, compre um card.</t>
        </is>
      </c>
      <c r="E1740" s="11" t="inlineStr">
        <is>
          <t>{2}{U}</t>
        </is>
      </c>
      <c r="F1740" s="11" t="inlineStr">
        <is>
          <t>Azul</t>
        </is>
      </c>
      <c r="G1740" s="8" t="n">
        <v>0.04</v>
      </c>
      <c r="H1740" s="11" t="inlineStr">
        <is>
          <t>Ikoria: Lair of Behemoths (IKO)</t>
        </is>
      </c>
      <c r="I1740" s="11" t="inlineStr">
        <is>
          <t>Não</t>
        </is>
      </c>
      <c r="J1740" s="11" t="n">
        <v>2020</v>
      </c>
      <c r="K1740" s="10" t="n">
        <v>46055</v>
      </c>
      <c r="L1740" s="11" t="n">
        <v>1</v>
      </c>
      <c r="M1740" s="8">
        <f>L1740*G1740</f>
        <v/>
      </c>
      <c r="P1740" s="9" t="n"/>
    </row>
    <row r="1741">
      <c r="A1741" s="11" t="inlineStr">
        <is>
          <t>Mindwhisker</t>
        </is>
      </c>
      <c r="B1741" s="11" t="inlineStr">
        <is>
          <t>Creature — Rat Wizard</t>
        </is>
      </c>
      <c r="C1741" s="11" t="inlineStr">
        <is>
          <t>Uncommon / Incomum</t>
        </is>
      </c>
      <c r="D1741" s="11" t="inlineStr">
        <is>
          <t>At the beginning of your upkeep, surveil 1. (Look at the top card of your library. You may put it into your graveyard.) Threshold — As long as there are seven or more cards in your graveyard, creatures your opponents control get -1/-0.</t>
        </is>
      </c>
      <c r="E1741" s="11" t="inlineStr">
        <is>
          <t>{2}{U}</t>
        </is>
      </c>
      <c r="F1741" s="11" t="inlineStr">
        <is>
          <t>Azul</t>
        </is>
      </c>
      <c r="G1741" s="8" t="n">
        <v>0.14</v>
      </c>
      <c r="H1741" s="11" t="inlineStr">
        <is>
          <t>Bloomburrow (BLB)</t>
        </is>
      </c>
      <c r="I1741" s="11" t="inlineStr">
        <is>
          <t>Não</t>
        </is>
      </c>
      <c r="J1741" s="11" t="n">
        <v>2024</v>
      </c>
      <c r="K1741" s="10" t="n">
        <v>46056</v>
      </c>
      <c r="L1741" s="11" t="n">
        <v>1</v>
      </c>
      <c r="M1741" s="8">
        <f>L1741*G1741</f>
        <v/>
      </c>
      <c r="P1741" s="9" t="n"/>
    </row>
    <row r="1742">
      <c r="A1742" s="11" t="inlineStr">
        <is>
          <t>Murmuring Phantasm / Fantasma Murmurante</t>
        </is>
      </c>
      <c r="B1742" s="11" t="inlineStr">
        <is>
          <t>Creature — Spirit / Criatura — Espírito</t>
        </is>
      </c>
      <c r="C1742" s="11" t="inlineStr">
        <is>
          <t>Common / Comum</t>
        </is>
      </c>
      <c r="D1742" s="11" t="inlineStr">
        <is>
          <t>Defender / Defensor</t>
        </is>
      </c>
      <c r="E1742" s="11" t="inlineStr">
        <is>
          <t>{1}{U}</t>
        </is>
      </c>
      <c r="F1742" s="11" t="inlineStr">
        <is>
          <t>Azul</t>
        </is>
      </c>
      <c r="G1742" s="8" t="n">
        <v>0.06</v>
      </c>
      <c r="H1742" s="11" t="inlineStr">
        <is>
          <t>Dragon's Maze (DGM)</t>
        </is>
      </c>
      <c r="I1742" s="11" t="inlineStr">
        <is>
          <t>Não</t>
        </is>
      </c>
      <c r="J1742" s="11" t="n">
        <v>2013</v>
      </c>
      <c r="K1742" s="11" t="inlineStr">
        <is>
          <t>0/5</t>
        </is>
      </c>
      <c r="L1742" s="11" t="n">
        <v>1</v>
      </c>
      <c r="M1742" s="8">
        <f>L1742*G1742</f>
        <v/>
      </c>
      <c r="P1742" s="9" t="n"/>
    </row>
    <row r="1743">
      <c r="A1743" s="11" t="inlineStr">
        <is>
          <t>Opal Lake Gatekeepers / Porteiros do Lago de Opala</t>
        </is>
      </c>
      <c r="B1743" s="11" t="inlineStr">
        <is>
          <t>Creature — Vedalken Soldier / Criatura — Vedalkeano Soldado</t>
        </is>
      </c>
      <c r="C1743" s="11" t="inlineStr">
        <is>
          <t>Common / Comum</t>
        </is>
      </c>
      <c r="D1743" s="11" t="inlineStr">
        <is>
          <t>When this creature enters, if you control two or more Gates, you may draw a card. / Quando Porteiros do Lago de Opala entrar no campo de batalha, se você controlar dois ou mais Portões, poderá comprar um card.</t>
        </is>
      </c>
      <c r="E1743" s="11" t="inlineStr">
        <is>
          <t>{3}{U}</t>
        </is>
      </c>
      <c r="F1743" s="11" t="inlineStr">
        <is>
          <t>Azul</t>
        </is>
      </c>
      <c r="G1743" s="8" t="n">
        <v>0.05</v>
      </c>
      <c r="H1743" s="11" t="inlineStr">
        <is>
          <t>Dragon's Maze (DGM)</t>
        </is>
      </c>
      <c r="I1743" s="11" t="inlineStr">
        <is>
          <t>Não</t>
        </is>
      </c>
      <c r="J1743" s="11" t="n">
        <v>2013</v>
      </c>
      <c r="K1743" s="10" t="n">
        <v>46114</v>
      </c>
      <c r="L1743" s="11" t="n">
        <v>1</v>
      </c>
      <c r="M1743" s="8">
        <f>L1743*G1743</f>
        <v/>
      </c>
      <c r="P1743" s="9" t="n"/>
    </row>
    <row r="1744">
      <c r="A1744" s="11" t="inlineStr">
        <is>
          <t>Jace's Triumph / Triunfo de Jace</t>
        </is>
      </c>
      <c r="B1744" s="11" t="inlineStr">
        <is>
          <t>Sorcery / Feitiço</t>
        </is>
      </c>
      <c r="C1744" s="11" t="inlineStr">
        <is>
          <t>Uncommon / Incomum</t>
        </is>
      </c>
      <c r="D1744" s="11" t="inlineStr">
        <is>
          <t>Draw two cards. If you control a Jace planeswalker, draw three cards instead. / Compre dois cards. Se você controlar um planeswalker Jace, em vez disso, compre três cards.</t>
        </is>
      </c>
      <c r="E1744" s="11" t="inlineStr">
        <is>
          <t>{2}{U}</t>
        </is>
      </c>
      <c r="F1744" s="11" t="inlineStr">
        <is>
          <t>Azul</t>
        </is>
      </c>
      <c r="G1744" s="8" t="n">
        <v>0.06</v>
      </c>
      <c r="H1744" s="11" t="inlineStr">
        <is>
          <t>War of the Spark (WAR)</t>
        </is>
      </c>
      <c r="I1744" s="11" t="inlineStr">
        <is>
          <t>Não</t>
        </is>
      </c>
      <c r="J1744" s="11" t="n">
        <v>2019</v>
      </c>
      <c r="L1744" s="11" t="n">
        <v>6</v>
      </c>
      <c r="M1744" s="8">
        <f>L1744*G1744</f>
        <v/>
      </c>
      <c r="P1744" s="9" t="n"/>
    </row>
    <row r="1745">
      <c r="A1745" s="11" t="inlineStr">
        <is>
          <t>Maze Glider / Planador do Labirinto</t>
        </is>
      </c>
      <c r="B1745" s="11" t="inlineStr">
        <is>
          <t>Creature — Elemental / Criatura — Elemental</t>
        </is>
      </c>
      <c r="C1745" s="11" t="inlineStr">
        <is>
          <t>Common / Comum</t>
        </is>
      </c>
      <c r="D1745" s="11" t="inlineStr">
        <is>
          <t>Flying Multicolored creatures you control have flying. / Voar As criaturas multicoloridas que você controla têm voar.</t>
        </is>
      </c>
      <c r="E1745" s="11" t="inlineStr">
        <is>
          <t>{5}{U}</t>
        </is>
      </c>
      <c r="F1745" s="11" t="inlineStr">
        <is>
          <t>Azul</t>
        </is>
      </c>
      <c r="G1745" s="8" t="n">
        <v>0.04</v>
      </c>
      <c r="H1745" s="11" t="inlineStr">
        <is>
          <t>Dragon's Maze (DGM)</t>
        </is>
      </c>
      <c r="I1745" s="11" t="inlineStr">
        <is>
          <t>Não</t>
        </is>
      </c>
      <c r="J1745" s="11" t="n">
        <v>2013</v>
      </c>
      <c r="K1745" s="10" t="n">
        <v>46145</v>
      </c>
      <c r="L1745" s="11" t="n">
        <v>2</v>
      </c>
      <c r="M1745" s="8">
        <f>L1745*G1745</f>
        <v/>
      </c>
      <c r="P1745" s="9" t="n"/>
    </row>
    <row r="1746">
      <c r="A1746" s="11" t="inlineStr">
        <is>
          <t>Picklock Prankster // Free the Fae / Traquinas Arrombador // Libertar as Fadinas</t>
        </is>
      </c>
      <c r="B1746" s="11" t="inlineStr">
        <is>
          <t>Creature — Faerie Rogue // Instant — Adventure / Criatura — Fada Ladino</t>
        </is>
      </c>
      <c r="C1746" s="11" t="inlineStr">
        <is>
          <t>Uncommon / Incomum</t>
        </is>
      </c>
      <c r="D1746" s="11" t="inlineStr">
        <is>
          <t>Picklock Prankster: Flying, vigilance // Free the Fae: Mill four cards. Then put an instant, sorcery, or Faerie card from among the milled cards into your hand. / Voar, vigilância</t>
        </is>
      </c>
      <c r="E1746" s="11" t="inlineStr">
        <is>
          <t>{1}{U} // {1}{U}</t>
        </is>
      </c>
      <c r="F1746" s="11" t="inlineStr">
        <is>
          <t>Azul</t>
        </is>
      </c>
      <c r="G1746" s="8" t="n">
        <v>0.47</v>
      </c>
      <c r="H1746" s="11" t="inlineStr">
        <is>
          <t>Wilds of Eldraine (WOE)</t>
        </is>
      </c>
      <c r="I1746" s="11" t="inlineStr">
        <is>
          <t>Não</t>
        </is>
      </c>
      <c r="J1746" s="11" t="n">
        <v>2023</v>
      </c>
      <c r="K1746" s="10" t="n">
        <v>46082</v>
      </c>
      <c r="L1746" s="11" t="n">
        <v>3</v>
      </c>
      <c r="M1746" s="8">
        <f>L1746*G1746</f>
        <v/>
      </c>
      <c r="P1746" s="9" t="n"/>
    </row>
    <row r="1747">
      <c r="A1747" s="11" t="inlineStr">
        <is>
          <t>Wind Drake / Dragonete do Vento</t>
        </is>
      </c>
      <c r="B1747" s="11" t="inlineStr">
        <is>
          <t>Creature — Drake / Criatura — Dragonete</t>
        </is>
      </c>
      <c r="C1747" s="11" t="inlineStr">
        <is>
          <t>Common / Comum</t>
        </is>
      </c>
      <c r="D1747" s="11" t="inlineStr">
        <is>
          <t>Flying / Voar</t>
        </is>
      </c>
      <c r="E1747" s="11" t="inlineStr">
        <is>
          <t>{2}{U}</t>
        </is>
      </c>
      <c r="F1747" s="11" t="inlineStr">
        <is>
          <t>Azul</t>
        </is>
      </c>
      <c r="G1747" s="8" t="n">
        <v>0.25</v>
      </c>
      <c r="H1747" s="11" t="inlineStr">
        <is>
          <t>Labirinto do Dragão</t>
        </is>
      </c>
      <c r="I1747" s="11" t="inlineStr">
        <is>
          <t>Sim</t>
        </is>
      </c>
      <c r="J1747" s="11" t="n">
        <v>2013</v>
      </c>
      <c r="K1747" s="10" t="n">
        <v>46055</v>
      </c>
      <c r="L1747" s="11" t="n">
        <v>1</v>
      </c>
      <c r="M1747" s="8">
        <f>L1747*G1747</f>
        <v/>
      </c>
      <c r="P1747" s="9" t="n"/>
    </row>
    <row r="1748">
      <c r="A1748" s="11" t="inlineStr">
        <is>
          <t>Aether Adept / Adepto do Éter</t>
        </is>
      </c>
      <c r="B1748" s="11" t="inlineStr">
        <is>
          <t>Creature — Human Wizard / Criatura — Humano Mago</t>
        </is>
      </c>
      <c r="C1748" s="11" t="inlineStr">
        <is>
          <t>Common / Comum</t>
        </is>
      </c>
      <c r="D1748" s="11" t="inlineStr">
        <is>
          <t>When this creature enters, return target creature to its owner's hand. / Quando Adepto do Éter entrar no campo de batalha, devolva a criatura alvo para a mão de seu dono.</t>
        </is>
      </c>
      <c r="E1748" s="11" t="inlineStr">
        <is>
          <t>{1}{U}{U}</t>
        </is>
      </c>
      <c r="F1748" s="11" t="inlineStr">
        <is>
          <t>Azul</t>
        </is>
      </c>
      <c r="G1748" s="8" t="n">
        <v>0.09</v>
      </c>
      <c r="H1748" s="11" t="inlineStr">
        <is>
          <t>Magic 2011 (M11)</t>
        </is>
      </c>
      <c r="I1748" s="11" t="inlineStr">
        <is>
          <t>Não</t>
        </is>
      </c>
      <c r="J1748" s="11" t="n">
        <v>2010</v>
      </c>
      <c r="K1748" s="10" t="n">
        <v>46055</v>
      </c>
      <c r="L1748" s="11" t="n">
        <v>1</v>
      </c>
      <c r="M1748" s="8">
        <f>L1748*G1748</f>
        <v/>
      </c>
      <c r="P1748" s="9" t="n"/>
    </row>
    <row r="1749">
      <c r="A1749" s="11" t="inlineStr">
        <is>
          <t>Deranged Assistant / Assistente Insano</t>
        </is>
      </c>
      <c r="B1749" s="11" t="inlineStr">
        <is>
          <t>Creature — Human Wizard / Criatura — Humano Mago</t>
        </is>
      </c>
      <c r="C1749" s="11" t="inlineStr">
        <is>
          <t>Common / Comum</t>
        </is>
      </c>
      <c r="D1749" s="11" t="inlineStr">
        <is>
          <t>{T}, Mill a card: Add {C}. (To mill a card, put the top card of your library into your graveyard.) / {T}, Coloque o card do topo de seu grimório no seu cemitério: Adicione {1} à sua reserva de mana.</t>
        </is>
      </c>
      <c r="E1749" s="11" t="inlineStr">
        <is>
          <t>{1}{U}</t>
        </is>
      </c>
      <c r="F1749" s="11" t="inlineStr">
        <is>
          <t>Azul</t>
        </is>
      </c>
      <c r="G1749" s="8" t="n">
        <v>0.06</v>
      </c>
      <c r="H1749" s="11" t="inlineStr">
        <is>
          <t>Innistrad (ISD)</t>
        </is>
      </c>
      <c r="I1749" s="11" t="inlineStr">
        <is>
          <t>Não</t>
        </is>
      </c>
      <c r="J1749" s="11" t="n">
        <v>2011</v>
      </c>
      <c r="K1749" s="10" t="n">
        <v>46023</v>
      </c>
      <c r="L1749" s="11" t="n">
        <v>1</v>
      </c>
      <c r="M1749" s="8">
        <f>L1749*G1749</f>
        <v/>
      </c>
      <c r="P1749" s="9" t="n"/>
    </row>
    <row r="1750">
      <c r="A1750" s="11" t="inlineStr">
        <is>
          <t>Chisei, Heart of Oceans / Chisei, Coração dos Oceanos</t>
        </is>
      </c>
      <c r="B1750" s="11" t="inlineStr">
        <is>
          <t>Legendary Creature — Spirit / Criatura Lendária - Espírito</t>
        </is>
      </c>
      <c r="C1750" s="11" t="inlineStr">
        <is>
          <t>Rare / Rara</t>
        </is>
      </c>
      <c r="D1750" s="11"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1750" s="11" t="inlineStr">
        <is>
          <t>{2}{U}{U}</t>
        </is>
      </c>
      <c r="F1750" s="11" t="inlineStr">
        <is>
          <t>Azul</t>
        </is>
      </c>
      <c r="G1750" s="8" t="n">
        <v>1.19</v>
      </c>
      <c r="H1750" s="11" t="inlineStr">
        <is>
          <t>Betrayers of Kamigawa (BOK)</t>
        </is>
      </c>
      <c r="I1750" s="11" t="inlineStr">
        <is>
          <t>Não</t>
        </is>
      </c>
      <c r="J1750" s="11" t="n">
        <v>2005</v>
      </c>
      <c r="K1750" s="10" t="n">
        <v>46116</v>
      </c>
      <c r="L1750" s="11" t="n">
        <v>1</v>
      </c>
      <c r="M1750" s="8">
        <f>L1750*G1750</f>
        <v/>
      </c>
      <c r="P1750" s="9" t="n"/>
    </row>
    <row r="1751">
      <c r="A1751" s="11" t="inlineStr">
        <is>
          <t>Cultivator Drone / Zangão Cultivador</t>
        </is>
      </c>
      <c r="B1751" s="11" t="inlineStr">
        <is>
          <t>Creature — Eldrazi Drone / Criatura — Eldrazi Zangão</t>
        </is>
      </c>
      <c r="C1751" s="11" t="inlineStr">
        <is>
          <t>Common / Comum</t>
        </is>
      </c>
      <c r="D1751" s="11"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1751" s="11" t="inlineStr">
        <is>
          <t>{2}{U}</t>
        </is>
      </c>
      <c r="F1751" s="11" t="inlineStr">
        <is>
          <t>Azul</t>
        </is>
      </c>
      <c r="G1751" s="8" t="n">
        <v>0.05</v>
      </c>
      <c r="H1751" s="11" t="inlineStr">
        <is>
          <t>Oath of the Gatewatch (OGW)</t>
        </is>
      </c>
      <c r="I1751" s="11" t="inlineStr">
        <is>
          <t>Não</t>
        </is>
      </c>
      <c r="J1751" s="11" t="n">
        <v>2016</v>
      </c>
      <c r="K1751" s="10" t="n">
        <v>46083</v>
      </c>
      <c r="L1751" s="11" t="n">
        <v>2</v>
      </c>
      <c r="M1751" s="8">
        <f>L1751*G1751</f>
        <v/>
      </c>
      <c r="P1751" s="9" t="n"/>
    </row>
    <row r="1752">
      <c r="A1752" s="11" t="inlineStr">
        <is>
          <t>Sky Theater Strix / Strix do Palco Celeste</t>
        </is>
      </c>
      <c r="B1752" s="11" t="inlineStr">
        <is>
          <t>Creature — Bird / Criatura — Ave</t>
        </is>
      </c>
      <c r="C1752" s="11" t="inlineStr">
        <is>
          <t>Common / Comum</t>
        </is>
      </c>
      <c r="D1752" s="11" t="inlineStr">
        <is>
          <t>Flying Whenever you cast a noncreature spell, this creature gets +1/+0 until end of turn. / Voar Toda vez que você conjura uma mágica que não seja de criatura, Strix do Palco Celeste recebe +1/+0 até o final do turno.</t>
        </is>
      </c>
      <c r="E1752" s="11" t="inlineStr">
        <is>
          <t>{1}{U}</t>
        </is>
      </c>
      <c r="F1752" s="11" t="inlineStr">
        <is>
          <t>Azul</t>
        </is>
      </c>
      <c r="G1752" s="8" t="n">
        <v>0.03</v>
      </c>
      <c r="H1752" s="11" t="inlineStr">
        <is>
          <t>War of the Spark (WAR)</t>
        </is>
      </c>
      <c r="I1752" s="11" t="inlineStr">
        <is>
          <t>Não</t>
        </is>
      </c>
      <c r="J1752" s="11" t="n">
        <v>2019</v>
      </c>
      <c r="K1752" s="10" t="n">
        <v>46054</v>
      </c>
      <c r="L1752" s="11" t="n">
        <v>1</v>
      </c>
      <c r="M1752" s="8">
        <f>L1752*G1752</f>
        <v/>
      </c>
      <c r="P1752" s="9" t="n"/>
    </row>
    <row r="1753">
      <c r="A1753" s="11" t="inlineStr">
        <is>
          <t>Precognition Field / Campo de Precognição</t>
        </is>
      </c>
      <c r="B1753" s="11" t="inlineStr">
        <is>
          <t>Enchantment / Encantamento</t>
        </is>
      </c>
      <c r="C1753" s="11" t="inlineStr">
        <is>
          <t>Rare / Rara</t>
        </is>
      </c>
      <c r="D1753" s="11"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1753" s="11" t="inlineStr">
        <is>
          <t>{3}{U}</t>
        </is>
      </c>
      <c r="F1753" s="11" t="inlineStr">
        <is>
          <t>Azul</t>
        </is>
      </c>
      <c r="G1753" s="8" t="n">
        <v>0.35</v>
      </c>
      <c r="H1753" s="11" t="inlineStr">
        <is>
          <t>Dominaria (DOM)</t>
        </is>
      </c>
      <c r="I1753" s="11" t="inlineStr">
        <is>
          <t>Não</t>
        </is>
      </c>
      <c r="J1753" s="11" t="n">
        <v>2018</v>
      </c>
      <c r="L1753" s="11" t="n">
        <v>1</v>
      </c>
      <c r="M1753" s="8">
        <f>L1753*G1753</f>
        <v/>
      </c>
      <c r="P1753" s="9" t="n"/>
    </row>
    <row r="1754">
      <c r="A1754" s="11" t="inlineStr">
        <is>
          <t>Bind the Monster / Aprisionar o Monstro</t>
        </is>
      </c>
      <c r="B1754" s="11" t="inlineStr">
        <is>
          <t>Enchantment — Aura / Encantamento — Aura</t>
        </is>
      </c>
      <c r="C1754" s="11" t="inlineStr">
        <is>
          <t>Common / Comum</t>
        </is>
      </c>
      <c r="D1754" s="11"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1754" s="11" t="inlineStr">
        <is>
          <t>{U}</t>
        </is>
      </c>
      <c r="F1754" s="11" t="inlineStr">
        <is>
          <t>Azul</t>
        </is>
      </c>
      <c r="G1754" s="8" t="n">
        <v>0.7</v>
      </c>
      <c r="H1754" s="11" t="inlineStr">
        <is>
          <t>Kaldheim (KHM)</t>
        </is>
      </c>
      <c r="I1754" s="11" t="inlineStr">
        <is>
          <t>Não</t>
        </is>
      </c>
      <c r="J1754" s="11" t="n">
        <v>2021</v>
      </c>
      <c r="L1754" s="11" t="n">
        <v>2</v>
      </c>
      <c r="M1754" s="8">
        <f>L1754*G1754</f>
        <v/>
      </c>
      <c r="P1754" s="9" t="n"/>
    </row>
    <row r="1755">
      <c r="A1755" s="11" t="inlineStr">
        <is>
          <t>Unable to Scream</t>
        </is>
      </c>
      <c r="B1755" s="11" t="inlineStr">
        <is>
          <t>Enchantment — Aura</t>
        </is>
      </c>
      <c r="C1755" s="11" t="inlineStr">
        <is>
          <t>Common / Comum</t>
        </is>
      </c>
      <c r="D1755" s="11" t="inlineStr">
        <is>
          <t>Enchant creature Enchanted creature loses all abilities and is a Toy artifact creature with base power and toughness 0/2 in addition to its other types. As long as enchanted creature is face down, it can't be turned face up.</t>
        </is>
      </c>
      <c r="E1755" s="11" t="inlineStr">
        <is>
          <t>{U}</t>
        </is>
      </c>
      <c r="F1755" s="11" t="inlineStr">
        <is>
          <t>Azul</t>
        </is>
      </c>
      <c r="G1755" s="8" t="n">
        <v>0.49</v>
      </c>
      <c r="H1755" s="11" t="inlineStr">
        <is>
          <t>Duskmourn: House of Horror (DSK)</t>
        </is>
      </c>
      <c r="I1755" s="11" t="inlineStr">
        <is>
          <t>Não</t>
        </is>
      </c>
      <c r="J1755" s="11" t="n">
        <v>2024</v>
      </c>
      <c r="L1755" s="11" t="n">
        <v>3</v>
      </c>
      <c r="M1755" s="8">
        <f>L1755*G1755</f>
        <v/>
      </c>
      <c r="P1755" s="9" t="n"/>
    </row>
    <row r="1756">
      <c r="A1756" s="11" t="inlineStr">
        <is>
          <t>Smoke Shroud / Manto de Fumaça</t>
        </is>
      </c>
      <c r="B1756" s="11" t="inlineStr">
        <is>
          <t>Enchantment — Aura / Encantamento — Aura</t>
        </is>
      </c>
      <c r="C1756" s="11" t="inlineStr">
        <is>
          <t>Common / Comum</t>
        </is>
      </c>
      <c r="D1756" s="11"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1756" s="11" t="inlineStr">
        <is>
          <t>{1}{U}</t>
        </is>
      </c>
      <c r="F1756" s="11" t="inlineStr">
        <is>
          <t>Azul</t>
        </is>
      </c>
      <c r="G1756" s="8" t="n">
        <v>0.13</v>
      </c>
      <c r="H1756" s="11" t="inlineStr">
        <is>
          <t>Modern Horizons (MH1)</t>
        </is>
      </c>
      <c r="I1756" s="11" t="inlineStr">
        <is>
          <t>Não</t>
        </is>
      </c>
      <c r="J1756" s="11" t="n">
        <v>2019</v>
      </c>
      <c r="L1756" s="11" t="n">
        <v>2</v>
      </c>
      <c r="M1756" s="8">
        <f>L1756*G1756</f>
        <v/>
      </c>
      <c r="P1756" s="9" t="n"/>
    </row>
    <row r="1757">
      <c r="A1757" s="11" t="inlineStr">
        <is>
          <t>Stratus Walk / Caminhar nos Estratos</t>
        </is>
      </c>
      <c r="B1757" s="11" t="inlineStr">
        <is>
          <t>Enchantment — Aura / Encantamento — Aura</t>
        </is>
      </c>
      <c r="C1757" s="11" t="inlineStr">
        <is>
          <t>Common / Comum</t>
        </is>
      </c>
      <c r="D1757" s="11"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1757" s="11" t="inlineStr">
        <is>
          <t>{1}{U}</t>
        </is>
      </c>
      <c r="F1757" s="11" t="inlineStr">
        <is>
          <t>Azul</t>
        </is>
      </c>
      <c r="G1757" s="8" t="n">
        <v>0.15</v>
      </c>
      <c r="H1757" s="11" t="inlineStr">
        <is>
          <t>Magic Origins (ORI)</t>
        </is>
      </c>
      <c r="I1757" s="11" t="inlineStr">
        <is>
          <t>Sim</t>
        </is>
      </c>
      <c r="J1757" s="11" t="n">
        <v>2015</v>
      </c>
      <c r="L1757" s="11" t="n">
        <v>1</v>
      </c>
      <c r="M1757" s="8">
        <f>L1757*G1757</f>
        <v/>
      </c>
      <c r="P1757" s="9" t="n"/>
    </row>
    <row r="1758">
      <c r="A1758" s="11" t="inlineStr">
        <is>
          <t>Dictate of Kruphix / Decreto de Crufix</t>
        </is>
      </c>
      <c r="B1758" s="11" t="inlineStr">
        <is>
          <t>Enchantment / Encantamento</t>
        </is>
      </c>
      <c r="C1758" s="11" t="inlineStr">
        <is>
          <t>Rare / Rara</t>
        </is>
      </c>
      <c r="D1758" s="11" t="inlineStr">
        <is>
          <t>Flash (You may cast this spell any time you could cast an instant.) At the beginning of each player's draw step, that player draws an additional card. / Lampejo No início da etapa de compra de cada jogador, aquele jogador compra um card adicional.</t>
        </is>
      </c>
      <c r="E1758" s="11" t="inlineStr">
        <is>
          <t>{1}{U}{U}</t>
        </is>
      </c>
      <c r="F1758" s="11" t="inlineStr">
        <is>
          <t>Azul</t>
        </is>
      </c>
      <c r="G1758" s="8" t="n">
        <v>0.5600000000000001</v>
      </c>
      <c r="H1758" s="11" t="inlineStr">
        <is>
          <t>Journey into Nyx Promos (PJOU)</t>
        </is>
      </c>
      <c r="I1758" s="11" t="inlineStr">
        <is>
          <t>Não</t>
        </is>
      </c>
      <c r="J1758" s="11" t="n">
        <v>2014</v>
      </c>
      <c r="L1758" s="11" t="n">
        <v>1</v>
      </c>
      <c r="M1758" s="8">
        <f>L1758*G1758</f>
        <v/>
      </c>
      <c r="P1758" s="9" t="n"/>
    </row>
    <row r="1759">
      <c r="A1759" s="11" t="inlineStr">
        <is>
          <t>Aqueous Form / Forma Aquosa</t>
        </is>
      </c>
      <c r="B1759" s="11" t="inlineStr">
        <is>
          <t>Enchantment — Aura / Encantamento — Aura</t>
        </is>
      </c>
      <c r="C1759" s="11" t="inlineStr">
        <is>
          <t>Common / Comum</t>
        </is>
      </c>
      <c r="D1759" s="11"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1759" s="11" t="inlineStr">
        <is>
          <t>{U}</t>
        </is>
      </c>
      <c r="F1759" s="11" t="inlineStr">
        <is>
          <t>Azul</t>
        </is>
      </c>
      <c r="G1759" s="8" t="n">
        <v>0.43</v>
      </c>
      <c r="H1759" s="11" t="inlineStr">
        <is>
          <t>Theros (THS)</t>
        </is>
      </c>
      <c r="I1759" s="11" t="inlineStr">
        <is>
          <t>Não</t>
        </is>
      </c>
      <c r="J1759" s="11" t="n">
        <v>2013</v>
      </c>
      <c r="L1759" s="11" t="n">
        <v>1</v>
      </c>
      <c r="M1759" s="8">
        <f>L1759*G1759</f>
        <v/>
      </c>
      <c r="P1759" s="9" t="n"/>
    </row>
    <row r="1760">
      <c r="A1760" s="11" t="inlineStr">
        <is>
          <t>Temporal Fissure / Fissura Temporal</t>
        </is>
      </c>
      <c r="B1760" s="11" t="inlineStr">
        <is>
          <t>Sorcery / Feitiço</t>
        </is>
      </c>
      <c r="C1760" s="11" t="inlineStr">
        <is>
          <t>Common / Comum</t>
        </is>
      </c>
      <c r="D1760" s="11"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1760" s="11" t="inlineStr">
        <is>
          <t>{4}{U}</t>
        </is>
      </c>
      <c r="F1760" s="11" t="inlineStr">
        <is>
          <t>Azul</t>
        </is>
      </c>
      <c r="G1760" s="8" t="n">
        <v>0.23</v>
      </c>
      <c r="H1760" s="11" t="inlineStr">
        <is>
          <t>Scourge (SCG)</t>
        </is>
      </c>
      <c r="I1760" s="11" t="inlineStr">
        <is>
          <t>Não</t>
        </is>
      </c>
      <c r="J1760" s="11" t="n">
        <v>2003</v>
      </c>
      <c r="L1760" s="11" t="n">
        <v>1</v>
      </c>
      <c r="M1760" s="8">
        <f>L1760*G1760</f>
        <v/>
      </c>
      <c r="P1760" s="9" t="n"/>
    </row>
    <row r="1761">
      <c r="A1761" s="11" t="inlineStr">
        <is>
          <t>Inspiration from Beyond</t>
        </is>
      </c>
      <c r="B1761" s="11" t="inlineStr">
        <is>
          <t>Sorcery</t>
        </is>
      </c>
      <c r="C1761" s="11" t="inlineStr">
        <is>
          <t>Uncommon / Incomum</t>
        </is>
      </c>
      <c r="D1761" s="11" t="inlineStr">
        <is>
          <t>Mill three cards, then return an instant or sorcery card from your graveyard to your hand. Flashback {5}{U}{U} (You may cast this card from your graveyard for its flashback cost. Then exile it.)</t>
        </is>
      </c>
      <c r="E1761" s="11" t="inlineStr">
        <is>
          <t>{2}{U}</t>
        </is>
      </c>
      <c r="F1761" s="11" t="inlineStr">
        <is>
          <t>Azul</t>
        </is>
      </c>
      <c r="G1761" s="8" t="n">
        <v>0.09</v>
      </c>
      <c r="H1761" s="11" t="inlineStr">
        <is>
          <t>Foundations (FDN)</t>
        </is>
      </c>
      <c r="I1761" s="11" t="inlineStr">
        <is>
          <t>Não</t>
        </is>
      </c>
      <c r="J1761" s="11" t="n">
        <v>2024</v>
      </c>
      <c r="L1761" s="11" t="n">
        <v>3</v>
      </c>
      <c r="M1761" s="8">
        <f>L1761*G1761</f>
        <v/>
      </c>
      <c r="P1761" s="9" t="n"/>
    </row>
    <row r="1762">
      <c r="A1762" s="11" t="inlineStr">
        <is>
          <t>Displacement Wave / Onda de Deslocamento</t>
        </is>
      </c>
      <c r="B1762" s="11" t="inlineStr">
        <is>
          <t>Sorcery / Feitiço</t>
        </is>
      </c>
      <c r="C1762" s="11" t="inlineStr">
        <is>
          <t>Rare / Rara</t>
        </is>
      </c>
      <c r="D1762" s="11" t="inlineStr">
        <is>
          <t>Return all nonland permanents with mana value X or less to their owners' hands. / Devolva todas as permanentes que não sejam terreno com custo de mana convertido igual a X ou menos para as mãos de seus donos.</t>
        </is>
      </c>
      <c r="E1762" s="11" t="inlineStr">
        <is>
          <t>{X}{U}{U}</t>
        </is>
      </c>
      <c r="F1762" s="11" t="inlineStr">
        <is>
          <t>Azul</t>
        </is>
      </c>
      <c r="G1762" s="8" t="n">
        <v>0.73</v>
      </c>
      <c r="H1762" s="11" t="inlineStr">
        <is>
          <t>Magic Origins (ORI)</t>
        </is>
      </c>
      <c r="I1762" s="11" t="inlineStr">
        <is>
          <t>Não</t>
        </is>
      </c>
      <c r="J1762" s="11" t="n">
        <v>2015</v>
      </c>
      <c r="L1762" s="11" t="n">
        <v>1</v>
      </c>
      <c r="M1762" s="8">
        <f>L1762*G1762</f>
        <v/>
      </c>
      <c r="P1762" s="9" t="n"/>
    </row>
    <row r="1763">
      <c r="A1763" s="11" t="inlineStr">
        <is>
          <t>Shared Discovery / Descoberta Compartilhada</t>
        </is>
      </c>
      <c r="B1763" s="11" t="inlineStr">
        <is>
          <t>Sorcery / Feitiço</t>
        </is>
      </c>
      <c r="C1763" s="11" t="inlineStr">
        <is>
          <t>Common / Comum</t>
        </is>
      </c>
      <c r="D1763" s="11" t="inlineStr">
        <is>
          <t>As an additional cost to cast this spell, tap four untapped creatures you control. Draw three cards. / Como custo adicional para conjurar Descoberta Compartilhada, vire quatro criaturas desviradas que você controla. Compre três cards.</t>
        </is>
      </c>
      <c r="E1763" s="11" t="inlineStr">
        <is>
          <t>{U}</t>
        </is>
      </c>
      <c r="F1763" s="11" t="inlineStr">
        <is>
          <t>Azul</t>
        </is>
      </c>
      <c r="G1763" s="8" t="n">
        <v>0.3</v>
      </c>
      <c r="H1763" s="11" t="inlineStr">
        <is>
          <t>Rise of the Eldrazi (ROE)</t>
        </is>
      </c>
      <c r="I1763" s="11" t="inlineStr">
        <is>
          <t>Não</t>
        </is>
      </c>
      <c r="J1763" s="11" t="n">
        <v>2010</v>
      </c>
      <c r="L1763" s="11" t="n">
        <v>1</v>
      </c>
      <c r="M1763" s="8">
        <f>L1763*G1763</f>
        <v/>
      </c>
      <c r="P1763" s="9" t="n"/>
    </row>
    <row r="1764">
      <c r="A1764" s="11" t="inlineStr">
        <is>
          <t>Consuming Tide / Maré Consumidora</t>
        </is>
      </c>
      <c r="B1764" s="11" t="inlineStr">
        <is>
          <t>Sorcery / Feitiço</t>
        </is>
      </c>
      <c r="C1764" s="11" t="inlineStr">
        <is>
          <t>Rare / Rara</t>
        </is>
      </c>
      <c r="D1764" s="11"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1764" s="11" t="inlineStr">
        <is>
          <t>{2}{U}{U}</t>
        </is>
      </c>
      <c r="F1764" s="11" t="inlineStr">
        <is>
          <t>Azul</t>
        </is>
      </c>
      <c r="G1764" s="8" t="n">
        <v>1.99</v>
      </c>
      <c r="H1764" s="11" t="inlineStr">
        <is>
          <t>Innistrad: Crimson Vow Promos (PVOW)</t>
        </is>
      </c>
      <c r="I1764" s="11" t="inlineStr">
        <is>
          <t>Sim</t>
        </is>
      </c>
      <c r="J1764" s="11" t="n">
        <v>2021</v>
      </c>
      <c r="L1764" s="11" t="n">
        <v>1</v>
      </c>
      <c r="M1764" s="8">
        <f>L1764*G1764</f>
        <v/>
      </c>
      <c r="P1764" s="9" t="n"/>
    </row>
    <row r="1765">
      <c r="A1765" s="11" t="inlineStr">
        <is>
          <t>Divination / Divinação</t>
        </is>
      </c>
      <c r="B1765" s="11" t="inlineStr">
        <is>
          <t>Sorcery / Feitiço</t>
        </is>
      </c>
      <c r="C1765" s="11" t="inlineStr">
        <is>
          <t>Common / Comum</t>
        </is>
      </c>
      <c r="D1765" s="11" t="inlineStr">
        <is>
          <t>Draw two cards. / Compre dois cards.</t>
        </is>
      </c>
      <c r="E1765" s="11" t="inlineStr">
        <is>
          <t>{2}{U}</t>
        </is>
      </c>
      <c r="F1765" s="11" t="inlineStr">
        <is>
          <t>Azul</t>
        </is>
      </c>
      <c r="G1765" s="8" t="n">
        <v>0.29</v>
      </c>
      <c r="H1765" s="11" t="inlineStr">
        <is>
          <t>Magic 2013 (M13)</t>
        </is>
      </c>
      <c r="I1765" s="11" t="inlineStr">
        <is>
          <t>Sim</t>
        </is>
      </c>
      <c r="J1765" s="11" t="n">
        <v>2012</v>
      </c>
      <c r="L1765" s="11" t="n">
        <v>1</v>
      </c>
      <c r="M1765" s="8">
        <f>L1765*G1765</f>
        <v/>
      </c>
      <c r="P1765" s="9" t="n"/>
    </row>
    <row r="1766">
      <c r="A1766" s="11" t="inlineStr">
        <is>
          <t>Contentious Plan / Plano Polêmico</t>
        </is>
      </c>
      <c r="B1766" s="11" t="inlineStr">
        <is>
          <t>Sorcery / Feitiço</t>
        </is>
      </c>
      <c r="C1766" s="11" t="inlineStr">
        <is>
          <t>Common / Comum</t>
        </is>
      </c>
      <c r="D1766" s="11"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1766" s="11" t="inlineStr">
        <is>
          <t>{1}{U}</t>
        </is>
      </c>
      <c r="F1766" s="11" t="inlineStr">
        <is>
          <t>Azul</t>
        </is>
      </c>
      <c r="G1766" s="8" t="n">
        <v>0.2</v>
      </c>
      <c r="H1766" s="11" t="inlineStr">
        <is>
          <t>War of the Spark (WAR)</t>
        </is>
      </c>
      <c r="I1766" s="11" t="inlineStr">
        <is>
          <t>Não</t>
        </is>
      </c>
      <c r="J1766" s="11" t="n">
        <v>2019</v>
      </c>
      <c r="L1766" s="11" t="n">
        <v>1</v>
      </c>
      <c r="M1766" s="8">
        <f>L1766*G1766</f>
        <v/>
      </c>
      <c r="P1766" s="9" t="n"/>
    </row>
    <row r="1767">
      <c r="A1767" s="11" t="inlineStr">
        <is>
          <t>Strategic Planning / Planejamento Estratégico</t>
        </is>
      </c>
      <c r="B1767" s="11" t="inlineStr">
        <is>
          <t>Sorcery / Feitiço</t>
        </is>
      </c>
      <c r="C1767" s="11" t="inlineStr">
        <is>
          <t>Uncommon / Incomum</t>
        </is>
      </c>
      <c r="D1767" s="11" t="inlineStr">
        <is>
          <t>Look at the top three cards of your library. Put one of them into your hand and the rest into your graveyard. / Olhe os três cards do topo de seu grimório. Coloque um deles em sua mão e o restante em seu cemitério.</t>
        </is>
      </c>
      <c r="E1767" s="11" t="inlineStr">
        <is>
          <t>{1}{U}</t>
        </is>
      </c>
      <c r="F1767" s="11" t="inlineStr">
        <is>
          <t>Azul</t>
        </is>
      </c>
      <c r="G1767" s="8" t="n">
        <v>0.25</v>
      </c>
      <c r="H1767" s="11" t="inlineStr">
        <is>
          <t>Strixhaven Mystical Archive (STA)</t>
        </is>
      </c>
      <c r="I1767" s="11" t="inlineStr">
        <is>
          <t>Não</t>
        </is>
      </c>
      <c r="J1767" s="11" t="n">
        <v>2021</v>
      </c>
      <c r="L1767" s="11" t="n">
        <v>2</v>
      </c>
      <c r="M1767" s="8">
        <f>L1767*G1767</f>
        <v/>
      </c>
      <c r="P1767" s="9" t="n"/>
    </row>
    <row r="1768">
      <c r="A1768" s="11" t="inlineStr">
        <is>
          <t>Retraction Helix / Hélice de Retração</t>
        </is>
      </c>
      <c r="B1768" s="11" t="inlineStr">
        <is>
          <t>Instant / Mágica Instantânea</t>
        </is>
      </c>
      <c r="C1768" s="11" t="inlineStr">
        <is>
          <t>Common / Comum</t>
        </is>
      </c>
      <c r="D1768" s="11" t="inlineStr">
        <is>
          <t>Until end of turn, target creature gains "{T}: Return target nonland permanent to its owner's hand." / Até o final do turno, a criatura alvo ganha "{T}: Devolva a permanente alvo que não seja um terreno para a mão de seu dono."</t>
        </is>
      </c>
      <c r="E1768" s="11" t="inlineStr">
        <is>
          <t>{U}</t>
        </is>
      </c>
      <c r="F1768" s="11" t="inlineStr">
        <is>
          <t>Azul</t>
        </is>
      </c>
      <c r="G1768" s="8" t="n">
        <v>0.05</v>
      </c>
      <c r="H1768" s="11" t="inlineStr">
        <is>
          <t>Born of the Gods (BNG)</t>
        </is>
      </c>
      <c r="I1768" s="11" t="inlineStr">
        <is>
          <t>Não</t>
        </is>
      </c>
      <c r="J1768" s="11" t="n">
        <v>2014</v>
      </c>
      <c r="L1768" s="11" t="n">
        <v>1</v>
      </c>
      <c r="M1768" s="8">
        <f>L1768*G1768</f>
        <v/>
      </c>
      <c r="P1768" s="9" t="n"/>
    </row>
    <row r="1769">
      <c r="A1769" s="11" t="inlineStr">
        <is>
          <t>Bone to Ash / De Ossos a Cinzas</t>
        </is>
      </c>
      <c r="B1769" s="11" t="inlineStr">
        <is>
          <t>Instant / Mágica Instantânea</t>
        </is>
      </c>
      <c r="C1769" s="11" t="inlineStr">
        <is>
          <t>Common / Comum</t>
        </is>
      </c>
      <c r="D1769" s="11" t="inlineStr">
        <is>
          <t>Counter target creature spell. Draw a card. / Anule a mágica de criatura alvo.Compre um card.</t>
        </is>
      </c>
      <c r="E1769" s="11" t="inlineStr">
        <is>
          <t>{2}{U}{U}</t>
        </is>
      </c>
      <c r="F1769" s="11" t="inlineStr">
        <is>
          <t>Azul</t>
        </is>
      </c>
      <c r="G1769" s="8" t="n">
        <v>0.03</v>
      </c>
      <c r="H1769" s="11" t="inlineStr">
        <is>
          <t>Dark Ascension (DKA)</t>
        </is>
      </c>
      <c r="I1769" s="11" t="inlineStr">
        <is>
          <t>Não</t>
        </is>
      </c>
      <c r="J1769" s="11" t="n">
        <v>2012</v>
      </c>
      <c r="L1769" s="11" t="n">
        <v>1</v>
      </c>
      <c r="M1769" s="8">
        <f>L1769*G1769</f>
        <v/>
      </c>
      <c r="P1769" s="9" t="n"/>
    </row>
    <row r="1770">
      <c r="A1770" s="11" t="inlineStr">
        <is>
          <t>Distração Efêmera / Fleeting Distraction</t>
        </is>
      </c>
      <c r="B1770" s="11" t="inlineStr">
        <is>
          <t>Mágica Instantânea / Instant</t>
        </is>
      </c>
      <c r="C1770" s="11" t="inlineStr">
        <is>
          <t>Comum / Common</t>
        </is>
      </c>
      <c r="D1770" s="11" t="inlineStr">
        <is>
          <t>A criatura alvo recebe -1/-0 até o final do turno. Compre um card. / Target creature gets -1/-0 until end of turn. Draw a card.</t>
        </is>
      </c>
      <c r="E1770" s="11" t="inlineStr">
        <is>
          <t>{U}</t>
        </is>
      </c>
      <c r="F1770" s="11" t="inlineStr">
        <is>
          <t>Azul</t>
        </is>
      </c>
      <c r="G1770" s="8" t="n">
        <v>0.05</v>
      </c>
      <c r="H1770" s="11" t="inlineStr">
        <is>
          <t>Avacyn Restored (AVR)</t>
        </is>
      </c>
      <c r="I1770" s="11" t="inlineStr">
        <is>
          <t>Não</t>
        </is>
      </c>
      <c r="J1770" s="11" t="n">
        <v>2012</v>
      </c>
      <c r="L1770" s="11" t="n">
        <v>1</v>
      </c>
      <c r="M1770" s="8">
        <f>L1770*G1770</f>
        <v/>
      </c>
      <c r="P1770" s="9" t="n"/>
    </row>
    <row r="1771">
      <c r="A1771" s="11" t="inlineStr">
        <is>
          <t>Divine Favor / Proteção Divina</t>
        </is>
      </c>
      <c r="B1771" s="11" t="inlineStr">
        <is>
          <t>Enchantment — Aura / Encantamento — Aura</t>
        </is>
      </c>
      <c r="C1771" s="11" t="inlineStr">
        <is>
          <t>Common / Comum</t>
        </is>
      </c>
      <c r="D1771" s="11" t="inlineStr">
        <is>
          <t>Enchant creature When this Aura enters, you gain 3 life. Enchanted creature gets +1/+3. / Encantar criatura Quando Proteção Divina entra no campo de batalha, você ganha 3 pontos de vida. A criatura encantada recebe +1/+3.</t>
        </is>
      </c>
      <c r="E1771" s="11" t="inlineStr">
        <is>
          <t>{1}{W}</t>
        </is>
      </c>
      <c r="F1771" s="11" t="inlineStr">
        <is>
          <t>Branco</t>
        </is>
      </c>
      <c r="G1771" s="8" t="n">
        <v>0.06</v>
      </c>
      <c r="H1771" s="11" t="inlineStr">
        <is>
          <t>Magic 2014 (M14)</t>
        </is>
      </c>
      <c r="I1771" s="11" t="inlineStr">
        <is>
          <t>Não</t>
        </is>
      </c>
      <c r="J1771" s="11" t="n">
        <v>2013</v>
      </c>
      <c r="L1771" s="11" t="n">
        <v>4</v>
      </c>
      <c r="M1771" s="8">
        <f>L1771*G1771</f>
        <v/>
      </c>
      <c r="P1771" s="9" t="n"/>
    </row>
    <row r="1772">
      <c r="A1772" s="11" t="inlineStr">
        <is>
          <t>Kill Shot / Tiro Mortal</t>
        </is>
      </c>
      <c r="B1772" s="11" t="inlineStr">
        <is>
          <t>Instant / Mágica Instantânea</t>
        </is>
      </c>
      <c r="C1772" s="11" t="inlineStr">
        <is>
          <t>Common / Comum</t>
        </is>
      </c>
      <c r="D1772" s="11" t="inlineStr">
        <is>
          <t>Destroy target attacking creature. / Destrua a criatura atacante alvo.</t>
        </is>
      </c>
      <c r="E1772" s="11" t="inlineStr">
        <is>
          <t>{2}{W}</t>
        </is>
      </c>
      <c r="F1772" s="11" t="inlineStr">
        <is>
          <t>Branco</t>
        </is>
      </c>
      <c r="G1772" s="8" t="n">
        <v>0.06</v>
      </c>
      <c r="H1772" s="11" t="inlineStr">
        <is>
          <t>Streets of New Capenna (SNC)</t>
        </is>
      </c>
      <c r="I1772" s="11" t="inlineStr">
        <is>
          <t>Não</t>
        </is>
      </c>
      <c r="J1772" s="11" t="n">
        <v>2022</v>
      </c>
      <c r="L1772" s="11" t="n">
        <v>2</v>
      </c>
      <c r="M1772" s="8">
        <f>L1772*G1772</f>
        <v/>
      </c>
      <c r="P1772" s="9" t="n"/>
    </row>
    <row r="1773">
      <c r="A1773" s="11" t="inlineStr">
        <is>
          <t>Kill Shot / Tiro Mortal</t>
        </is>
      </c>
      <c r="B1773" s="11" t="inlineStr">
        <is>
          <t>Instant / Mágica Instantânea</t>
        </is>
      </c>
      <c r="C1773" s="11" t="inlineStr">
        <is>
          <t>Common / Comum</t>
        </is>
      </c>
      <c r="D1773" s="11" t="inlineStr">
        <is>
          <t>Destroy target attacking creature. / Destrua a criatura atacante alvo.</t>
        </is>
      </c>
      <c r="E1773" s="11" t="inlineStr">
        <is>
          <t>{2}{W}</t>
        </is>
      </c>
      <c r="F1773" s="11" t="inlineStr">
        <is>
          <t>Branco</t>
        </is>
      </c>
      <c r="G1773" s="8" t="n">
        <v>0.05</v>
      </c>
      <c r="H1773" s="11" t="inlineStr">
        <is>
          <t>Tarkir Khans</t>
        </is>
      </c>
      <c r="I1773" s="11" t="inlineStr">
        <is>
          <t>Não</t>
        </is>
      </c>
      <c r="J1773" s="11" t="n">
        <v>2014</v>
      </c>
      <c r="L1773" s="11" t="n">
        <v>4</v>
      </c>
      <c r="M1773" s="8">
        <f>L1773*G1773</f>
        <v/>
      </c>
      <c r="P1773" s="9" t="n"/>
    </row>
    <row r="1774">
      <c r="A1774" s="11" t="inlineStr">
        <is>
          <t>Faith's Shield / Escudo da Fé</t>
        </is>
      </c>
      <c r="B1774" s="11" t="inlineStr">
        <is>
          <t>Instant / Mágica Instantânea</t>
        </is>
      </c>
      <c r="C1774" s="11" t="inlineStr">
        <is>
          <t>Uncommon / Incomum</t>
        </is>
      </c>
      <c r="D1774" s="11"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1774" s="11" t="inlineStr">
        <is>
          <t>{W}</t>
        </is>
      </c>
      <c r="F1774" s="11" t="inlineStr">
        <is>
          <t>Branco</t>
        </is>
      </c>
      <c r="G1774" s="8" t="n">
        <v>0.23</v>
      </c>
      <c r="H1774" s="11" t="inlineStr">
        <is>
          <t>Dark Ascension (DKA)</t>
        </is>
      </c>
      <c r="I1774" s="11" t="inlineStr">
        <is>
          <t>Não</t>
        </is>
      </c>
      <c r="J1774" s="11" t="n">
        <v>2012</v>
      </c>
      <c r="L1774" s="11" t="n">
        <v>4</v>
      </c>
      <c r="M1774" s="8">
        <f>L1774*G1774</f>
        <v/>
      </c>
      <c r="P1774" s="9" t="n"/>
    </row>
    <row r="1775">
      <c r="A1775" s="11" t="inlineStr">
        <is>
          <t>Join the Ranks / Junte-se aos Bons</t>
        </is>
      </c>
      <c r="B1775" s="11" t="inlineStr">
        <is>
          <t>Instant / Mágica Instantânea</t>
        </is>
      </c>
      <c r="C1775" s="11" t="inlineStr">
        <is>
          <t>Common / Comum</t>
        </is>
      </c>
      <c r="D1775" s="11" t="inlineStr">
        <is>
          <t>Create two 1/1 white Soldier Ally creature tokens. / Coloque no campo de batalha duas fichas de criatura brancas 1/1 do tipo Soldado Aliado.</t>
        </is>
      </c>
      <c r="E1775" s="11" t="inlineStr">
        <is>
          <t>{3}{W}</t>
        </is>
      </c>
      <c r="F1775" s="11" t="inlineStr">
        <is>
          <t>Branco</t>
        </is>
      </c>
      <c r="G1775" s="8" t="n">
        <v>0.06</v>
      </c>
      <c r="H1775" s="11" t="inlineStr">
        <is>
          <t>Worldwake (WWK)</t>
        </is>
      </c>
      <c r="I1775" s="11" t="inlineStr">
        <is>
          <t>Não</t>
        </is>
      </c>
      <c r="J1775" s="11" t="n">
        <v>2010</v>
      </c>
      <c r="L1775" s="11" t="n">
        <v>4</v>
      </c>
      <c r="M1775" s="8">
        <f>L1775*G1775</f>
        <v/>
      </c>
      <c r="P1775" s="9" t="n"/>
    </row>
    <row r="1776">
      <c r="A1776" s="11" t="inlineStr">
        <is>
          <t>Karametra's Blessing / Bênção de Carametra</t>
        </is>
      </c>
      <c r="B1776" s="11" t="inlineStr">
        <is>
          <t>Instant / Mágica Instantânea</t>
        </is>
      </c>
      <c r="C1776" s="11" t="inlineStr">
        <is>
          <t>Common / Comum</t>
        </is>
      </c>
      <c r="D1776" s="11"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1776" s="11" t="inlineStr">
        <is>
          <t>{W}</t>
        </is>
      </c>
      <c r="F1776" s="11" t="inlineStr">
        <is>
          <t>Branco</t>
        </is>
      </c>
      <c r="G1776" s="8" t="n">
        <v>0.03</v>
      </c>
      <c r="H1776" s="11" t="inlineStr">
        <is>
          <t>Theros Beyond Death (THB)</t>
        </is>
      </c>
      <c r="I1776" s="11" t="inlineStr">
        <is>
          <t>Não</t>
        </is>
      </c>
      <c r="J1776" s="11" t="n">
        <v>2020</v>
      </c>
      <c r="L1776" s="11" t="n">
        <v>4</v>
      </c>
      <c r="M1776" s="8">
        <f>L1776*G1776</f>
        <v/>
      </c>
      <c r="P1776" s="9" t="n"/>
    </row>
    <row r="1777">
      <c r="A1777" s="11" t="inlineStr">
        <is>
          <t>You Hear Something on Watch / Vocês Ouvem Algo Enquanto Vigiam</t>
        </is>
      </c>
      <c r="B1777" s="11" t="inlineStr">
        <is>
          <t>Instant / Mágica Instantânea</t>
        </is>
      </c>
      <c r="C1777" s="11" t="inlineStr">
        <is>
          <t>Common / Comum</t>
        </is>
      </c>
      <c r="D1777" s="11"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1777" s="11" t="inlineStr">
        <is>
          <t>{1}{W}</t>
        </is>
      </c>
      <c r="F1777" s="11" t="inlineStr">
        <is>
          <t>Branco</t>
        </is>
      </c>
      <c r="G1777" s="8" t="n">
        <v>0.14</v>
      </c>
      <c r="H1777" s="11" t="inlineStr">
        <is>
          <t>Adventures in the Forgotten Realms (AFR)</t>
        </is>
      </c>
      <c r="I1777" s="11" t="inlineStr">
        <is>
          <t>Sim</t>
        </is>
      </c>
      <c r="J1777" s="11" t="n">
        <v>2021</v>
      </c>
      <c r="L1777" s="11" t="n">
        <v>4</v>
      </c>
      <c r="M1777" s="8">
        <f>L1777*G1777</f>
        <v/>
      </c>
      <c r="P1777" s="9" t="n"/>
    </row>
    <row r="1778">
      <c r="A1778" s="11" t="inlineStr">
        <is>
          <t>Divine Arrow / Flecha Divina</t>
        </is>
      </c>
      <c r="B1778" s="11" t="inlineStr">
        <is>
          <t>Instant / Mágica Instantânea</t>
        </is>
      </c>
      <c r="C1778" s="11" t="inlineStr">
        <is>
          <t>Common / Comum</t>
        </is>
      </c>
      <c r="D1778" s="11" t="inlineStr">
        <is>
          <t>Divine Arrow deals 4 damage to target attacking or blocking creature. / Flecha Divina causa 4 pontos de dano à criatura alvo atacante ou bloqueadora.</t>
        </is>
      </c>
      <c r="E1778" s="11" t="inlineStr">
        <is>
          <t>{1}{W}</t>
        </is>
      </c>
      <c r="F1778" s="11" t="inlineStr">
        <is>
          <t>Branco</t>
        </is>
      </c>
      <c r="G1778" s="8" t="n">
        <v>0.03</v>
      </c>
      <c r="H1778" s="11" t="inlineStr">
        <is>
          <t>War of the Spark (WAR)</t>
        </is>
      </c>
      <c r="I1778" s="11" t="inlineStr">
        <is>
          <t>Sim</t>
        </is>
      </c>
      <c r="J1778" s="11" t="n">
        <v>2019</v>
      </c>
      <c r="L1778" s="11" t="n">
        <v>4</v>
      </c>
      <c r="M1778" s="8">
        <f>L1778*G1778</f>
        <v/>
      </c>
      <c r="P1778" s="9" t="n"/>
    </row>
    <row r="1779">
      <c r="A1779" s="11" t="inlineStr">
        <is>
          <t>Pacifism / Pacifismo</t>
        </is>
      </c>
      <c r="B1779" s="11" t="inlineStr">
        <is>
          <t>Enchantment — Aura / Encantamento — Aura</t>
        </is>
      </c>
      <c r="C1779" s="11" t="inlineStr">
        <is>
          <t>Common / Comum</t>
        </is>
      </c>
      <c r="D1779" s="11" t="inlineStr">
        <is>
          <t>Enchant creature Enchanted creature can't attack or block. / Encantar criatura A criatura encantada não pode atacar nem bloquear.</t>
        </is>
      </c>
      <c r="E1779" s="11" t="inlineStr">
        <is>
          <t>{1}{W}</t>
        </is>
      </c>
      <c r="F1779" s="11" t="inlineStr">
        <is>
          <t>Branco</t>
        </is>
      </c>
      <c r="G1779" s="8" t="n">
        <v>0.06</v>
      </c>
      <c r="H1779" s="11" t="inlineStr">
        <is>
          <t>Ikoria: Lair of Behemoths (IKO)</t>
        </is>
      </c>
      <c r="I1779" s="11" t="inlineStr">
        <is>
          <t>Não</t>
        </is>
      </c>
      <c r="J1779" s="11" t="n">
        <v>2020</v>
      </c>
      <c r="L1779" s="11" t="n">
        <v>4</v>
      </c>
      <c r="M1779" s="8">
        <f>L1779*G1779</f>
        <v/>
      </c>
      <c r="P1779" s="9" t="n"/>
    </row>
    <row r="1780">
      <c r="A1780" s="11" t="inlineStr">
        <is>
          <t>Legion Conquistador / Conquistador da Legião</t>
        </is>
      </c>
      <c r="B1780" s="11" t="inlineStr">
        <is>
          <t>Creature — Vampire Soldier / Criatura — Vampiro Soldado</t>
        </is>
      </c>
      <c r="C1780" s="11" t="inlineStr">
        <is>
          <t>Common / Comum</t>
        </is>
      </c>
      <c r="D1780" s="11"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80" s="11" t="inlineStr">
        <is>
          <t>{2}{W}</t>
        </is>
      </c>
      <c r="F1780" s="11" t="inlineStr">
        <is>
          <t>Branco</t>
        </is>
      </c>
      <c r="G1780" s="8" t="n">
        <v>0.03</v>
      </c>
      <c r="H1780" s="11" t="inlineStr">
        <is>
          <t>Rivals of Ixalan (RIX)</t>
        </is>
      </c>
      <c r="I1780" s="11" t="inlineStr">
        <is>
          <t>Não</t>
        </is>
      </c>
      <c r="J1780" s="11" t="n">
        <v>2018</v>
      </c>
      <c r="K1780" s="10" t="n">
        <v>46055</v>
      </c>
      <c r="L1780" s="11" t="n">
        <v>7</v>
      </c>
      <c r="M1780" s="8">
        <f>L1780*G1780</f>
        <v/>
      </c>
      <c r="P1780" s="9" t="n"/>
    </row>
    <row r="1781">
      <c r="A1781" s="11" t="inlineStr">
        <is>
          <t>Legion Conquistador / Conquistador da Legião</t>
        </is>
      </c>
      <c r="B1781" s="11" t="inlineStr">
        <is>
          <t>Creature — Vampire Soldier / Criatura — Vampiro Soldado</t>
        </is>
      </c>
      <c r="C1781" s="11" t="inlineStr">
        <is>
          <t>Common / Comum</t>
        </is>
      </c>
      <c r="D1781" s="11"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81" s="11" t="inlineStr">
        <is>
          <t>{2}{W}</t>
        </is>
      </c>
      <c r="F1781" s="11" t="inlineStr">
        <is>
          <t>Branco</t>
        </is>
      </c>
      <c r="G1781" s="8" t="n">
        <v>0.03</v>
      </c>
      <c r="H1781" s="11" t="inlineStr">
        <is>
          <t>Ixalan (XLN)</t>
        </is>
      </c>
      <c r="I1781" s="11" t="inlineStr">
        <is>
          <t>Não</t>
        </is>
      </c>
      <c r="J1781" s="11" t="n">
        <v>2017</v>
      </c>
      <c r="K1781" s="10" t="n">
        <v>46055</v>
      </c>
      <c r="L1781" s="11" t="n">
        <v>1</v>
      </c>
      <c r="M1781" s="8">
        <f>L1781*G1781</f>
        <v/>
      </c>
      <c r="P1781" s="9" t="n"/>
    </row>
    <row r="1782">
      <c r="A1782" s="11" t="inlineStr">
        <is>
          <t>Angelic Wall / Barreira Angelical</t>
        </is>
      </c>
      <c r="B1782" s="11" t="inlineStr">
        <is>
          <t>Creature — Wall / Criatura — Barreira</t>
        </is>
      </c>
      <c r="C1782" s="11" t="inlineStr">
        <is>
          <t>Common / Comum</t>
        </is>
      </c>
      <c r="D1782" s="11" t="inlineStr">
        <is>
          <t>Defender (This creature can't attack.) Flying / Defensor (Esta criatura não pode atacar.)Voar</t>
        </is>
      </c>
      <c r="E1782" s="11" t="inlineStr">
        <is>
          <t>{1}{W}</t>
        </is>
      </c>
      <c r="F1782" s="11" t="inlineStr">
        <is>
          <t>Branco</t>
        </is>
      </c>
      <c r="G1782" s="8" t="n">
        <v>0.08</v>
      </c>
      <c r="H1782" s="11" t="inlineStr">
        <is>
          <t>Avacyn Restored (AVR)</t>
        </is>
      </c>
      <c r="I1782" s="11" t="inlineStr">
        <is>
          <t>Não</t>
        </is>
      </c>
      <c r="J1782" s="11" t="n">
        <v>2012</v>
      </c>
      <c r="K1782" s="11" t="inlineStr">
        <is>
          <t>0/4</t>
        </is>
      </c>
      <c r="L1782" s="11" t="n">
        <v>5</v>
      </c>
      <c r="M1782" s="8">
        <f>L1782*G1782</f>
        <v/>
      </c>
      <c r="P1782" s="9" t="n"/>
    </row>
    <row r="1783">
      <c r="A1783" s="11" t="inlineStr">
        <is>
          <t>Owlin Historian</t>
        </is>
      </c>
      <c r="B1783" s="11" t="inlineStr">
        <is>
          <t>Creature — Bird Cleric</t>
        </is>
      </c>
      <c r="C1783" s="11" t="inlineStr">
        <is>
          <t>Common / Comum</t>
        </is>
      </c>
      <c r="D1783" s="11" t="inlineStr">
        <is>
          <t>Flying When this creature enters, surveil 1. (Look at the top card of your library. You may put it into your graveyard.) Whenever one or more cards leave your graveyard, this creature gets +1/+1 until end of turn.</t>
        </is>
      </c>
      <c r="E1783" s="11" t="inlineStr">
        <is>
          <t>{2}{W}</t>
        </is>
      </c>
      <c r="F1783" s="11" t="inlineStr">
        <is>
          <t>Branco</t>
        </is>
      </c>
      <c r="G1783" s="8" t="n">
        <v>0.29</v>
      </c>
      <c r="H1783" s="11" t="inlineStr">
        <is>
          <t>Secrets of Strixhaven (SOS)</t>
        </is>
      </c>
      <c r="I1783" s="11" t="inlineStr">
        <is>
          <t>Sim</t>
        </is>
      </c>
      <c r="J1783" s="11" t="n">
        <v>2026</v>
      </c>
      <c r="K1783" s="10" t="n">
        <v>46083</v>
      </c>
      <c r="L1783" s="11" t="n">
        <v>1</v>
      </c>
      <c r="M1783" s="8">
        <f>L1783*G1783</f>
        <v/>
      </c>
      <c r="P1783" s="9" t="n"/>
    </row>
    <row r="1784">
      <c r="A1784" s="11" t="inlineStr">
        <is>
          <t>Owlin Historian</t>
        </is>
      </c>
      <c r="B1784" s="11" t="inlineStr">
        <is>
          <t>Creature — Bird Cleric</t>
        </is>
      </c>
      <c r="C1784" s="11" t="inlineStr">
        <is>
          <t>Common / Comum</t>
        </is>
      </c>
      <c r="D1784" s="11" t="inlineStr">
        <is>
          <t>Flying When this creature enters, surveil 1. (Look at the top card of your library. You may put it into your graveyard.) Whenever one or more cards leave your graveyard, this creature gets +1/+1 until end of turn.</t>
        </is>
      </c>
      <c r="E1784" s="11" t="inlineStr">
        <is>
          <t>{2}{W}</t>
        </is>
      </c>
      <c r="F1784" s="11" t="inlineStr">
        <is>
          <t>Branco</t>
        </is>
      </c>
      <c r="G1784" s="8" t="n">
        <v>0.07000000000000001</v>
      </c>
      <c r="H1784" s="11" t="inlineStr">
        <is>
          <t>Secrets of Strixhaven (SOS)</t>
        </is>
      </c>
      <c r="I1784" s="11" t="inlineStr">
        <is>
          <t>Sim</t>
        </is>
      </c>
      <c r="J1784" s="11" t="n">
        <v>2026</v>
      </c>
      <c r="K1784" s="10" t="n">
        <v>46083</v>
      </c>
      <c r="L1784" s="11" t="n">
        <v>3</v>
      </c>
      <c r="M1784" s="8">
        <f>L1784*G1784</f>
        <v/>
      </c>
      <c r="P1784" s="9" t="n"/>
    </row>
    <row r="1785">
      <c r="A1785" s="11" t="inlineStr">
        <is>
          <t>Lifecreed Duo</t>
        </is>
      </c>
      <c r="B1785" s="11" t="inlineStr">
        <is>
          <t>Creature — Bat Bird</t>
        </is>
      </c>
      <c r="C1785" s="11" t="inlineStr">
        <is>
          <t>Common / Comum</t>
        </is>
      </c>
      <c r="D1785" s="11" t="inlineStr">
        <is>
          <t>Flying Whenever another creature you control enters, you gain 1 life.</t>
        </is>
      </c>
      <c r="E1785" s="11" t="inlineStr">
        <is>
          <t>{1}{W}</t>
        </is>
      </c>
      <c r="F1785" s="11" t="inlineStr">
        <is>
          <t>Branco</t>
        </is>
      </c>
      <c r="G1785" s="8" t="n">
        <v>0.25</v>
      </c>
      <c r="H1785" s="11" t="inlineStr">
        <is>
          <t>Bloomburrow (BLB)</t>
        </is>
      </c>
      <c r="I1785" s="11" t="inlineStr">
        <is>
          <t>Sim</t>
        </is>
      </c>
      <c r="J1785" s="11" t="n">
        <v>2024</v>
      </c>
      <c r="K1785" s="10" t="n">
        <v>46054</v>
      </c>
      <c r="L1785" s="11" t="n">
        <v>4</v>
      </c>
      <c r="M1785" s="8">
        <f>L1785*G1785</f>
        <v/>
      </c>
      <c r="P1785" s="9" t="n"/>
    </row>
    <row r="1786">
      <c r="A1786" s="11" t="inlineStr">
        <is>
          <t>Conclave Equenaut / Viajante Eqüestre do Conclave</t>
        </is>
      </c>
      <c r="B1786" s="11" t="inlineStr">
        <is>
          <t>Creature — Human Soldier / Criatura - Soldado Humano</t>
        </is>
      </c>
      <c r="C1786" s="11" t="inlineStr">
        <is>
          <t>Common / Comum</t>
        </is>
      </c>
      <c r="D1786" s="11"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1786" s="11" t="inlineStr">
        <is>
          <t>{4}{W}{W}</t>
        </is>
      </c>
      <c r="F1786" s="11" t="inlineStr">
        <is>
          <t>Branco</t>
        </is>
      </c>
      <c r="G1786" s="8" t="n">
        <v>0.08</v>
      </c>
      <c r="H1786" s="11" t="inlineStr">
        <is>
          <t>Ravnica Remastered (RVR)</t>
        </is>
      </c>
      <c r="I1786" s="11" t="inlineStr">
        <is>
          <t>Não</t>
        </is>
      </c>
      <c r="J1786" s="11" t="n">
        <v>2024</v>
      </c>
      <c r="K1786" s="10" t="n">
        <v>46084</v>
      </c>
      <c r="L1786" s="11" t="n">
        <v>6</v>
      </c>
      <c r="M1786" s="8">
        <f>L1786*G1786</f>
        <v/>
      </c>
      <c r="P1786" s="9" t="n"/>
    </row>
    <row r="1787">
      <c r="A1787" s="11" t="inlineStr">
        <is>
          <t>Trained Caracal / Caracal Treinado</t>
        </is>
      </c>
      <c r="B1787" s="11" t="inlineStr">
        <is>
          <t>Creature — Cat / Criatura — Felino</t>
        </is>
      </c>
      <c r="C1787" s="11" t="inlineStr">
        <is>
          <t>Common / Comum</t>
        </is>
      </c>
      <c r="D1787" s="11" t="inlineStr">
        <is>
          <t>Lifelink (Damage dealt by this creature also causes you to gain that much life.) / Vínculo com a vida (O dano causado por esta criatura faz com que você ganhe uma quantidade equivalente de pontos de vida.)</t>
        </is>
      </c>
      <c r="E1787" s="11" t="inlineStr">
        <is>
          <t>{W}</t>
        </is>
      </c>
      <c r="F1787" s="11" t="inlineStr">
        <is>
          <t>Branco</t>
        </is>
      </c>
      <c r="G1787" s="8" t="n">
        <v>0.06</v>
      </c>
      <c r="H1787" s="11" t="inlineStr">
        <is>
          <t>Return to Ravnica (RTR)</t>
        </is>
      </c>
      <c r="I1787" s="11" t="inlineStr">
        <is>
          <t>Não</t>
        </is>
      </c>
      <c r="J1787" s="11" t="n">
        <v>2012</v>
      </c>
      <c r="K1787" s="10" t="n">
        <v>46023</v>
      </c>
      <c r="L1787" s="11" t="n">
        <v>4</v>
      </c>
      <c r="M1787" s="8">
        <f>L1787*G1787</f>
        <v/>
      </c>
      <c r="P1787" s="9" t="n"/>
    </row>
    <row r="1788">
      <c r="A1788" s="11" t="inlineStr">
        <is>
          <t>Infantry Veteran / Veterano da Infantaria</t>
        </is>
      </c>
      <c r="B1788" s="11" t="inlineStr">
        <is>
          <t>Creature — Human Soldier / Criatura — Humano Soldado</t>
        </is>
      </c>
      <c r="C1788" s="11" t="inlineStr">
        <is>
          <t>Common / Comum</t>
        </is>
      </c>
      <c r="D1788" s="11" t="inlineStr">
        <is>
          <t>{T}: Target attacking creature gets +1/+1 until end of turn. / {T}: A criatura alvo atacante recebe +1/+1 até o final do turno.</t>
        </is>
      </c>
      <c r="E1788" s="11" t="inlineStr">
        <is>
          <t>{W}</t>
        </is>
      </c>
      <c r="F1788" s="11" t="inlineStr">
        <is>
          <t>Branco</t>
        </is>
      </c>
      <c r="G1788" s="8" t="n">
        <v>0.07000000000000001</v>
      </c>
      <c r="H1788" s="11" t="inlineStr">
        <is>
          <t>Iconic Masters (IMA)</t>
        </is>
      </c>
      <c r="I1788" s="11" t="inlineStr">
        <is>
          <t>Não</t>
        </is>
      </c>
      <c r="J1788" s="11" t="n">
        <v>2017</v>
      </c>
      <c r="K1788" s="10" t="n">
        <v>46023</v>
      </c>
      <c r="L1788" s="11" t="n">
        <v>4</v>
      </c>
      <c r="M1788" s="8">
        <f>L1788*G1788</f>
        <v/>
      </c>
      <c r="P1788" s="9" t="n"/>
    </row>
    <row r="1789">
      <c r="A1789" s="11" t="inlineStr">
        <is>
          <t>Raptor Companion / Companheiro Raptor</t>
        </is>
      </c>
      <c r="B1789" s="11" t="inlineStr">
        <is>
          <t>Creature — Dinosaur / Criatura — Dinossauro</t>
        </is>
      </c>
      <c r="C1789" s="11" t="inlineStr">
        <is>
          <t>Common / Comum</t>
        </is>
      </c>
      <c r="E1789" s="11" t="inlineStr">
        <is>
          <t>{1}{W}</t>
        </is>
      </c>
      <c r="F1789" s="11" t="inlineStr">
        <is>
          <t>Branco</t>
        </is>
      </c>
      <c r="G1789" s="8" t="n">
        <v>0.03</v>
      </c>
      <c r="H1789" s="11" t="inlineStr">
        <is>
          <t>Ixalan (XLN)</t>
        </is>
      </c>
      <c r="I1789" s="11" t="inlineStr">
        <is>
          <t>Não</t>
        </is>
      </c>
      <c r="J1789" s="11" t="n">
        <v>2017</v>
      </c>
      <c r="K1789" s="10" t="n">
        <v>46025</v>
      </c>
      <c r="L1789" s="11" t="n">
        <v>6</v>
      </c>
      <c r="M1789" s="8">
        <f>L1789*G1789</f>
        <v/>
      </c>
      <c r="P1789" s="9" t="n"/>
    </row>
    <row r="1790">
      <c r="A1790" s="11" t="inlineStr">
        <is>
          <t>Angel of Mercy / Anjo de Misericórdia</t>
        </is>
      </c>
      <c r="B1790" s="11" t="inlineStr">
        <is>
          <t>Creature — Angel / Criatura — Anjo</t>
        </is>
      </c>
      <c r="C1790" s="11" t="inlineStr">
        <is>
          <t>Common / Comum</t>
        </is>
      </c>
      <c r="D1790" s="11" t="inlineStr">
        <is>
          <t>Flying When this creature enters, you gain 3 life. / Voar (Esta criatura só pode ser bloqueada por criaturas com a habilidade de voar.) Quando Anjo de Misericórdia entra em jogo, você ganha 3 pontos de vida.</t>
        </is>
      </c>
      <c r="E1790" s="11" t="inlineStr">
        <is>
          <t>{4}{W}</t>
        </is>
      </c>
      <c r="F1790" s="11" t="inlineStr">
        <is>
          <t>Branco</t>
        </is>
      </c>
      <c r="G1790" s="8" t="n">
        <v>0.08</v>
      </c>
      <c r="H1790" s="11" t="inlineStr">
        <is>
          <t>Iconic Masters (IMA)</t>
        </is>
      </c>
      <c r="I1790" s="11" t="inlineStr">
        <is>
          <t>Não</t>
        </is>
      </c>
      <c r="J1790" s="11" t="n">
        <v>2017</v>
      </c>
      <c r="K1790" s="10" t="n">
        <v>46084</v>
      </c>
      <c r="L1790" s="11" t="n">
        <v>4</v>
      </c>
      <c r="M1790" s="8">
        <f>L1790*G1790</f>
        <v/>
      </c>
      <c r="P1790" s="9" t="n"/>
    </row>
    <row r="1791">
      <c r="A1791" s="11" t="inlineStr">
        <is>
          <t>Sungrace Pegasus / Pégaso da Graça Solar</t>
        </is>
      </c>
      <c r="B1791" s="11" t="inlineStr">
        <is>
          <t>Creature — Pegasus / Criatura — Pégaso</t>
        </is>
      </c>
      <c r="C1791" s="11" t="inlineStr">
        <is>
          <t>Common / Comum</t>
        </is>
      </c>
      <c r="D1791" s="11"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1791" s="11" t="inlineStr">
        <is>
          <t>{1}{W}</t>
        </is>
      </c>
      <c r="F1791" s="11" t="inlineStr">
        <is>
          <t>Branco</t>
        </is>
      </c>
      <c r="G1791" s="8" t="n">
        <v>0.06</v>
      </c>
      <c r="H1791" s="11" t="inlineStr">
        <is>
          <t>Magic 2015 (M15)</t>
        </is>
      </c>
      <c r="I1791" s="11" t="inlineStr">
        <is>
          <t>Não</t>
        </is>
      </c>
      <c r="J1791" s="11" t="n">
        <v>2014</v>
      </c>
      <c r="K1791" s="10" t="n">
        <v>46054</v>
      </c>
      <c r="L1791" s="11" t="n">
        <v>4</v>
      </c>
      <c r="M1791" s="8">
        <f>L1791*G1791</f>
        <v/>
      </c>
      <c r="P1791" s="9" t="n"/>
    </row>
    <row r="1792">
      <c r="A1792" s="11" t="inlineStr">
        <is>
          <t>Inspiring Overseer / Supervisor Inspirador</t>
        </is>
      </c>
      <c r="B1792" s="11" t="inlineStr">
        <is>
          <t>Creature — Angel Cleric / Criatura — Anjo Clérigo</t>
        </is>
      </c>
      <c r="C1792" s="11" t="inlineStr">
        <is>
          <t>Common / Comum</t>
        </is>
      </c>
      <c r="D1792" s="11" t="inlineStr">
        <is>
          <t>Flying When this creature enters, you gain 1 life and draw a card. / Voar Quando Supervisor Inspirador entra no campo de batalha, você ganha 1 ponto de vida e compra um card.</t>
        </is>
      </c>
      <c r="E1792" s="11" t="inlineStr">
        <is>
          <t>{2}{W}</t>
        </is>
      </c>
      <c r="F1792" s="11" t="inlineStr">
        <is>
          <t>Branco</t>
        </is>
      </c>
      <c r="G1792" s="8" t="n">
        <v>0.5</v>
      </c>
      <c r="H1792" s="11" t="inlineStr">
        <is>
          <t>Streets of New Capenna (SNC)</t>
        </is>
      </c>
      <c r="I1792" s="11" t="inlineStr">
        <is>
          <t>Não</t>
        </is>
      </c>
      <c r="J1792" s="11" t="n">
        <v>2022</v>
      </c>
      <c r="K1792" s="10" t="n">
        <v>46024</v>
      </c>
      <c r="L1792" s="11" t="n">
        <v>8</v>
      </c>
      <c r="M1792" s="8">
        <f>L1792*G1792</f>
        <v/>
      </c>
      <c r="P1792" s="9" t="n"/>
    </row>
    <row r="1793">
      <c r="A1793" s="11" t="inlineStr">
        <is>
          <t>Rumbling Sentry / Sentinela Ribombante</t>
        </is>
      </c>
      <c r="B1793" s="11" t="inlineStr">
        <is>
          <t>Creature — Giant / Criatura — Gigante</t>
        </is>
      </c>
      <c r="C1793" s="11" t="inlineStr">
        <is>
          <t>Common / Comum</t>
        </is>
      </c>
      <c r="D1793" s="11" t="inlineStr">
        <is>
          <t>When this creature enters, scry 1. / Quando Sentinela Ribombante entrar no campo de batalha, use vidência 1.</t>
        </is>
      </c>
      <c r="E1793" s="11" t="inlineStr">
        <is>
          <t>{3}{W}{W}</t>
        </is>
      </c>
      <c r="F1793" s="11" t="inlineStr">
        <is>
          <t>Branco</t>
        </is>
      </c>
      <c r="G1793" s="8" t="n">
        <v>0.03</v>
      </c>
      <c r="H1793" s="11" t="inlineStr">
        <is>
          <t>Theros Beyond Death (THB)</t>
        </is>
      </c>
      <c r="I1793" s="11" t="inlineStr">
        <is>
          <t>Não</t>
        </is>
      </c>
      <c r="J1793" s="11" t="n">
        <v>2020</v>
      </c>
      <c r="K1793" s="10" t="n">
        <v>46176</v>
      </c>
      <c r="L1793" s="11" t="n">
        <v>8</v>
      </c>
      <c r="M1793" s="8">
        <f>L1793*G1793</f>
        <v/>
      </c>
      <c r="P1793" s="9" t="n"/>
    </row>
    <row r="1794">
      <c r="A1794" s="11" t="inlineStr">
        <is>
          <t>Trusted Pegasus / Pégaso Confiável</t>
        </is>
      </c>
      <c r="B1794" s="11" t="inlineStr">
        <is>
          <t>Creature — Pegasus / Criatura — Pégaso</t>
        </is>
      </c>
      <c r="C1794" s="11" t="inlineStr">
        <is>
          <t>Common / Comum</t>
        </is>
      </c>
      <c r="D1794" s="11"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1794" s="11" t="inlineStr">
        <is>
          <t>{2}{W}</t>
        </is>
      </c>
      <c r="F1794" s="11" t="inlineStr">
        <is>
          <t>Branco</t>
        </is>
      </c>
      <c r="G1794" s="8" t="n">
        <v>0.03</v>
      </c>
      <c r="H1794" s="11" t="inlineStr">
        <is>
          <t>War of the Spark (WAR)</t>
        </is>
      </c>
      <c r="I1794" s="11" t="inlineStr">
        <is>
          <t>Não</t>
        </is>
      </c>
      <c r="J1794" s="11" t="n">
        <v>2019</v>
      </c>
      <c r="K1794" s="10" t="n">
        <v>46055</v>
      </c>
      <c r="L1794" s="11" t="n">
        <v>1</v>
      </c>
      <c r="M1794" s="8">
        <f>L1794*G1794</f>
        <v/>
      </c>
      <c r="P1794" s="9" t="n"/>
    </row>
    <row r="1795">
      <c r="A1795" s="11" t="inlineStr">
        <is>
          <t>Pterodon Knight / Cavaleira de Pterodontes</t>
        </is>
      </c>
      <c r="B1795" s="11" t="inlineStr">
        <is>
          <t>Creature — Human Knight / Criatura — Humano Cavaleiro</t>
        </is>
      </c>
      <c r="C1795" s="11" t="inlineStr">
        <is>
          <t>Common / Comum</t>
        </is>
      </c>
      <c r="D1795" s="11" t="inlineStr">
        <is>
          <t>This creature has flying as long as you control a Dinosaur. / Cavaleira de Pterodontes terá voar enquanto você controlar um Dinossauro.</t>
        </is>
      </c>
      <c r="E1795" s="11" t="inlineStr">
        <is>
          <t>{3}{W}</t>
        </is>
      </c>
      <c r="F1795" s="11" t="inlineStr">
        <is>
          <t>Branco</t>
        </is>
      </c>
      <c r="G1795" s="8" t="n">
        <v>0.03</v>
      </c>
      <c r="H1795" s="11" t="inlineStr">
        <is>
          <t>Ixalan (XLN)</t>
        </is>
      </c>
      <c r="I1795" s="11" t="inlineStr">
        <is>
          <t>Não</t>
        </is>
      </c>
      <c r="J1795" s="11" t="n">
        <v>2017</v>
      </c>
      <c r="K1795" s="10" t="n">
        <v>46084</v>
      </c>
      <c r="L1795" s="11" t="n">
        <v>3</v>
      </c>
      <c r="M1795" s="8">
        <f>L1795*G1795</f>
        <v/>
      </c>
      <c r="P1795" s="9" t="n"/>
    </row>
    <row r="1796">
      <c r="A1796" s="11" t="inlineStr">
        <is>
          <t>Talus Paladin / Paladino de Talus</t>
        </is>
      </c>
      <c r="B1796" s="11" t="inlineStr">
        <is>
          <t>Creature — Human Knight Ally / Criatura — Humano Cavaleiro Aliado</t>
        </is>
      </c>
      <c r="C1796" s="11" t="inlineStr">
        <is>
          <t>Rare / Rara</t>
        </is>
      </c>
      <c r="D1796" s="11"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1796" s="11" t="inlineStr">
        <is>
          <t>{3}{W}</t>
        </is>
      </c>
      <c r="F1796" s="11" t="inlineStr">
        <is>
          <t>Branco</t>
        </is>
      </c>
      <c r="G1796" s="8" t="n">
        <v>0.85</v>
      </c>
      <c r="H1796" s="11" t="inlineStr">
        <is>
          <t>Worldwake (WWK)</t>
        </is>
      </c>
      <c r="I1796" s="11" t="inlineStr">
        <is>
          <t>Não</t>
        </is>
      </c>
      <c r="J1796" s="11" t="n">
        <v>2010</v>
      </c>
      <c r="K1796" s="10" t="n">
        <v>46083</v>
      </c>
      <c r="L1796" s="11" t="n">
        <v>3</v>
      </c>
      <c r="M1796" s="8">
        <f>L1796*G1796</f>
        <v/>
      </c>
      <c r="P1796" s="9" t="n"/>
    </row>
    <row r="1797">
      <c r="A1797" s="11" t="inlineStr">
        <is>
          <t>Nebelgast Beguiler / Ludibriadora do Nebelgast</t>
        </is>
      </c>
      <c r="B1797" s="11" t="inlineStr">
        <is>
          <t>Creature — Spirit / Criatura — Espírito</t>
        </is>
      </c>
      <c r="C1797" s="11" t="inlineStr">
        <is>
          <t>Common / Comum</t>
        </is>
      </c>
      <c r="D1797" s="11" t="inlineStr">
        <is>
          <t>{W}, {T}: Tap target creature. / {W}, {T}: Vire a criatura alvo.</t>
        </is>
      </c>
      <c r="E1797" s="11" t="inlineStr">
        <is>
          <t>{4}{W}</t>
        </is>
      </c>
      <c r="F1797" s="11" t="inlineStr">
        <is>
          <t>Branco</t>
        </is>
      </c>
      <c r="G1797" s="8" t="n">
        <v>0.06</v>
      </c>
      <c r="H1797" s="11" t="inlineStr">
        <is>
          <t>Innistrad: Crimson Vow (VOW)</t>
        </is>
      </c>
      <c r="I1797" s="11" t="inlineStr">
        <is>
          <t>Não</t>
        </is>
      </c>
      <c r="J1797" s="11" t="n">
        <v>2021</v>
      </c>
      <c r="K1797" s="10" t="n">
        <v>46144</v>
      </c>
      <c r="L1797" s="11" t="n">
        <v>2</v>
      </c>
      <c r="M1797" s="8">
        <f>L1797*G1797</f>
        <v/>
      </c>
      <c r="P1797" s="9" t="n"/>
    </row>
    <row r="1798">
      <c r="A1798" s="11" t="inlineStr">
        <is>
          <t>Hada Freeblade / Franco-Espadachim de Hada</t>
        </is>
      </c>
      <c r="B1798" s="11" t="inlineStr">
        <is>
          <t>Creature — Human Soldier Ally / Criatura — Humano Soldado Aliado</t>
        </is>
      </c>
      <c r="C1798" s="11" t="inlineStr">
        <is>
          <t>Uncommon / Incomum</t>
        </is>
      </c>
      <c r="D1798" s="11"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1798" s="11" t="inlineStr">
        <is>
          <t>{W}</t>
        </is>
      </c>
      <c r="F1798" s="11" t="inlineStr">
        <is>
          <t>Branco</t>
        </is>
      </c>
      <c r="G1798" s="8" t="n">
        <v>0.3</v>
      </c>
      <c r="H1798" s="11" t="inlineStr">
        <is>
          <t>Worldwake (WWK)</t>
        </is>
      </c>
      <c r="I1798" s="11" t="inlineStr">
        <is>
          <t>Não</t>
        </is>
      </c>
      <c r="J1798" s="11" t="n">
        <v>2010</v>
      </c>
      <c r="K1798" s="11" t="inlineStr">
        <is>
          <t>0/1</t>
        </is>
      </c>
      <c r="L1798" s="11" t="n">
        <v>3</v>
      </c>
      <c r="M1798" s="8">
        <f>L1798*G1798</f>
        <v/>
      </c>
      <c r="P1798" s="9" t="n"/>
    </row>
    <row r="1799">
      <c r="A1799" s="11" t="inlineStr">
        <is>
          <t>Fencing Ace / Ás da Esgrima</t>
        </is>
      </c>
      <c r="B1799" s="11" t="inlineStr">
        <is>
          <t>Creature — Human Soldier / Criatura — Humano Soldado</t>
        </is>
      </c>
      <c r="C1799" s="11" t="inlineStr">
        <is>
          <t>Common / Comum</t>
        </is>
      </c>
      <c r="D1799" s="11" t="inlineStr">
        <is>
          <t>Double strike (This creature deals both first-strike and regular combat damage.) / Golpe duplo (Esta criatura causa tanto o dano de iniciativa quanto o de combate normal.)</t>
        </is>
      </c>
      <c r="E1799" s="11" t="inlineStr">
        <is>
          <t>{1}{W}</t>
        </is>
      </c>
      <c r="F1799" s="11" t="inlineStr">
        <is>
          <t>Branco</t>
        </is>
      </c>
      <c r="G1799" s="8" t="n">
        <v>0.06</v>
      </c>
      <c r="H1799" s="11" t="inlineStr">
        <is>
          <t>Masters 25 (A25)</t>
        </is>
      </c>
      <c r="I1799" s="11" t="inlineStr">
        <is>
          <t>Não</t>
        </is>
      </c>
      <c r="J1799" s="11" t="n">
        <v>2018</v>
      </c>
      <c r="K1799" s="10" t="n">
        <v>46023</v>
      </c>
      <c r="L1799" s="11" t="n">
        <v>4</v>
      </c>
      <c r="M1799" s="8">
        <f>L1799*G1799</f>
        <v/>
      </c>
      <c r="P1799" s="9" t="n"/>
    </row>
    <row r="1800">
      <c r="A1800" s="11" t="inlineStr">
        <is>
          <t>Beloved Princess / Princesa Adorada</t>
        </is>
      </c>
      <c r="B1800" s="11" t="inlineStr">
        <is>
          <t>Creature — Human Noble / Criatura — Humano Nobre</t>
        </is>
      </c>
      <c r="C1800" s="11" t="inlineStr">
        <is>
          <t>Common / Comum</t>
        </is>
      </c>
      <c r="D1800" s="11" t="inlineStr">
        <is>
          <t>Lifelink This creature can't be blocked by creatures with power 3 or greater. / Vínculo com a vida Princesa Adorada não pode ser bloqueada por criaturas de poder igual ou superior a 3.</t>
        </is>
      </c>
      <c r="E1800" s="11" t="inlineStr">
        <is>
          <t>{W}</t>
        </is>
      </c>
      <c r="F1800" s="11" t="inlineStr">
        <is>
          <t>Branco</t>
        </is>
      </c>
      <c r="G1800" s="8" t="n">
        <v>0.06</v>
      </c>
      <c r="H1800" s="11" t="inlineStr">
        <is>
          <t>Throne of Eldraine (ELD)</t>
        </is>
      </c>
      <c r="I1800" s="11" t="inlineStr">
        <is>
          <t>Não</t>
        </is>
      </c>
      <c r="J1800" s="11" t="n">
        <v>2019</v>
      </c>
      <c r="K1800" s="10" t="n">
        <v>46023</v>
      </c>
      <c r="L1800" s="11" t="n">
        <v>1</v>
      </c>
      <c r="M1800" s="8">
        <f>L1800*G1800</f>
        <v/>
      </c>
      <c r="P1800" s="9" t="n"/>
    </row>
    <row r="1801">
      <c r="A1801" s="11" t="inlineStr">
        <is>
          <t>Dawnstrike Paladin / Paladino da Aurora</t>
        </is>
      </c>
      <c r="B1801" s="11" t="inlineStr">
        <is>
          <t>Creature — Human Knight / Criatura — Humano Cavaleiro</t>
        </is>
      </c>
      <c r="C1801" s="11" t="inlineStr">
        <is>
          <t>Common / Comum</t>
        </is>
      </c>
      <c r="D1801" s="11"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801" s="11" t="inlineStr">
        <is>
          <t>{3}{W}{W}</t>
        </is>
      </c>
      <c r="F1801" s="11" t="inlineStr">
        <is>
          <t>Branco</t>
        </is>
      </c>
      <c r="G1801" s="8" t="n">
        <v>0.06</v>
      </c>
      <c r="H1801" s="11" t="inlineStr">
        <is>
          <t>Magic 2014 (M14)</t>
        </is>
      </c>
      <c r="I1801" s="11" t="inlineStr">
        <is>
          <t>Não</t>
        </is>
      </c>
      <c r="J1801" s="11" t="n">
        <v>2013</v>
      </c>
      <c r="K1801" s="10" t="n">
        <v>46114</v>
      </c>
      <c r="L1801" s="11" t="n">
        <v>1</v>
      </c>
      <c r="M1801" s="8">
        <f>L1801*G1801</f>
        <v/>
      </c>
      <c r="P1801" s="9" t="n"/>
    </row>
    <row r="1802">
      <c r="A1802" s="11" t="inlineStr">
        <is>
          <t>Sentinela Selesnya / Selesnya Sentry</t>
        </is>
      </c>
      <c r="B1802" s="11" t="inlineStr">
        <is>
          <t>Criatura — Elefante Soldado / Creature — Elephant Soldier</t>
        </is>
      </c>
      <c r="C1802" s="11" t="inlineStr">
        <is>
          <t>Comum / Common</t>
        </is>
      </c>
      <c r="D1802" s="11" t="inlineStr">
        <is>
          <t>{5}{G}: Regenere Sentinela Selesnya. / {5}{G}: Regenerate Selesnya Sentry.</t>
        </is>
      </c>
      <c r="E1802" s="11" t="inlineStr">
        <is>
          <t>{2}{W}</t>
        </is>
      </c>
      <c r="F1802" s="11" t="inlineStr">
        <is>
          <t>Branco</t>
        </is>
      </c>
      <c r="G1802" s="8" t="n">
        <v>0.06</v>
      </c>
      <c r="H1802" s="11" t="inlineStr">
        <is>
          <t>Return to Ravnica (RTR)</t>
        </is>
      </c>
      <c r="I1802" s="11" t="inlineStr">
        <is>
          <t>Não</t>
        </is>
      </c>
      <c r="J1802" s="11" t="n">
        <v>2012</v>
      </c>
      <c r="K1802" s="10" t="n">
        <v>46056</v>
      </c>
      <c r="L1802" s="11" t="n">
        <v>1</v>
      </c>
      <c r="M1802" s="8">
        <f>L1802*G1802</f>
        <v/>
      </c>
      <c r="P1802" s="9" t="n"/>
    </row>
    <row r="1803">
      <c r="A1803" s="11" t="inlineStr">
        <is>
          <t>Marsh Threader / Atravessador de Palude</t>
        </is>
      </c>
      <c r="B1803" s="11" t="inlineStr">
        <is>
          <t>Creature — Kor Scout / Criatura — Kor Batedor</t>
        </is>
      </c>
      <c r="C1803" s="11" t="inlineStr">
        <is>
          <t>Common / Comum</t>
        </is>
      </c>
      <c r="D1803" s="11" t="inlineStr">
        <is>
          <t>Swampwalk (This creature can't be blocked as long as defending player controls a Swamp.) / Travessia de pântano</t>
        </is>
      </c>
      <c r="E1803" s="11" t="inlineStr">
        <is>
          <t>{1}{W}</t>
        </is>
      </c>
      <c r="F1803" s="11" t="inlineStr">
        <is>
          <t>Branco</t>
        </is>
      </c>
      <c r="G1803" s="8" t="n">
        <v>0.06</v>
      </c>
      <c r="H1803" s="11" t="inlineStr">
        <is>
          <t>Worldwake (WWK)</t>
        </is>
      </c>
      <c r="I1803" s="11" t="inlineStr">
        <is>
          <t>Não</t>
        </is>
      </c>
      <c r="J1803" s="11" t="n">
        <v>2010</v>
      </c>
      <c r="K1803" s="10" t="n">
        <v>46024</v>
      </c>
      <c r="L1803" s="11" t="n">
        <v>1</v>
      </c>
      <c r="M1803" s="8">
        <f>L1803*G1803</f>
        <v/>
      </c>
      <c r="P1803" s="9" t="n"/>
    </row>
    <row r="1804">
      <c r="A1804" s="11" t="inlineStr">
        <is>
          <t>Brago's Representative</t>
        </is>
      </c>
      <c r="B1804" s="11" t="inlineStr">
        <is>
          <t>Creature — Human Advisor</t>
        </is>
      </c>
      <c r="C1804" s="11" t="inlineStr">
        <is>
          <t>Common / Comum</t>
        </is>
      </c>
      <c r="D1804" s="11" t="inlineStr">
        <is>
          <t>While voting, you get an additional vote. (The votes can be for different choices or for the same choice.)</t>
        </is>
      </c>
      <c r="E1804" s="11" t="inlineStr">
        <is>
          <t>{2}{W}</t>
        </is>
      </c>
      <c r="F1804" s="11" t="inlineStr">
        <is>
          <t>Branco</t>
        </is>
      </c>
      <c r="G1804" s="8" t="n">
        <v>0.06</v>
      </c>
      <c r="H1804" s="11" t="inlineStr">
        <is>
          <t>Conspiracy (CNS)</t>
        </is>
      </c>
      <c r="I1804" s="11" t="inlineStr">
        <is>
          <t>Não</t>
        </is>
      </c>
      <c r="J1804" s="11" t="n">
        <v>2014</v>
      </c>
      <c r="K1804" s="10" t="n">
        <v>46113</v>
      </c>
      <c r="L1804" s="11" t="n">
        <v>1</v>
      </c>
      <c r="M1804" s="8">
        <f>L1804*G1804</f>
        <v/>
      </c>
      <c r="P1804" s="9" t="n"/>
    </row>
    <row r="1805">
      <c r="A1805" s="11" t="inlineStr">
        <is>
          <t>Misthoof Kirin / Kirin Casconévoa</t>
        </is>
      </c>
      <c r="B1805" s="11" t="inlineStr">
        <is>
          <t>Creature — Kirin / Criatura — Kirin</t>
        </is>
      </c>
      <c r="C1805" s="11" t="inlineStr">
        <is>
          <t>Common / Comum</t>
        </is>
      </c>
      <c r="D1805" s="11"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1805" s="11" t="inlineStr">
        <is>
          <t>{2}{W}</t>
        </is>
      </c>
      <c r="F1805" s="11" t="inlineStr">
        <is>
          <t>Branco</t>
        </is>
      </c>
      <c r="G1805" s="8" t="n">
        <v>0.07000000000000001</v>
      </c>
      <c r="H1805" s="11" t="inlineStr">
        <is>
          <t>Dragons of Tarkir (DTK)</t>
        </is>
      </c>
      <c r="I1805" s="11" t="inlineStr">
        <is>
          <t>Não</t>
        </is>
      </c>
      <c r="J1805" s="11" t="n">
        <v>2015</v>
      </c>
      <c r="K1805" s="10" t="n">
        <v>46024</v>
      </c>
      <c r="L1805" s="11" t="n">
        <v>1</v>
      </c>
      <c r="M1805" s="8">
        <f>L1805*G1805</f>
        <v/>
      </c>
      <c r="P1805" s="9" t="n"/>
    </row>
    <row r="1806">
      <c r="A1806" s="11" t="inlineStr">
        <is>
          <t>Thalia's Lancers / Lanceiras de Thalia</t>
        </is>
      </c>
      <c r="B1806" s="11" t="inlineStr">
        <is>
          <t>Creature — Human Knight / Criatura — Humano Cavaleiro</t>
        </is>
      </c>
      <c r="C1806" s="11" t="inlineStr">
        <is>
          <t>Rare / Rara</t>
        </is>
      </c>
      <c r="D1806" s="11"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1806" s="11" t="inlineStr">
        <is>
          <t>{3}{W}{W}</t>
        </is>
      </c>
      <c r="F1806" s="11" t="inlineStr">
        <is>
          <t>Branco</t>
        </is>
      </c>
      <c r="G1806" s="8" t="n">
        <v>0.5</v>
      </c>
      <c r="H1806" s="11" t="inlineStr">
        <is>
          <t>Eldritch Moon (EMN)</t>
        </is>
      </c>
      <c r="I1806" s="11" t="inlineStr">
        <is>
          <t>Não</t>
        </is>
      </c>
      <c r="J1806" s="11" t="n">
        <v>2016</v>
      </c>
      <c r="K1806" s="10" t="n">
        <v>46116</v>
      </c>
      <c r="L1806" s="11" t="n">
        <v>1</v>
      </c>
      <c r="M1806" s="8">
        <f>L1806*G1806</f>
        <v/>
      </c>
      <c r="P1806" s="9" t="n"/>
    </row>
    <row r="1807">
      <c r="A1807" s="11" t="inlineStr">
        <is>
          <t>Nyxborn Shieldmate / Escudeiro Nyxnato</t>
        </is>
      </c>
      <c r="B1807" s="11" t="inlineStr">
        <is>
          <t>Enchantment Creature — Human Soldier / Criatura Encantamento — Humano Soldado</t>
        </is>
      </c>
      <c r="C1807" s="11" t="inlineStr">
        <is>
          <t>Common / Comum</t>
        </is>
      </c>
      <c r="D1807" s="11"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1807" s="11" t="inlineStr">
        <is>
          <t>{W}</t>
        </is>
      </c>
      <c r="F1807" s="11" t="inlineStr">
        <is>
          <t>Branco</t>
        </is>
      </c>
      <c r="G1807" s="8" t="n">
        <v>0.03</v>
      </c>
      <c r="H1807" s="11" t="inlineStr">
        <is>
          <t>Born of the Gods (BNG)</t>
        </is>
      </c>
      <c r="I1807" s="11" t="inlineStr">
        <is>
          <t>Não</t>
        </is>
      </c>
      <c r="J1807" s="11" t="n">
        <v>2014</v>
      </c>
      <c r="K1807" s="10" t="n">
        <v>46054</v>
      </c>
      <c r="L1807" s="11" t="n">
        <v>1</v>
      </c>
      <c r="M1807" s="8">
        <f>L1807*G1807</f>
        <v/>
      </c>
      <c r="P1807" s="9" t="n"/>
    </row>
    <row r="1808">
      <c r="A1808" s="11" t="inlineStr">
        <is>
          <t>Elite Interceptor // Rejoinder</t>
        </is>
      </c>
      <c r="B1808" s="11" t="inlineStr">
        <is>
          <t>Creature — Human Wizard // Sorcery</t>
        </is>
      </c>
      <c r="C1808" s="11" t="inlineStr">
        <is>
          <t>Common / Comum</t>
        </is>
      </c>
      <c r="D1808" s="11" t="inlineStr">
        <is>
          <t>Elite Interceptor: This creature enters prepared. (While it's prepared, you may cast a copy of its spell. Doing so unprepares it.) // Rejoinder: You may tap or untap target creature. Draw a card.</t>
        </is>
      </c>
      <c r="E1808" s="11" t="inlineStr">
        <is>
          <t>{W} // {1}{W}</t>
        </is>
      </c>
      <c r="F1808" s="11" t="inlineStr">
        <is>
          <t>Branco</t>
        </is>
      </c>
      <c r="G1808" s="8" t="n">
        <v>0.07000000000000001</v>
      </c>
      <c r="H1808" s="11" t="inlineStr">
        <is>
          <t>Secrets of Strixhaven (SOS)</t>
        </is>
      </c>
      <c r="I1808" s="11" t="inlineStr">
        <is>
          <t>Não</t>
        </is>
      </c>
      <c r="J1808" s="11" t="n">
        <v>2026</v>
      </c>
      <c r="K1808" s="10" t="n">
        <v>46054</v>
      </c>
      <c r="L1808" s="11" t="n">
        <v>1</v>
      </c>
      <c r="M1808" s="8">
        <f>L1808*G1808</f>
        <v/>
      </c>
      <c r="P1808" s="9" t="n"/>
    </row>
    <row r="1809">
      <c r="A1809" s="11" t="inlineStr">
        <is>
          <t>Dromoka Dunecaster / Conjurador de Dunas de Dromoka</t>
        </is>
      </c>
      <c r="B1809" s="11" t="inlineStr">
        <is>
          <t>Creature — Human Wizard / Criatura — Humano Mago</t>
        </is>
      </c>
      <c r="C1809" s="11" t="inlineStr">
        <is>
          <t>Common / Comum</t>
        </is>
      </c>
      <c r="D1809" s="11" t="inlineStr">
        <is>
          <t>{1}{W}, {T}: Tap target creature without flying. / {1}{W}, {T}: Vire a criatura alvo sem voar.</t>
        </is>
      </c>
      <c r="E1809" s="11" t="inlineStr">
        <is>
          <t>{W}</t>
        </is>
      </c>
      <c r="F1809" s="11" t="inlineStr">
        <is>
          <t>Branco</t>
        </is>
      </c>
      <c r="G1809" s="8" t="n">
        <v>0.08</v>
      </c>
      <c r="H1809" s="11" t="inlineStr">
        <is>
          <t>Dragons of Tarkir (DTK)</t>
        </is>
      </c>
      <c r="I1809" s="11" t="inlineStr">
        <is>
          <t>Não</t>
        </is>
      </c>
      <c r="J1809" s="11" t="n">
        <v>2015</v>
      </c>
      <c r="K1809" s="11" t="inlineStr">
        <is>
          <t>0/2</t>
        </is>
      </c>
      <c r="L1809" s="11" t="n">
        <v>1</v>
      </c>
      <c r="M1809" s="8">
        <f>L1809*G1809</f>
        <v/>
      </c>
      <c r="P1809" s="9" t="n"/>
    </row>
    <row r="1810">
      <c r="A1810" s="11" t="inlineStr">
        <is>
          <t>Scholar of Athreos / Escolástico de Atreos</t>
        </is>
      </c>
      <c r="B1810" s="11" t="inlineStr">
        <is>
          <t>Creature — Human Cleric / Criatura — Humano Clérigo</t>
        </is>
      </c>
      <c r="C1810" s="11" t="inlineStr">
        <is>
          <t>Common / Comum</t>
        </is>
      </c>
      <c r="D1810" s="11" t="inlineStr">
        <is>
          <t>{2}{B}: Each opponent loses 1 life. You gain life equal to the life lost this way. / {2}{B}: Cada oponente perde 1 ponto de vida. Você ganha uma quantidade de pontos de vida igual ao total de pontos de vida perdidos dessa maneira.</t>
        </is>
      </c>
      <c r="E1810" s="11" t="inlineStr">
        <is>
          <t>{2}{W}</t>
        </is>
      </c>
      <c r="F1810" s="11" t="inlineStr">
        <is>
          <t>Branco</t>
        </is>
      </c>
      <c r="G1810" s="8" t="n">
        <v>0.05</v>
      </c>
      <c r="H1810" s="11" t="inlineStr">
        <is>
          <t>Theros (THS)</t>
        </is>
      </c>
      <c r="I1810" s="11" t="inlineStr">
        <is>
          <t>Não</t>
        </is>
      </c>
      <c r="J1810" s="11" t="n">
        <v>2013</v>
      </c>
      <c r="K1810" s="10" t="n">
        <v>46113</v>
      </c>
      <c r="L1810" s="11" t="n">
        <v>1</v>
      </c>
      <c r="M1810" s="8">
        <f>L1810*G1810</f>
        <v/>
      </c>
      <c r="P1810" s="9" t="n"/>
    </row>
    <row r="1811">
      <c r="A1811" s="11" t="inlineStr">
        <is>
          <t>Welcoming Vampire / Vampira da Recepção</t>
        </is>
      </c>
      <c r="B1811" s="11" t="inlineStr">
        <is>
          <t>Creature — Vampire / Criatura — Vampiro</t>
        </is>
      </c>
      <c r="C1811" s="11" t="inlineStr">
        <is>
          <t>Rare / Rara</t>
        </is>
      </c>
      <c r="D1811" s="11"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1811" s="11" t="inlineStr">
        <is>
          <t>{2}{W}</t>
        </is>
      </c>
      <c r="F1811" s="11" t="inlineStr">
        <is>
          <t>Branco</t>
        </is>
      </c>
      <c r="G1811" s="8" t="n">
        <v>10.7</v>
      </c>
      <c r="H1811" s="11" t="inlineStr">
        <is>
          <t>Innistrad: Crimson Vow (VOW)</t>
        </is>
      </c>
      <c r="I1811" s="11" t="inlineStr">
        <is>
          <t>Sim</t>
        </is>
      </c>
      <c r="J1811" s="11" t="n">
        <v>2021</v>
      </c>
      <c r="K1811" s="10" t="n">
        <v>46083</v>
      </c>
      <c r="L1811" s="11" t="n">
        <v>1</v>
      </c>
      <c r="M1811" s="8">
        <f>L1811*G1811</f>
        <v/>
      </c>
      <c r="P1811" s="9" t="n"/>
    </row>
    <row r="1812">
      <c r="A1812" s="11" t="inlineStr">
        <is>
          <t>Kytheon's Irregulars / Subversivos de Quiteon</t>
        </is>
      </c>
      <c r="B1812" s="11" t="inlineStr">
        <is>
          <t>Creature — Human Soldier / Criatura — Humano Soldado</t>
        </is>
      </c>
      <c r="C1812" s="11" t="inlineStr">
        <is>
          <t>Rare / Rara</t>
        </is>
      </c>
      <c r="D1812" s="11"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1812" s="11" t="inlineStr">
        <is>
          <t>{2}{W}{W}</t>
        </is>
      </c>
      <c r="F1812" s="11" t="inlineStr">
        <is>
          <t>Branco</t>
        </is>
      </c>
      <c r="G1812" s="8" t="n">
        <v>0.12</v>
      </c>
      <c r="H1812" s="11" t="inlineStr">
        <is>
          <t>Magic Origins (ORI)</t>
        </is>
      </c>
      <c r="I1812" s="11" t="inlineStr">
        <is>
          <t>Não</t>
        </is>
      </c>
      <c r="J1812" s="11" t="n">
        <v>2015</v>
      </c>
      <c r="K1812" s="10" t="n">
        <v>46085</v>
      </c>
      <c r="L1812" s="11" t="n">
        <v>1</v>
      </c>
      <c r="M1812" s="8">
        <f>L1812*G1812</f>
        <v/>
      </c>
      <c r="P1812" s="9" t="n"/>
    </row>
    <row r="1813">
      <c r="A1813" s="11" t="inlineStr">
        <is>
          <t>Loxodon Sergeant / Sargento Loxodonte</t>
        </is>
      </c>
      <c r="B1813" s="11" t="inlineStr">
        <is>
          <t>Creature — Elephant Soldier / Criatura — Elefante Soldado</t>
        </is>
      </c>
      <c r="C1813" s="11" t="inlineStr">
        <is>
          <t>Common / Comum</t>
        </is>
      </c>
      <c r="D1813" s="11" t="inlineStr">
        <is>
          <t>Vigilance When this creature enters, other creatures you control gain vigilance until end of turn. / Vigilância Quando Sargento Loxodonte entra no campo de batalha, as outras criaturas que você controla ganham vigilância até o final do turno.</t>
        </is>
      </c>
      <c r="E1813" s="11" t="inlineStr">
        <is>
          <t>{3}{W}</t>
        </is>
      </c>
      <c r="F1813" s="11" t="inlineStr">
        <is>
          <t>Branco</t>
        </is>
      </c>
      <c r="G1813" s="8" t="n">
        <v>0.03</v>
      </c>
      <c r="H1813" s="11" t="inlineStr">
        <is>
          <t>War of the Spark (WAR)</t>
        </is>
      </c>
      <c r="I1813" s="11" t="inlineStr">
        <is>
          <t>Não</t>
        </is>
      </c>
      <c r="J1813" s="11" t="n">
        <v>2019</v>
      </c>
      <c r="K1813" s="10" t="n">
        <v>46084</v>
      </c>
      <c r="L1813" s="11" t="n">
        <v>1</v>
      </c>
      <c r="M1813" s="8">
        <f>L1813*G1813</f>
        <v/>
      </c>
      <c r="P1813" s="9" t="n"/>
    </row>
    <row r="1814">
      <c r="A1814" s="11" t="inlineStr">
        <is>
          <t>Avacynian Priest / Sacerdote Avacyniano</t>
        </is>
      </c>
      <c r="B1814" s="11" t="inlineStr">
        <is>
          <t>Creature — Human Cleric / Criatura — Humano Clérigo</t>
        </is>
      </c>
      <c r="C1814" s="11" t="inlineStr">
        <is>
          <t>Common / Comum</t>
        </is>
      </c>
      <c r="D1814" s="11" t="inlineStr">
        <is>
          <t>{1}, {T}: Tap target non-Human creature. / {1}, {T}: Vire a criatura alvo que não seja do tipo Humano.</t>
        </is>
      </c>
      <c r="E1814" s="11" t="inlineStr">
        <is>
          <t>{1}{W}</t>
        </is>
      </c>
      <c r="F1814" s="11" t="inlineStr">
        <is>
          <t>Branco</t>
        </is>
      </c>
      <c r="G1814" s="8" t="n">
        <v>0.06</v>
      </c>
      <c r="H1814" s="11" t="inlineStr">
        <is>
          <t>Innistrad (ISD)</t>
        </is>
      </c>
      <c r="I1814" s="11" t="inlineStr">
        <is>
          <t>Não</t>
        </is>
      </c>
      <c r="J1814" s="11" t="n">
        <v>2011</v>
      </c>
      <c r="K1814" s="10" t="n">
        <v>46054</v>
      </c>
      <c r="L1814" s="11" t="n">
        <v>1</v>
      </c>
      <c r="M1814" s="8">
        <f>L1814*G1814</f>
        <v/>
      </c>
      <c r="P1814" s="9" t="n"/>
    </row>
    <row r="1815">
      <c r="A1815" s="11" t="inlineStr">
        <is>
          <t>Sandstorm Charger / Atacante da Tempestade de Areia</t>
        </is>
      </c>
      <c r="B1815" s="11" t="inlineStr">
        <is>
          <t>Creature — Beast / Criatura — Besta</t>
        </is>
      </c>
      <c r="C1815" s="11" t="inlineStr">
        <is>
          <t>Common / Comum</t>
        </is>
      </c>
      <c r="D1815" s="11"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1815" s="11" t="inlineStr">
        <is>
          <t>{4}{W}</t>
        </is>
      </c>
      <c r="F1815" s="11" t="inlineStr">
        <is>
          <t>Branco</t>
        </is>
      </c>
      <c r="G1815" s="8" t="n">
        <v>0.06</v>
      </c>
      <c r="H1815" s="11" t="inlineStr">
        <is>
          <t>Dragons of Tarkir (DTK)</t>
        </is>
      </c>
      <c r="I1815" s="11" t="inlineStr">
        <is>
          <t>Não</t>
        </is>
      </c>
      <c r="J1815" s="11" t="n">
        <v>2015</v>
      </c>
      <c r="K1815" s="10" t="n">
        <v>46115</v>
      </c>
      <c r="L1815" s="11" t="n">
        <v>3</v>
      </c>
      <c r="M1815" s="8">
        <f>L1815*G1815</f>
        <v/>
      </c>
      <c r="P1815" s="9" t="n"/>
    </row>
    <row r="1816">
      <c r="A1816" s="11" t="inlineStr">
        <is>
          <t>Backup Agent / Agente de Reforço</t>
        </is>
      </c>
      <c r="B1816" s="11" t="inlineStr">
        <is>
          <t>Creature — Human Citizen / Criatura — Humano Cidadão</t>
        </is>
      </c>
      <c r="C1816" s="11" t="inlineStr">
        <is>
          <t>Common / Comum</t>
        </is>
      </c>
      <c r="D1816" s="11" t="inlineStr">
        <is>
          <t>When this creature enters, put a +1/+1 counter on target creature. / Quando Agente de Reforço entrar no campo de batalha, coloque um marcador +1/+1 na criatura alvo.</t>
        </is>
      </c>
      <c r="E1816" s="11" t="inlineStr">
        <is>
          <t>{1}{W}</t>
        </is>
      </c>
      <c r="F1816" s="11" t="inlineStr">
        <is>
          <t>Branco</t>
        </is>
      </c>
      <c r="G1816" s="8" t="n">
        <v>0.04</v>
      </c>
      <c r="H1816" s="11" t="inlineStr">
        <is>
          <t>Streets of New Capenna (SNC)</t>
        </is>
      </c>
      <c r="I1816" s="11" t="inlineStr">
        <is>
          <t>Não</t>
        </is>
      </c>
      <c r="J1816" s="11" t="n">
        <v>2022</v>
      </c>
      <c r="K1816" s="10" t="n">
        <v>46023</v>
      </c>
      <c r="L1816" s="11" t="n">
        <v>3</v>
      </c>
      <c r="M1816" s="8">
        <f>L1816*G1816</f>
        <v/>
      </c>
      <c r="P1816" s="9" t="n"/>
    </row>
    <row r="1817">
      <c r="A1817" s="11" t="inlineStr">
        <is>
          <t>Dromoka Warrior / Guerreiro de Dromoka</t>
        </is>
      </c>
      <c r="B1817" s="11" t="inlineStr">
        <is>
          <t>Creature — Human Warrior / Criatura — Humano Guerreiro</t>
        </is>
      </c>
      <c r="C1817" s="11" t="inlineStr">
        <is>
          <t>Common / Comum</t>
        </is>
      </c>
      <c r="E1817" s="11" t="inlineStr">
        <is>
          <t>{1}{W}</t>
        </is>
      </c>
      <c r="F1817" s="11" t="inlineStr">
        <is>
          <t>Branco</t>
        </is>
      </c>
      <c r="G1817" s="8" t="n">
        <v>0.05</v>
      </c>
      <c r="H1817" s="11" t="inlineStr">
        <is>
          <t>Dragons of Tarkir (DTK)</t>
        </is>
      </c>
      <c r="I1817" s="11" t="inlineStr">
        <is>
          <t>Não</t>
        </is>
      </c>
      <c r="J1817" s="11" t="n">
        <v>2015</v>
      </c>
      <c r="K1817" s="10" t="n">
        <v>46025</v>
      </c>
      <c r="L1817" s="11" t="n">
        <v>1</v>
      </c>
      <c r="M1817" s="8">
        <f>L1817*G1817</f>
        <v/>
      </c>
      <c r="P1817" s="9" t="n"/>
    </row>
    <row r="1818">
      <c r="A1818" s="11" t="inlineStr">
        <is>
          <t>Nav Squad Commandos / Comandos do Esquadrão de Navegação</t>
        </is>
      </c>
      <c r="B1818" s="11" t="inlineStr">
        <is>
          <t>Creature — Human Soldier / Criatura — Humano Soldado</t>
        </is>
      </c>
      <c r="C1818" s="11" t="inlineStr">
        <is>
          <t>Common / Comum</t>
        </is>
      </c>
      <c r="D1818" s="11"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1818" s="11" t="inlineStr">
        <is>
          <t>{4}{W}</t>
        </is>
      </c>
      <c r="F1818" s="11" t="inlineStr">
        <is>
          <t>Branco</t>
        </is>
      </c>
      <c r="G1818" s="8" t="n">
        <v>0.05</v>
      </c>
      <c r="H1818" s="11" t="inlineStr">
        <is>
          <t>Gatecrash (GTC)</t>
        </is>
      </c>
      <c r="I1818" s="11" t="inlineStr">
        <is>
          <t>Não</t>
        </is>
      </c>
      <c r="J1818" s="11" t="n">
        <v>2013</v>
      </c>
      <c r="K1818" s="10" t="n">
        <v>46145</v>
      </c>
      <c r="L1818" s="11" t="n">
        <v>1</v>
      </c>
      <c r="M1818" s="8">
        <f>L1818*G1818</f>
        <v/>
      </c>
      <c r="P1818" s="9" t="n"/>
    </row>
    <row r="1819">
      <c r="A1819" s="11" t="inlineStr">
        <is>
          <t>Sun-Crested Pterodon / Pterodonte Crista-solar</t>
        </is>
      </c>
      <c r="B1819" s="11" t="inlineStr">
        <is>
          <t>Creature — Dinosaur / Criatura — Dinossauro</t>
        </is>
      </c>
      <c r="C1819" s="11" t="inlineStr">
        <is>
          <t>Common / Comum</t>
        </is>
      </c>
      <c r="D1819" s="11" t="inlineStr">
        <is>
          <t>Flying This creature has vigilance as long as you control another Dinosaur. / Voar Pterodonte Crista-solar terá vigilância enquanto você controlar outro Dinossauro.</t>
        </is>
      </c>
      <c r="E1819" s="11" t="inlineStr">
        <is>
          <t>{4}{W}</t>
        </is>
      </c>
      <c r="F1819" s="11" t="inlineStr">
        <is>
          <t>Branco</t>
        </is>
      </c>
      <c r="G1819" s="8" t="n">
        <v>0.03</v>
      </c>
      <c r="H1819" s="11" t="inlineStr">
        <is>
          <t>Rivals of Ixalan (RIX)</t>
        </is>
      </c>
      <c r="I1819" s="11" t="inlineStr">
        <is>
          <t>Não</t>
        </is>
      </c>
      <c r="J1819" s="11" t="n">
        <v>2018</v>
      </c>
      <c r="K1819" s="10" t="n">
        <v>46144</v>
      </c>
      <c r="L1819" s="11" t="n">
        <v>1</v>
      </c>
      <c r="M1819" s="8">
        <f>L1819*G1819</f>
        <v/>
      </c>
      <c r="P1819" s="9" t="n"/>
    </row>
    <row r="1820">
      <c r="A1820" s="11" t="inlineStr">
        <is>
          <t>Goldnight Redeemer / Redentor dos Noite Dourada</t>
        </is>
      </c>
      <c r="B1820" s="11" t="inlineStr">
        <is>
          <t>Creature — Angel / Criatura — Anjo</t>
        </is>
      </c>
      <c r="C1820" s="11" t="inlineStr">
        <is>
          <t>Uncommon / Incomum</t>
        </is>
      </c>
      <c r="D1820" s="11" t="inlineStr">
        <is>
          <t>Flying When this creature enters, you gain 2 life for each other creature you control. / Voar Quando Redentor dos Noite Dourada entra no campo de batalha, você ganha 2 pontos de vida para cada outra criatura que você controla.</t>
        </is>
      </c>
      <c r="E1820" s="11" t="inlineStr">
        <is>
          <t>{4}{W}{W}</t>
        </is>
      </c>
      <c r="F1820" s="11" t="inlineStr">
        <is>
          <t>Branco</t>
        </is>
      </c>
      <c r="G1820" s="8" t="n">
        <v>0.09</v>
      </c>
      <c r="H1820" s="11" t="inlineStr">
        <is>
          <t>Avacyn Restored (AVR)</t>
        </is>
      </c>
      <c r="I1820" s="11" t="inlineStr">
        <is>
          <t>Não</t>
        </is>
      </c>
      <c r="J1820" s="11" t="n">
        <v>2012</v>
      </c>
      <c r="K1820" s="10" t="n">
        <v>46116</v>
      </c>
      <c r="L1820" s="11" t="n">
        <v>4</v>
      </c>
      <c r="M1820" s="8">
        <f>L1820*G1820</f>
        <v/>
      </c>
      <c r="P1820" s="9" t="n"/>
    </row>
    <row r="1821">
      <c r="A1821" s="11" t="inlineStr">
        <is>
          <t>Ondu War Cleric / Clérigo da Guerra de Ondu</t>
        </is>
      </c>
      <c r="B1821" s="11" t="inlineStr">
        <is>
          <t>Creature — Human Cleric Ally / Criatura — Humano Clérigo Aliado</t>
        </is>
      </c>
      <c r="C1821" s="11" t="inlineStr">
        <is>
          <t>Common / Comum</t>
        </is>
      </c>
      <c r="D1821" s="11" t="inlineStr">
        <is>
          <t>Cohort — {T}, Tap an untapped Ally you control: You gain 2 life. / Companheiro — {T}, Vire um Aliado desvirado que você controla: Você ganha 2 pontos de vida.</t>
        </is>
      </c>
      <c r="E1821" s="11" t="inlineStr">
        <is>
          <t>{1}{W}</t>
        </is>
      </c>
      <c r="F1821" s="11" t="inlineStr">
        <is>
          <t>Branco</t>
        </is>
      </c>
      <c r="G1821" s="8" t="n">
        <v>0.06</v>
      </c>
      <c r="H1821" s="11" t="inlineStr">
        <is>
          <t>Oath of the Gatewatch (OGW)</t>
        </is>
      </c>
      <c r="I1821" s="11" t="inlineStr">
        <is>
          <t>Não</t>
        </is>
      </c>
      <c r="J1821" s="11" t="n">
        <v>2016</v>
      </c>
      <c r="K1821" s="10" t="n">
        <v>46055</v>
      </c>
      <c r="L1821" s="11" t="n">
        <v>1</v>
      </c>
      <c r="M1821" s="8">
        <f>L1821*G1821</f>
        <v/>
      </c>
      <c r="P1821" s="9" t="n"/>
    </row>
    <row r="1822">
      <c r="A1822" s="11" t="inlineStr">
        <is>
          <t>Martyr for the Cause / Mártir da Causa</t>
        </is>
      </c>
      <c r="B1822" s="11" t="inlineStr">
        <is>
          <t>Creature — Human Soldier / Criatura — Humano Soldado</t>
        </is>
      </c>
      <c r="C1822" s="11" t="inlineStr">
        <is>
          <t>Common / Comum</t>
        </is>
      </c>
      <c r="D1822" s="11"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1822" s="11" t="inlineStr">
        <is>
          <t>{1}{W}</t>
        </is>
      </c>
      <c r="F1822" s="11" t="inlineStr">
        <is>
          <t>Branco</t>
        </is>
      </c>
      <c r="G1822" s="8" t="n">
        <v>0.02</v>
      </c>
      <c r="H1822" s="11" t="inlineStr">
        <is>
          <t>War of the Spark (WAR)</t>
        </is>
      </c>
      <c r="I1822" s="11" t="inlineStr">
        <is>
          <t>Não</t>
        </is>
      </c>
      <c r="J1822" s="11" t="n">
        <v>2019</v>
      </c>
      <c r="K1822" s="10" t="n">
        <v>46055</v>
      </c>
      <c r="L1822" s="11" t="n">
        <v>1</v>
      </c>
      <c r="M1822" s="8">
        <f>L1822*G1822</f>
        <v/>
      </c>
      <c r="P1822" s="9" t="n"/>
    </row>
    <row r="1823">
      <c r="A1823" s="11" t="inlineStr">
        <is>
          <t>Silent Artisan / Artesão Silencioso</t>
        </is>
      </c>
      <c r="B1823" s="11" t="inlineStr">
        <is>
          <t>Creature — Giant / Criatura — Gigante</t>
        </is>
      </c>
      <c r="C1823" s="11" t="inlineStr">
        <is>
          <t>Common / Comum</t>
        </is>
      </c>
      <c r="E1823" s="11" t="inlineStr">
        <is>
          <t>{3}{W}{W}</t>
        </is>
      </c>
      <c r="F1823" s="11" t="inlineStr">
        <is>
          <t>Branco</t>
        </is>
      </c>
      <c r="G1823" s="8" t="n">
        <v>0.05</v>
      </c>
      <c r="H1823" s="11" t="inlineStr">
        <is>
          <t>Theros (THS)</t>
        </is>
      </c>
      <c r="I1823" s="11" t="inlineStr">
        <is>
          <t>Não</t>
        </is>
      </c>
      <c r="J1823" s="11" t="n">
        <v>2013</v>
      </c>
      <c r="K1823" s="10" t="n">
        <v>46145</v>
      </c>
      <c r="L1823" s="11" t="n">
        <v>2</v>
      </c>
      <c r="M1823" s="8">
        <f>L1823*G1823</f>
        <v/>
      </c>
      <c r="P1823" s="9" t="n"/>
    </row>
    <row r="1824">
      <c r="A1824" s="11" t="inlineStr">
        <is>
          <t>Kazandu Blademaster / Espadachim-Mestre de Kazandu</t>
        </is>
      </c>
      <c r="B1824" s="11" t="inlineStr">
        <is>
          <t>Creature — Human Soldier Ally / Criatura — Humano Soldado Aliado</t>
        </is>
      </c>
      <c r="C1824" s="11" t="inlineStr">
        <is>
          <t>Uncommon / Incomum</t>
        </is>
      </c>
      <c r="D1824" s="11"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1824" s="11" t="inlineStr">
        <is>
          <t>{W}{W}</t>
        </is>
      </c>
      <c r="F1824" s="11" t="inlineStr">
        <is>
          <t>Branco</t>
        </is>
      </c>
      <c r="G1824" s="8" t="n">
        <v>0.43</v>
      </c>
      <c r="H1824" s="11" t="inlineStr">
        <is>
          <t>Zendikar (ZEN)</t>
        </is>
      </c>
      <c r="I1824" s="11" t="inlineStr">
        <is>
          <t>Não</t>
        </is>
      </c>
      <c r="J1824" s="11" t="n">
        <v>2009</v>
      </c>
      <c r="K1824" s="10" t="n">
        <v>46023</v>
      </c>
      <c r="L1824" s="11" t="n">
        <v>3</v>
      </c>
      <c r="M1824" s="8">
        <f>L1824*G1824</f>
        <v/>
      </c>
      <c r="P1824" s="9" t="n"/>
    </row>
    <row r="1825">
      <c r="A1825" s="11" t="inlineStr">
        <is>
          <t>Sun-Dappled Celebrant</t>
        </is>
      </c>
      <c r="B1825" s="11" t="inlineStr">
        <is>
          <t>Creature — Treefolk Cleric</t>
        </is>
      </c>
      <c r="C1825" s="11" t="inlineStr">
        <is>
          <t>Common / Comum</t>
        </is>
      </c>
      <c r="D1825" s="11" t="inlineStr">
        <is>
          <t>Convoke (Your creatures can help cast this spell. Each creature you tap while casting this spell pays for {1} or one mana of that creature's color.) Vigilance</t>
        </is>
      </c>
      <c r="E1825" s="11" t="inlineStr">
        <is>
          <t>{4}{W}{W}</t>
        </is>
      </c>
      <c r="F1825" s="11" t="inlineStr">
        <is>
          <t>Branco</t>
        </is>
      </c>
      <c r="G1825" s="8" t="n">
        <v>0.2</v>
      </c>
      <c r="H1825" s="11" t="inlineStr">
        <is>
          <t>Lorwyn Eclipsed (ECL)</t>
        </is>
      </c>
      <c r="I1825" s="11" t="inlineStr">
        <is>
          <t>Sim</t>
        </is>
      </c>
      <c r="J1825" s="11" t="n">
        <v>2026</v>
      </c>
      <c r="K1825" s="10" t="n">
        <v>46178</v>
      </c>
      <c r="L1825" s="11" t="n">
        <v>1</v>
      </c>
      <c r="M1825" s="8">
        <f>L1825*G1825</f>
        <v/>
      </c>
      <c r="P1825" s="9" t="n"/>
    </row>
    <row r="1826">
      <c r="A1826" s="11" t="inlineStr">
        <is>
          <t>Haazda Marshal / Agente de Haazda</t>
        </is>
      </c>
      <c r="B1826" s="11" t="inlineStr">
        <is>
          <t>Creature — Human Soldier / Criatura — Humano Soldado</t>
        </is>
      </c>
      <c r="C1826" s="11" t="inlineStr">
        <is>
          <t>Uncommon / Incomum</t>
        </is>
      </c>
      <c r="D1826" s="11"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1826" s="11" t="inlineStr">
        <is>
          <t>{W}</t>
        </is>
      </c>
      <c r="F1826" s="11" t="inlineStr">
        <is>
          <t>Branco</t>
        </is>
      </c>
      <c r="G1826" s="8" t="n">
        <v>1.6</v>
      </c>
      <c r="H1826" s="11" t="inlineStr">
        <is>
          <t>Guilds of Ravnica (GRN)</t>
        </is>
      </c>
      <c r="I1826" s="11" t="inlineStr">
        <is>
          <t>Sim</t>
        </is>
      </c>
      <c r="J1826" s="11" t="n">
        <v>2018</v>
      </c>
      <c r="K1826" s="10" t="n">
        <v>46023</v>
      </c>
      <c r="L1826" s="11" t="n">
        <v>1</v>
      </c>
      <c r="M1826" s="8">
        <f>L1826*G1826</f>
        <v/>
      </c>
      <c r="P1826" s="9" t="n"/>
    </row>
    <row r="1827">
      <c r="A1827" s="11" t="inlineStr">
        <is>
          <t>Ajani's Chosen / Escolhidos de Ajani</t>
        </is>
      </c>
      <c r="B1827" s="11" t="inlineStr">
        <is>
          <t>Creature — Cat Soldier / Criatura — Felino Soldado</t>
        </is>
      </c>
      <c r="C1827" s="11" t="inlineStr">
        <is>
          <t>Rare / Rara</t>
        </is>
      </c>
      <c r="D1827" s="11"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1827" s="11" t="inlineStr">
        <is>
          <t>{2}{W}{W}</t>
        </is>
      </c>
      <c r="F1827" s="11" t="inlineStr">
        <is>
          <t>Branco</t>
        </is>
      </c>
      <c r="G1827" s="8" t="n">
        <v>0.45</v>
      </c>
      <c r="H1827" s="11" t="inlineStr">
        <is>
          <t>Magic 2014 (M14)</t>
        </is>
      </c>
      <c r="I1827" s="11" t="inlineStr">
        <is>
          <t>Não</t>
        </is>
      </c>
      <c r="J1827" s="11" t="n">
        <v>2013</v>
      </c>
      <c r="K1827" s="10" t="n">
        <v>46084</v>
      </c>
      <c r="L1827" s="11" t="n">
        <v>1</v>
      </c>
      <c r="M1827" s="8">
        <f>L1827*G1827</f>
        <v/>
      </c>
      <c r="P1827" s="9" t="n"/>
    </row>
    <row r="1828">
      <c r="A1828" s="11" t="inlineStr">
        <is>
          <t>Avian Changeling / Morfolóide Áleo</t>
        </is>
      </c>
      <c r="B1828" s="11" t="inlineStr">
        <is>
          <t>Creature — Shapeshifter / Criatura — Metamorfo</t>
        </is>
      </c>
      <c r="C1828" s="11" t="inlineStr">
        <is>
          <t>Common / Comum</t>
        </is>
      </c>
      <c r="D1828" s="11" t="inlineStr">
        <is>
          <t>Changeling (This card is every creature type.) Flying / Morfolóide (Este card é de todos os tipos de criatura sempre.) Voar</t>
        </is>
      </c>
      <c r="E1828" s="11" t="inlineStr">
        <is>
          <t>{2}{W}</t>
        </is>
      </c>
      <c r="F1828" s="11" t="inlineStr">
        <is>
          <t>Branco</t>
        </is>
      </c>
      <c r="G1828" s="8" t="n">
        <v>0.14</v>
      </c>
      <c r="H1828" s="11" t="inlineStr">
        <is>
          <t>Modern Masters (MMA)</t>
        </is>
      </c>
      <c r="I1828" s="11" t="inlineStr">
        <is>
          <t>Não</t>
        </is>
      </c>
      <c r="J1828" s="11" t="n">
        <v>2013</v>
      </c>
      <c r="K1828" s="10" t="n">
        <v>46055</v>
      </c>
      <c r="L1828" s="11" t="n">
        <v>1</v>
      </c>
      <c r="M1828" s="8">
        <f>L1828*G1828</f>
        <v/>
      </c>
      <c r="P1828" s="9" t="n"/>
    </row>
    <row r="1829">
      <c r="A1829" s="11" t="inlineStr">
        <is>
          <t>Chapel Geist / Geist da Capela</t>
        </is>
      </c>
      <c r="B1829" s="11" t="inlineStr">
        <is>
          <t>Creature — Spirit / Criatura — Espírito</t>
        </is>
      </c>
      <c r="C1829" s="11" t="inlineStr">
        <is>
          <t>Common / Comum</t>
        </is>
      </c>
      <c r="D1829" s="11" t="inlineStr">
        <is>
          <t>Flying / Voar</t>
        </is>
      </c>
      <c r="E1829" s="11" t="inlineStr">
        <is>
          <t>{1}{W}{W}</t>
        </is>
      </c>
      <c r="F1829" s="11" t="inlineStr">
        <is>
          <t>Branco</t>
        </is>
      </c>
      <c r="G1829" s="8" t="n">
        <v>0.05</v>
      </c>
      <c r="H1829" s="11" t="inlineStr">
        <is>
          <t>Innistrad (ISD)</t>
        </is>
      </c>
      <c r="I1829" s="11" t="inlineStr">
        <is>
          <t>Não</t>
        </is>
      </c>
      <c r="J1829" s="11" t="n">
        <v>2011</v>
      </c>
      <c r="K1829" s="10" t="n">
        <v>46083</v>
      </c>
      <c r="L1829" s="11" t="n">
        <v>1</v>
      </c>
      <c r="M1829" s="8">
        <f>L1829*G1829</f>
        <v/>
      </c>
      <c r="P1829" s="9" t="n"/>
    </row>
    <row r="1830">
      <c r="A1830" s="11" t="inlineStr">
        <is>
          <t>Griffin Dreamfinder / Grifo Apanha-sonhos</t>
        </is>
      </c>
      <c r="B1830" s="11" t="inlineStr">
        <is>
          <t>Creature — Griffin / Criatura — Grifo</t>
        </is>
      </c>
      <c r="C1830" s="11" t="inlineStr">
        <is>
          <t>Common / Comum</t>
        </is>
      </c>
      <c r="D1830" s="11" t="inlineStr">
        <is>
          <t>Flying When this creature enters, return target enchantment card from your graveyard to your hand. / Voar Quando Grifo Apanha-sonhos entrar no campo de batalha, devolva o card de encantamento alvo de seu cemitério para sua mão.</t>
        </is>
      </c>
      <c r="E1830" s="11" t="inlineStr">
        <is>
          <t>{3}{W}{W}</t>
        </is>
      </c>
      <c r="F1830" s="11" t="inlineStr">
        <is>
          <t>Branco</t>
        </is>
      </c>
      <c r="G1830" s="8" t="n">
        <v>0.03</v>
      </c>
      <c r="H1830" s="11" t="inlineStr">
        <is>
          <t>Born of the Gods (BNG)</t>
        </is>
      </c>
      <c r="I1830" s="11" t="inlineStr">
        <is>
          <t>Não</t>
        </is>
      </c>
      <c r="J1830" s="11" t="n">
        <v>2014</v>
      </c>
      <c r="K1830" s="10" t="n">
        <v>46113</v>
      </c>
      <c r="L1830" s="11" t="n">
        <v>1</v>
      </c>
      <c r="M1830" s="8">
        <f>L1830*G1830</f>
        <v/>
      </c>
      <c r="P1830" s="9" t="n"/>
    </row>
    <row r="1831">
      <c r="A1831" s="11" t="inlineStr">
        <is>
          <t>Celestial Flare / Clarão Celestial</t>
        </is>
      </c>
      <c r="B1831" s="11" t="inlineStr">
        <is>
          <t>Instant / Mágica Instantânea</t>
        </is>
      </c>
      <c r="C1831" s="11" t="inlineStr">
        <is>
          <t>Common / Comum</t>
        </is>
      </c>
      <c r="D1831" s="11" t="inlineStr">
        <is>
          <t>Target player sacrifices an attacking or blocking creature of their choice. / O jogador alvo sacrifica uma criatura atacante ou bloqueadora.</t>
        </is>
      </c>
      <c r="E1831" s="11" t="inlineStr">
        <is>
          <t>{W}{W}</t>
        </is>
      </c>
      <c r="F1831" s="11" t="inlineStr">
        <is>
          <t>Branco</t>
        </is>
      </c>
      <c r="G1831" s="8" t="n">
        <v>0.08</v>
      </c>
      <c r="H1831" s="11" t="inlineStr">
        <is>
          <t>Magic 2014 (M14)</t>
        </is>
      </c>
      <c r="I1831" s="11" t="inlineStr">
        <is>
          <t>Não</t>
        </is>
      </c>
      <c r="J1831" s="11" t="n">
        <v>2013</v>
      </c>
      <c r="L1831" s="11" t="n">
        <v>3</v>
      </c>
      <c r="M1831" s="8">
        <f>L1831*G1831</f>
        <v/>
      </c>
      <c r="P1831" s="9" t="n"/>
    </row>
    <row r="1832">
      <c r="A1832" s="11" t="inlineStr">
        <is>
          <t>Last Breath / Último Fôlego</t>
        </is>
      </c>
      <c r="B1832" s="11" t="inlineStr">
        <is>
          <t>Instant / Mágica Instantânea</t>
        </is>
      </c>
      <c r="C1832" s="11" t="inlineStr">
        <is>
          <t>Common / Comum</t>
        </is>
      </c>
      <c r="D1832" s="11" t="inlineStr">
        <is>
          <t>Exile target creature with power 2 or less. Its controller gains 4 life. / Exile a criatura alvo com poder menor ou igual a 2. Seu controlador ganha 4 pontos de vida.</t>
        </is>
      </c>
      <c r="E1832" s="11" t="inlineStr">
        <is>
          <t>{1}{W}</t>
        </is>
      </c>
      <c r="F1832" s="11" t="inlineStr">
        <is>
          <t>Branco</t>
        </is>
      </c>
      <c r="G1832" s="8" t="n">
        <v>0.05</v>
      </c>
      <c r="H1832" s="11" t="inlineStr">
        <is>
          <t>Theros (THS)</t>
        </is>
      </c>
      <c r="I1832" s="11" t="inlineStr">
        <is>
          <t>Não</t>
        </is>
      </c>
      <c r="J1832" s="11" t="n">
        <v>2013</v>
      </c>
      <c r="L1832" s="11" t="n">
        <v>1</v>
      </c>
      <c r="M1832" s="8">
        <f>L1832*G1832</f>
        <v/>
      </c>
      <c r="P1832" s="9" t="n"/>
    </row>
    <row r="1833">
      <c r="A1833" s="11" t="inlineStr">
        <is>
          <t>Pay No Heed / Desconsiderar</t>
        </is>
      </c>
      <c r="B1833" s="11" t="inlineStr">
        <is>
          <t>Instant / Mágica Instantânea</t>
        </is>
      </c>
      <c r="C1833" s="11" t="inlineStr">
        <is>
          <t>Common / Comum</t>
        </is>
      </c>
      <c r="D1833" s="11" t="inlineStr">
        <is>
          <t>Prevent all damage a source of your choice would deal this turn. / Previna todo o dano que uma fonte à sua escolha causaria neste turno.</t>
        </is>
      </c>
      <c r="E1833" s="11" t="inlineStr">
        <is>
          <t>{W}</t>
        </is>
      </c>
      <c r="F1833" s="11" t="inlineStr">
        <is>
          <t>Branco</t>
        </is>
      </c>
      <c r="G1833" s="8" t="n">
        <v>0.05</v>
      </c>
      <c r="H1833" s="11" t="inlineStr">
        <is>
          <t>Magic 2014 (M14)</t>
        </is>
      </c>
      <c r="I1833" s="11" t="inlineStr">
        <is>
          <t>Não</t>
        </is>
      </c>
      <c r="J1833" s="11" t="n">
        <v>2013</v>
      </c>
      <c r="L1833" s="11" t="n">
        <v>1</v>
      </c>
      <c r="M1833" s="8">
        <f>L1833*G1833</f>
        <v/>
      </c>
      <c r="P1833" s="9" t="n"/>
    </row>
    <row r="1834">
      <c r="A1834" s="11" t="inlineStr">
        <is>
          <t>Renewed Faith / Fé Renovada</t>
        </is>
      </c>
      <c r="B1834" s="11" t="inlineStr">
        <is>
          <t>Instant / Mágica Instantânea</t>
        </is>
      </c>
      <c r="C1834" s="11" t="inlineStr">
        <is>
          <t>Common / Comum</t>
        </is>
      </c>
      <c r="D1834" s="11" t="inlineStr">
        <is>
          <t>You gain 6 life. Cycling {1}{W} ({1}{W}, Discard this card: Draw a card.) When you cycle this card, you may gain 2 life. / Você ganha 6 pontos de vida. Reciclar {1}{W} ({1}{W}, Descarte este card: Compre um card.) Quando recicla Fé Renovada, você pode ganhar 2 pontos de vida.</t>
        </is>
      </c>
      <c r="E1834" s="11" t="inlineStr">
        <is>
          <t>{2}{W}</t>
        </is>
      </c>
      <c r="F1834" s="11" t="inlineStr">
        <is>
          <t>Branco</t>
        </is>
      </c>
      <c r="G1834" s="8" t="n">
        <v>0.3</v>
      </c>
      <c r="H1834" s="11" t="inlineStr">
        <is>
          <t>Masters 25 (A25)</t>
        </is>
      </c>
      <c r="I1834" s="11" t="inlineStr">
        <is>
          <t>Sim</t>
        </is>
      </c>
      <c r="J1834" s="11" t="n">
        <v>2018</v>
      </c>
      <c r="L1834" s="11" t="n">
        <v>1</v>
      </c>
      <c r="M1834" s="8">
        <f>L1834*G1834</f>
        <v/>
      </c>
      <c r="P1834" s="9" t="n"/>
    </row>
    <row r="1835">
      <c r="A1835" s="11" t="inlineStr">
        <is>
          <t>Wanderer's Intervention / Intervenção da Errante</t>
        </is>
      </c>
      <c r="B1835" s="11" t="inlineStr">
        <is>
          <t>Instant / Mágica Instantânea</t>
        </is>
      </c>
      <c r="C1835" s="11" t="inlineStr">
        <is>
          <t>Common / Comum</t>
        </is>
      </c>
      <c r="D1835" s="11" t="inlineStr">
        <is>
          <t>Wanderer's Intervention deals 4 damage to target attacking or blocking creature. / Intervenção da Errante causa 4 pontos de dano à criatura atacante ou bloqueadora alvo.</t>
        </is>
      </c>
      <c r="E1835" s="11" t="inlineStr">
        <is>
          <t>{1}{W}</t>
        </is>
      </c>
      <c r="F1835" s="11" t="inlineStr">
        <is>
          <t>Branco</t>
        </is>
      </c>
      <c r="G1835" s="8" t="n">
        <v>0.1</v>
      </c>
      <c r="H1835" s="11" t="inlineStr">
        <is>
          <t>Kamigawa: Neon Dynasty (NEO)</t>
        </is>
      </c>
      <c r="I1835" s="11" t="inlineStr">
        <is>
          <t>Não</t>
        </is>
      </c>
      <c r="J1835" s="11" t="n">
        <v>2022</v>
      </c>
      <c r="L1835" s="11" t="n">
        <v>1</v>
      </c>
      <c r="M1835" s="8">
        <f>L1835*G1835</f>
        <v/>
      </c>
      <c r="P1835" s="9" t="n"/>
    </row>
    <row r="1836">
      <c r="A1836" s="11" t="inlineStr">
        <is>
          <t>Fortify / Fortificar</t>
        </is>
      </c>
      <c r="B1836" s="11" t="inlineStr">
        <is>
          <t>Instant / Mágica Instantânea</t>
        </is>
      </c>
      <c r="C1836" s="11" t="inlineStr">
        <is>
          <t>Common / Comum</t>
        </is>
      </c>
      <c r="D1836" s="11"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836" s="11" t="inlineStr">
        <is>
          <t>{2}{W}</t>
        </is>
      </c>
      <c r="F1836" s="11" t="inlineStr">
        <is>
          <t>Branco</t>
        </is>
      </c>
      <c r="G1836" s="8" t="n">
        <v>0.06</v>
      </c>
      <c r="H1836" s="11" t="inlineStr">
        <is>
          <t>Time Spiral (TSP)</t>
        </is>
      </c>
      <c r="I1836" s="11" t="inlineStr">
        <is>
          <t>Não</t>
        </is>
      </c>
      <c r="J1836" s="11" t="n">
        <v>2006</v>
      </c>
      <c r="L1836" s="11" t="n">
        <v>1</v>
      </c>
      <c r="M1836" s="8">
        <f>L1836*G1836</f>
        <v/>
      </c>
      <c r="P1836" s="9" t="n"/>
    </row>
    <row r="1837">
      <c r="A1837" s="11" t="inlineStr">
        <is>
          <t>Zealous Strike / Golpe Zeloso</t>
        </is>
      </c>
      <c r="B1837" s="11" t="inlineStr">
        <is>
          <t>Instant / Mágica Instantânea</t>
        </is>
      </c>
      <c r="C1837" s="11" t="inlineStr">
        <is>
          <t>Common / Comum</t>
        </is>
      </c>
      <c r="D1837" s="11" t="inlineStr">
        <is>
          <t>Target creature gets +2/+2 and gains first strike until end of turn. / A criatura alvo recebe +2/+2 e ganha iniciativa até o final do turno.</t>
        </is>
      </c>
      <c r="E1837" s="11" t="inlineStr">
        <is>
          <t>{1}{W}</t>
        </is>
      </c>
      <c r="F1837" s="11" t="inlineStr">
        <is>
          <t>Branco</t>
        </is>
      </c>
      <c r="G1837" s="8" t="n">
        <v>0.05</v>
      </c>
      <c r="H1837" s="11" t="inlineStr">
        <is>
          <t>Avacyn Restored (AVR)</t>
        </is>
      </c>
      <c r="I1837" s="11" t="inlineStr">
        <is>
          <t>Não</t>
        </is>
      </c>
      <c r="J1837" s="11" t="n">
        <v>2012</v>
      </c>
      <c r="L1837" s="11" t="n">
        <v>1</v>
      </c>
      <c r="M1837" s="8">
        <f>L1837*G1837</f>
        <v/>
      </c>
      <c r="P1837" s="9" t="n"/>
    </row>
    <row r="1838">
      <c r="A1838" s="11" t="inlineStr">
        <is>
          <t>Trostani's Judgment / Julgamento de Trostani</t>
        </is>
      </c>
      <c r="B1838" s="11" t="inlineStr">
        <is>
          <t>Instant / Mágica Instantânea</t>
        </is>
      </c>
      <c r="C1838" s="11" t="inlineStr">
        <is>
          <t>Common / Comum</t>
        </is>
      </c>
      <c r="D1838" s="11" t="inlineStr">
        <is>
          <t>Exile target creature, then populate. (Create a token that's a copy of a creature token you control.) / Exile a criatura alvo e depois povoe. (Coloque no campo de batalha uma ficha que seja uma cópia de uma ficha de criatura que você controla.)</t>
        </is>
      </c>
      <c r="E1838" s="11" t="inlineStr">
        <is>
          <t>{5}{W}</t>
        </is>
      </c>
      <c r="F1838" s="11" t="inlineStr">
        <is>
          <t>Branco</t>
        </is>
      </c>
      <c r="G1838" s="8" t="n">
        <v>0.05</v>
      </c>
      <c r="H1838" s="11" t="inlineStr">
        <is>
          <t>Return to Ravnica (RTR)</t>
        </is>
      </c>
      <c r="I1838" s="11" t="inlineStr">
        <is>
          <t>Não</t>
        </is>
      </c>
      <c r="J1838" s="11" t="n">
        <v>2012</v>
      </c>
      <c r="L1838" s="11" t="n">
        <v>1</v>
      </c>
      <c r="M1838" s="8">
        <f>L1838*G1838</f>
        <v/>
      </c>
      <c r="P1838" s="9" t="n"/>
    </row>
    <row r="1839">
      <c r="A1839" s="11" t="inlineStr">
        <is>
          <t>Battlefield Promotion / Promoção em Campo</t>
        </is>
      </c>
      <c r="B1839" s="11" t="inlineStr">
        <is>
          <t>Instant / Mágica Instantânea</t>
        </is>
      </c>
      <c r="C1839" s="11" t="inlineStr">
        <is>
          <t>Common / Comum</t>
        </is>
      </c>
      <c r="D1839" s="11"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1839" s="11" t="inlineStr">
        <is>
          <t>{1}{W}</t>
        </is>
      </c>
      <c r="F1839" s="11" t="inlineStr">
        <is>
          <t>Branco</t>
        </is>
      </c>
      <c r="G1839" s="8" t="n">
        <v>0.05</v>
      </c>
      <c r="H1839" s="11" t="inlineStr">
        <is>
          <t>War of the Spark (WAR)</t>
        </is>
      </c>
      <c r="I1839" s="11" t="inlineStr">
        <is>
          <t>Não</t>
        </is>
      </c>
      <c r="J1839" s="11" t="n">
        <v>2019</v>
      </c>
      <c r="L1839" s="11" t="n">
        <v>2</v>
      </c>
      <c r="M1839" s="8">
        <f>L1839*G1839</f>
        <v/>
      </c>
      <c r="P1839" s="9" t="n"/>
    </row>
    <row r="1840">
      <c r="A1840" s="11" t="inlineStr">
        <is>
          <t>Leave No Trace / Sem vestígios</t>
        </is>
      </c>
      <c r="B1840" s="11" t="inlineStr">
        <is>
          <t>Instant / Mágica Instantânea</t>
        </is>
      </c>
      <c r="C1840" s="11" t="inlineStr">
        <is>
          <t>Common / Comum</t>
        </is>
      </c>
      <c r="D1840" s="11" t="inlineStr">
        <is>
          <t>Radiance — Destroy target enchantment and each other enchantment that shares a color with it. / Radiação Destrói o encantamento alvo e cada outro encantamento que compartilhe uma cor com ele.</t>
        </is>
      </c>
      <c r="E1840" s="11" t="inlineStr">
        <is>
          <t>{1}{W}</t>
        </is>
      </c>
      <c r="F1840" s="11" t="inlineStr">
        <is>
          <t>Branco</t>
        </is>
      </c>
      <c r="G1840" s="8" t="n">
        <v>0.4</v>
      </c>
      <c r="H1840" s="11" t="inlineStr">
        <is>
          <t>Ravnica: City of Guilds (RAV)</t>
        </is>
      </c>
      <c r="I1840" s="11" t="inlineStr">
        <is>
          <t>Não</t>
        </is>
      </c>
      <c r="J1840" s="11" t="n">
        <v>2005</v>
      </c>
      <c r="L1840" s="11" t="n">
        <v>3</v>
      </c>
      <c r="M1840" s="8">
        <f>L1840*G1840</f>
        <v/>
      </c>
      <c r="P1840" s="9" t="n"/>
    </row>
    <row r="1841">
      <c r="A1841" s="11" t="inlineStr">
        <is>
          <t>Spare from Evil / Poupar do Mal</t>
        </is>
      </c>
      <c r="B1841" s="11" t="inlineStr">
        <is>
          <t>Instant / Mágica Instantânea</t>
        </is>
      </c>
      <c r="C1841" s="11" t="inlineStr">
        <is>
          <t>Common / Comum</t>
        </is>
      </c>
      <c r="D1841" s="11" t="inlineStr">
        <is>
          <t>Creatures you control gain protection from non-Human creatures until end of turn. / As criaturas que você controla ganham proteção contra criaturas que não sejam do tipo Humano até o final do turno.</t>
        </is>
      </c>
      <c r="E1841" s="11" t="inlineStr">
        <is>
          <t>{1}{W}</t>
        </is>
      </c>
      <c r="F1841" s="11" t="inlineStr">
        <is>
          <t>Branco</t>
        </is>
      </c>
      <c r="G1841" s="8" t="n">
        <v>0.08</v>
      </c>
      <c r="H1841" s="11" t="inlineStr">
        <is>
          <t>Innistrad (ISD)</t>
        </is>
      </c>
      <c r="I1841" s="11" t="inlineStr">
        <is>
          <t>Não</t>
        </is>
      </c>
      <c r="J1841" s="11" t="n">
        <v>2011</v>
      </c>
      <c r="L1841" s="11" t="n">
        <v>4</v>
      </c>
      <c r="M1841" s="8">
        <f>L1841*G1841</f>
        <v/>
      </c>
      <c r="P1841" s="9" t="n"/>
    </row>
    <row r="1842">
      <c r="A1842" s="11" t="inlineStr">
        <is>
          <t>Hopeful Vigil / Vigília Esperançosa</t>
        </is>
      </c>
      <c r="B1842" s="11" t="inlineStr">
        <is>
          <t>Enchantment / Encantamento</t>
        </is>
      </c>
      <c r="C1842" s="11" t="inlineStr">
        <is>
          <t>Common / Comum</t>
        </is>
      </c>
      <c r="D1842" s="11"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1842" s="11" t="inlineStr">
        <is>
          <t>{1}{W}</t>
        </is>
      </c>
      <c r="F1842" s="11" t="inlineStr">
        <is>
          <t>Branco</t>
        </is>
      </c>
      <c r="G1842" s="8" t="n">
        <v>0.09</v>
      </c>
      <c r="H1842" s="11" t="inlineStr">
        <is>
          <t>Wilds of Eldraine (WOE)</t>
        </is>
      </c>
      <c r="I1842" s="11" t="inlineStr">
        <is>
          <t>Não</t>
        </is>
      </c>
      <c r="J1842" s="11" t="n">
        <v>2023</v>
      </c>
      <c r="L1842" s="11" t="n">
        <v>1</v>
      </c>
      <c r="M1842" s="8">
        <f>L1842*G1842</f>
        <v/>
      </c>
      <c r="P1842" s="9" t="n"/>
    </row>
    <row r="1843">
      <c r="A1843" s="11" t="inlineStr">
        <is>
          <t>Increasing Devotion / Devoção Crescente</t>
        </is>
      </c>
      <c r="B1843" s="11" t="inlineStr">
        <is>
          <t>Sorcery / Feitiço</t>
        </is>
      </c>
      <c r="C1843" s="11" t="inlineStr">
        <is>
          <t>Rare / Rara</t>
        </is>
      </c>
      <c r="D1843" s="11"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1843" s="11" t="inlineStr">
        <is>
          <t>{3}{W}{W}</t>
        </is>
      </c>
      <c r="F1843" s="11" t="inlineStr">
        <is>
          <t>Branco</t>
        </is>
      </c>
      <c r="G1843" s="8" t="n">
        <v>0.38</v>
      </c>
      <c r="H1843" s="11" t="inlineStr">
        <is>
          <t>Dark Ascension (DKA)</t>
        </is>
      </c>
      <c r="I1843" s="11" t="inlineStr">
        <is>
          <t>Não</t>
        </is>
      </c>
      <c r="J1843" s="11" t="n">
        <v>2012</v>
      </c>
      <c r="L1843" s="11" t="n">
        <v>1</v>
      </c>
      <c r="M1843" s="8">
        <f>L1843*G1843</f>
        <v/>
      </c>
      <c r="P1843" s="9" t="n"/>
    </row>
    <row r="1844">
      <c r="A1844" s="11" t="inlineStr">
        <is>
          <t>Adamant Will / Vontade Adamantina</t>
        </is>
      </c>
      <c r="B1844" s="11" t="inlineStr">
        <is>
          <t>Instant / Mágica Instantânea</t>
        </is>
      </c>
      <c r="C1844" s="11" t="inlineStr">
        <is>
          <t>Common / Comum</t>
        </is>
      </c>
      <c r="D1844" s="11" t="inlineStr">
        <is>
          <t>Target creature gets +2/+2 and gains indestructible until end of turn. (Damage and effects that say "destroy" don't destroy it.) / A criatura alvo recebe +2/+2 e ganha indestrutível até o final do turno. (Dano e efeitos que dizem "destrua" não a destroem.)</t>
        </is>
      </c>
      <c r="E1844" s="11" t="inlineStr">
        <is>
          <t>{1}{W}</t>
        </is>
      </c>
      <c r="F1844" s="11" t="inlineStr">
        <is>
          <t>Branco</t>
        </is>
      </c>
      <c r="G1844" s="8" t="n">
        <v>0.3</v>
      </c>
      <c r="H1844" s="11" t="inlineStr">
        <is>
          <t>Dominaria (DOM)</t>
        </is>
      </c>
      <c r="I1844" s="11" t="inlineStr">
        <is>
          <t>Sim</t>
        </is>
      </c>
      <c r="J1844" s="11" t="n">
        <v>2018</v>
      </c>
      <c r="L1844" s="11" t="n">
        <v>1</v>
      </c>
      <c r="M1844" s="8">
        <f>L1844*G1844</f>
        <v/>
      </c>
      <c r="P1844" s="9" t="n"/>
    </row>
    <row r="1845">
      <c r="A1845" s="11" t="inlineStr">
        <is>
          <t>Knight Watch / Vigilância de Cavaleiros</t>
        </is>
      </c>
      <c r="B1845" s="11" t="inlineStr">
        <is>
          <t>Sorcery / Feitiço</t>
        </is>
      </c>
      <c r="C1845" s="11" t="inlineStr">
        <is>
          <t>Common / Comum</t>
        </is>
      </c>
      <c r="D1845" s="11" t="inlineStr">
        <is>
          <t>Create two 2/2 white Knight creature tokens with vigilance. / Coloque no campo de batalha duas fichas de criatura brancas 2/2 do tipo Cavaleiro com vigilância.</t>
        </is>
      </c>
      <c r="E1845" s="11" t="inlineStr">
        <is>
          <t>{4}{W}</t>
        </is>
      </c>
      <c r="F1845" s="11" t="inlineStr">
        <is>
          <t>Branco</t>
        </is>
      </c>
      <c r="G1845" s="8" t="n">
        <v>0.05</v>
      </c>
      <c r="H1845" s="11" t="inlineStr">
        <is>
          <t>Gatecrash (GTC)</t>
        </is>
      </c>
      <c r="I1845" s="11" t="inlineStr">
        <is>
          <t>Não</t>
        </is>
      </c>
      <c r="J1845" s="11" t="n">
        <v>2013</v>
      </c>
      <c r="L1845" s="11" t="n">
        <v>1</v>
      </c>
      <c r="M1845" s="8">
        <f>L1845*G1845</f>
        <v/>
      </c>
      <c r="P1845" s="9" t="n"/>
    </row>
    <row r="1846">
      <c r="A1846" s="11" t="inlineStr">
        <is>
          <t>Aerial Maneuver / Manobra Aérea</t>
        </is>
      </c>
      <c r="B1846" s="11" t="inlineStr">
        <is>
          <t>Instant / Mágica Instantânea</t>
        </is>
      </c>
      <c r="C1846" s="11" t="inlineStr">
        <is>
          <t>Common / Comum</t>
        </is>
      </c>
      <c r="D1846" s="11" t="inlineStr">
        <is>
          <t>Target creature gets +1/+1 and gains flying and first strike until end of turn. / A criatura alvo recebe +1/+1 e ganha voar e iniciativa até o final do turno.</t>
        </is>
      </c>
      <c r="E1846" s="11" t="inlineStr">
        <is>
          <t>{1}{W}</t>
        </is>
      </c>
      <c r="F1846" s="11" t="inlineStr">
        <is>
          <t>Branco</t>
        </is>
      </c>
      <c r="G1846" s="8" t="n">
        <v>0.05</v>
      </c>
      <c r="H1846" s="11" t="inlineStr">
        <is>
          <t>Gatecrash (GTC)</t>
        </is>
      </c>
      <c r="I1846" s="11" t="inlineStr">
        <is>
          <t>Não</t>
        </is>
      </c>
      <c r="J1846" s="11" t="n">
        <v>2013</v>
      </c>
      <c r="L1846" s="11" t="n">
        <v>1</v>
      </c>
      <c r="M1846" s="8">
        <f>L1846*G1846</f>
        <v/>
      </c>
      <c r="P1846" s="9" t="n"/>
    </row>
    <row r="1847">
      <c r="A1847" s="11" t="inlineStr">
        <is>
          <t>Ray of Dissolution / Raio de Dissolução</t>
        </is>
      </c>
      <c r="B1847" s="11" t="inlineStr">
        <is>
          <t>Instant / Mágica Instantânea</t>
        </is>
      </c>
      <c r="C1847" s="11" t="inlineStr">
        <is>
          <t>Common / Comum</t>
        </is>
      </c>
      <c r="D1847" s="11" t="inlineStr">
        <is>
          <t>Destroy target enchantment. You gain 3 life. / Destrua o encantamento alvo. Você ganha 3 pontos de vida.</t>
        </is>
      </c>
      <c r="E1847" s="11" t="inlineStr">
        <is>
          <t>{2}{W}</t>
        </is>
      </c>
      <c r="F1847" s="11" t="inlineStr">
        <is>
          <t>Branco</t>
        </is>
      </c>
      <c r="G1847" s="8" t="n">
        <v>0.05</v>
      </c>
      <c r="H1847" s="11" t="inlineStr">
        <is>
          <t>Theros (THS)</t>
        </is>
      </c>
      <c r="I1847" s="11" t="inlineStr">
        <is>
          <t>Não</t>
        </is>
      </c>
      <c r="J1847" s="11" t="n">
        <v>2013</v>
      </c>
      <c r="L1847" s="11" t="n">
        <v>1</v>
      </c>
      <c r="M1847" s="8">
        <f>L1847*G1847</f>
        <v/>
      </c>
      <c r="P1847" s="9" t="n"/>
    </row>
    <row r="1848">
      <c r="A1848" s="11" t="inlineStr">
        <is>
          <t>Righteous Blow / Golpe Justo</t>
        </is>
      </c>
      <c r="B1848" s="11" t="inlineStr">
        <is>
          <t>Instant / Mágica Instantânea</t>
        </is>
      </c>
      <c r="C1848" s="11" t="inlineStr">
        <is>
          <t>Common / Comum</t>
        </is>
      </c>
      <c r="D1848" s="11" t="inlineStr">
        <is>
          <t>Righteous Blow deals 2 damage to target attacking or blocking creature. / Golpe Justo causa 2 pontos de dano à criatura atacante ou bloqueadora alvo.</t>
        </is>
      </c>
      <c r="E1848" s="11" t="inlineStr">
        <is>
          <t>{W}</t>
        </is>
      </c>
      <c r="F1848" s="11" t="inlineStr">
        <is>
          <t>Branco</t>
        </is>
      </c>
      <c r="G1848" s="8" t="n">
        <v>0.05</v>
      </c>
      <c r="H1848" s="11" t="inlineStr">
        <is>
          <t>Avacyn Restored (AVR)</t>
        </is>
      </c>
      <c r="I1848" s="11" t="inlineStr">
        <is>
          <t>Não</t>
        </is>
      </c>
      <c r="J1848" s="11" t="n">
        <v>2012</v>
      </c>
      <c r="L1848" s="11" t="n">
        <v>1</v>
      </c>
      <c r="M1848" s="8">
        <f>L1848*G1848</f>
        <v/>
      </c>
      <c r="P1848" s="9" t="n"/>
    </row>
    <row r="1849">
      <c r="A1849" s="11" t="inlineStr">
        <is>
          <t>Metal Fatigue / Fadiga do Metal</t>
        </is>
      </c>
      <c r="B1849" s="11" t="inlineStr">
        <is>
          <t>Instant / Mágica Instantânea</t>
        </is>
      </c>
      <c r="C1849" s="11" t="inlineStr">
        <is>
          <t>Common / Comum</t>
        </is>
      </c>
      <c r="D1849" s="11" t="inlineStr">
        <is>
          <t>Tap all artifacts. / Vira todos os artefatos.</t>
        </is>
      </c>
      <c r="E1849" s="11" t="inlineStr">
        <is>
          <t>{2}{W}</t>
        </is>
      </c>
      <c r="F1849" s="11" t="inlineStr">
        <is>
          <t>Branco</t>
        </is>
      </c>
      <c r="G1849" s="8" t="n">
        <v>0.07000000000000001</v>
      </c>
      <c r="H1849" s="11" t="inlineStr">
        <is>
          <t>Darksteel (DST)</t>
        </is>
      </c>
      <c r="I1849" s="11" t="inlineStr">
        <is>
          <t>Não</t>
        </is>
      </c>
      <c r="J1849" s="11" t="n">
        <v>2004</v>
      </c>
      <c r="L1849" s="11" t="n">
        <v>1</v>
      </c>
      <c r="M1849" s="8">
        <f>L1849*G1849</f>
        <v/>
      </c>
      <c r="P1849" s="9" t="n"/>
    </row>
    <row r="1850">
      <c r="A1850" s="11" t="inlineStr">
        <is>
          <t>Apostle's Blessing / Bênção do Apóstolo</t>
        </is>
      </c>
      <c r="B1850" s="11" t="inlineStr">
        <is>
          <t>Instant / Mágica Instantânea</t>
        </is>
      </c>
      <c r="C1850" s="11" t="inlineStr">
        <is>
          <t>Common / Comum</t>
        </is>
      </c>
      <c r="D1850" s="11"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1850" s="11" t="inlineStr">
        <is>
          <t>{1}{W/P}</t>
        </is>
      </c>
      <c r="F1850" s="11" t="inlineStr">
        <is>
          <t>Branco</t>
        </is>
      </c>
      <c r="G1850" s="8" t="n">
        <v>2.48</v>
      </c>
      <c r="H1850" s="11" t="inlineStr">
        <is>
          <t>Modern Masters 2015 (MM2)</t>
        </is>
      </c>
      <c r="I1850" s="11" t="inlineStr">
        <is>
          <t>Não</t>
        </is>
      </c>
      <c r="J1850" s="11" t="n">
        <v>2015</v>
      </c>
      <c r="L1850" s="11" t="n">
        <v>4</v>
      </c>
      <c r="M1850" s="8">
        <f>L1850*G1850</f>
        <v/>
      </c>
      <c r="P1850" s="9" t="n"/>
    </row>
    <row r="1851">
      <c r="A1851" s="11" t="inlineStr">
        <is>
          <t>Your Temple Is Under Attack / Seu Templo Está Sendo Atacado</t>
        </is>
      </c>
      <c r="B1851" s="11" t="inlineStr">
        <is>
          <t>Instant / Mágica Instantânea</t>
        </is>
      </c>
      <c r="C1851" s="11" t="inlineStr">
        <is>
          <t>Common / Comum</t>
        </is>
      </c>
      <c r="D1851" s="11"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1851" s="11" t="inlineStr">
        <is>
          <t>{2}{W}</t>
        </is>
      </c>
      <c r="F1851" s="11" t="inlineStr">
        <is>
          <t>Branco</t>
        </is>
      </c>
      <c r="G1851" s="8" t="n">
        <v>3.15</v>
      </c>
      <c r="H1851" s="11" t="inlineStr">
        <is>
          <t>Commander Legends: Battle for Baldur's Gate (CLB)</t>
        </is>
      </c>
      <c r="I1851" s="11" t="inlineStr">
        <is>
          <t>Não</t>
        </is>
      </c>
      <c r="J1851" s="11" t="n">
        <v>2022</v>
      </c>
      <c r="L1851" s="11" t="n">
        <v>1</v>
      </c>
      <c r="M1851" s="8">
        <f>L1851*G1851</f>
        <v/>
      </c>
      <c r="P1851" s="9" t="n"/>
    </row>
    <row r="1852">
      <c r="A1852" s="11" t="inlineStr">
        <is>
          <t>Revoke Existence / Revogar Existência</t>
        </is>
      </c>
      <c r="B1852" s="11" t="inlineStr">
        <is>
          <t>Sorcery / Feitiço</t>
        </is>
      </c>
      <c r="C1852" s="11" t="inlineStr">
        <is>
          <t>Common / Comum</t>
        </is>
      </c>
      <c r="D1852" s="11" t="inlineStr">
        <is>
          <t>Exile target artifact or enchantment. / Exile o artefato ou encantamento alvo.</t>
        </is>
      </c>
      <c r="E1852" s="11" t="inlineStr">
        <is>
          <t>{1}{W}</t>
        </is>
      </c>
      <c r="F1852" s="11" t="inlineStr">
        <is>
          <t>Branco</t>
        </is>
      </c>
      <c r="G1852" s="8" t="n">
        <v>0.23</v>
      </c>
      <c r="H1852" s="11" t="inlineStr">
        <is>
          <t>Duel Decks: Venser vs. Koth (DDI)</t>
        </is>
      </c>
      <c r="I1852" s="11" t="inlineStr">
        <is>
          <t>Não</t>
        </is>
      </c>
      <c r="J1852" s="11" t="n">
        <v>2012</v>
      </c>
      <c r="L1852" s="11" t="n">
        <v>1</v>
      </c>
      <c r="M1852" s="8">
        <f>L1852*G1852</f>
        <v/>
      </c>
      <c r="P1852" s="9" t="n"/>
    </row>
    <row r="1853">
      <c r="A1853" s="11" t="inlineStr">
        <is>
          <t>Revoke Existence / Revogar Existência</t>
        </is>
      </c>
      <c r="B1853" s="11" t="inlineStr">
        <is>
          <t>Sorcery / Feitiço</t>
        </is>
      </c>
      <c r="C1853" s="11" t="inlineStr">
        <is>
          <t>Common / Comum</t>
        </is>
      </c>
      <c r="D1853" s="11" t="inlineStr">
        <is>
          <t>Exile target artifact or enchantment. / Exile o artefato ou encantamento alvo.</t>
        </is>
      </c>
      <c r="E1853" s="11" t="inlineStr">
        <is>
          <t>{1}{W}</t>
        </is>
      </c>
      <c r="F1853" s="11" t="inlineStr">
        <is>
          <t>Branco</t>
        </is>
      </c>
      <c r="G1853" s="8" t="n">
        <v>0.23</v>
      </c>
      <c r="H1853" s="11" t="inlineStr">
        <is>
          <t>Duel Decks: Venser vs. Koth (DDI)</t>
        </is>
      </c>
      <c r="I1853" s="11" t="inlineStr">
        <is>
          <t>Não</t>
        </is>
      </c>
      <c r="J1853" s="11" t="n">
        <v>2012</v>
      </c>
      <c r="L1853" s="11" t="n">
        <v>1</v>
      </c>
      <c r="M1853" s="8">
        <f>L1853*G1853</f>
        <v/>
      </c>
      <c r="P1853" s="9" t="n"/>
    </row>
    <row r="1854">
      <c r="A1854" s="11" t="inlineStr">
        <is>
          <t>Revoke Existence / Revogar Existência</t>
        </is>
      </c>
      <c r="B1854" s="11" t="inlineStr">
        <is>
          <t>Sorcery / Feitiço</t>
        </is>
      </c>
      <c r="C1854" s="11" t="inlineStr">
        <is>
          <t>Common / Comum</t>
        </is>
      </c>
      <c r="D1854" s="11" t="inlineStr">
        <is>
          <t>Exile target artifact or enchantment. / Exile o artefato ou encantamento alvo.</t>
        </is>
      </c>
      <c r="E1854" s="11" t="inlineStr">
        <is>
          <t>{1}{W}</t>
        </is>
      </c>
      <c r="F1854" s="11" t="inlineStr">
        <is>
          <t>Branco</t>
        </is>
      </c>
      <c r="G1854" s="8" t="n">
        <v>0.23</v>
      </c>
      <c r="H1854" s="11" t="inlineStr">
        <is>
          <t>Duel Decks: Venser vs. Koth (DDI)</t>
        </is>
      </c>
      <c r="I1854" s="11" t="inlineStr">
        <is>
          <t>Não</t>
        </is>
      </c>
      <c r="J1854" s="11" t="n">
        <v>2012</v>
      </c>
      <c r="L1854" s="11" t="n">
        <v>1</v>
      </c>
      <c r="M1854" s="8">
        <f>L1854*G1854</f>
        <v/>
      </c>
      <c r="P1854" s="9" t="n"/>
    </row>
    <row r="1855">
      <c r="A1855" s="11" t="inlineStr">
        <is>
          <t>Revoke Existence / Revogar Existência</t>
        </is>
      </c>
      <c r="B1855" s="11" t="inlineStr">
        <is>
          <t>Sorcery / Feitiço</t>
        </is>
      </c>
      <c r="C1855" s="11" t="inlineStr">
        <is>
          <t>Common / Comum</t>
        </is>
      </c>
      <c r="D1855" s="11" t="inlineStr">
        <is>
          <t>Exile target artifact or enchantment. / Exile o artefato ou encantamento alvo.</t>
        </is>
      </c>
      <c r="E1855" s="11" t="inlineStr">
        <is>
          <t>{1}{W}</t>
        </is>
      </c>
      <c r="F1855" s="11" t="inlineStr">
        <is>
          <t>Branco</t>
        </is>
      </c>
      <c r="G1855" s="8" t="n">
        <v>0.2</v>
      </c>
      <c r="H1855" s="11" t="inlineStr">
        <is>
          <t>Double Masters</t>
        </is>
      </c>
      <c r="I1855" s="11" t="inlineStr">
        <is>
          <t>Não</t>
        </is>
      </c>
      <c r="J1855" s="11" t="n">
        <v>2020</v>
      </c>
      <c r="L1855" s="11" t="n">
        <v>1</v>
      </c>
      <c r="M1855" s="8">
        <f>L1855*G1855</f>
        <v/>
      </c>
      <c r="P1855" s="9" t="n"/>
    </row>
    <row r="1856">
      <c r="A1856" s="11" t="inlineStr">
        <is>
          <t>Revoke Existence / Revogar Existência</t>
        </is>
      </c>
      <c r="B1856" s="11" t="inlineStr">
        <is>
          <t>Sorcery / Feitiço</t>
        </is>
      </c>
      <c r="C1856" s="11" t="inlineStr">
        <is>
          <t>Common / Comum</t>
        </is>
      </c>
      <c r="D1856" s="11" t="inlineStr">
        <is>
          <t>Exile target artifact or enchantment. / Exile o artefato ou encantamento alvo.</t>
        </is>
      </c>
      <c r="E1856" s="11" t="inlineStr">
        <is>
          <t>{1}{W}</t>
        </is>
      </c>
      <c r="F1856" s="11" t="inlineStr">
        <is>
          <t>Branco</t>
        </is>
      </c>
      <c r="G1856" s="8" t="n">
        <v>0.12</v>
      </c>
      <c r="H1856" s="11" t="inlineStr">
        <is>
          <t>Theros além da morte</t>
        </is>
      </c>
      <c r="I1856" s="11" t="inlineStr">
        <is>
          <t>Não</t>
        </is>
      </c>
      <c r="J1856" s="11" t="n">
        <v>2020</v>
      </c>
      <c r="L1856" s="11" t="n">
        <v>1</v>
      </c>
      <c r="M1856" s="8">
        <f>L1856*G1856</f>
        <v/>
      </c>
      <c r="P1856" s="9" t="n"/>
    </row>
    <row r="1857">
      <c r="A1857" s="11" t="inlineStr">
        <is>
          <t>Gods Willing / Vontade dos Deuses</t>
        </is>
      </c>
      <c r="B1857" s="11" t="inlineStr">
        <is>
          <t>Instant / Mágica Instantânea</t>
        </is>
      </c>
      <c r="C1857" s="11" t="inlineStr">
        <is>
          <t>Common / Comum</t>
        </is>
      </c>
      <c r="D1857" s="11"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1857" s="11" t="inlineStr">
        <is>
          <t>{W}</t>
        </is>
      </c>
      <c r="F1857" s="11" t="inlineStr">
        <is>
          <t>Branco</t>
        </is>
      </c>
      <c r="G1857" s="8" t="n">
        <v>0.18</v>
      </c>
      <c r="H1857" s="11" t="inlineStr">
        <is>
          <t>Masters 25 (A25)</t>
        </is>
      </c>
      <c r="I1857" s="11" t="inlineStr">
        <is>
          <t>Não</t>
        </is>
      </c>
      <c r="J1857" s="11" t="n">
        <v>2018</v>
      </c>
      <c r="L1857" s="11" t="n">
        <v>1</v>
      </c>
      <c r="M1857" s="8">
        <f>L1857*G1857</f>
        <v/>
      </c>
      <c r="P1857" s="9" t="n"/>
    </row>
    <row r="1858">
      <c r="A1858" s="11" t="inlineStr">
        <is>
          <t>Dawn Charm / Medalhão da Aurora</t>
        </is>
      </c>
      <c r="B1858" s="11" t="inlineStr">
        <is>
          <t>Instant / Mágica Instantânea</t>
        </is>
      </c>
      <c r="C1858" s="11" t="inlineStr">
        <is>
          <t>Common / Comum</t>
        </is>
      </c>
      <c r="D1858" s="11"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1858" s="11" t="inlineStr">
        <is>
          <t>{1}{W}</t>
        </is>
      </c>
      <c r="F1858" s="11" t="inlineStr">
        <is>
          <t>Branco</t>
        </is>
      </c>
      <c r="G1858" s="8" t="n">
        <v>2.84</v>
      </c>
      <c r="H1858" s="11" t="inlineStr">
        <is>
          <t>Planar Chaos (PLC)</t>
        </is>
      </c>
      <c r="I1858" s="11" t="inlineStr">
        <is>
          <t>Não</t>
        </is>
      </c>
      <c r="J1858" s="11" t="n">
        <v>2007</v>
      </c>
      <c r="L1858" s="11" t="n">
        <v>1</v>
      </c>
      <c r="M1858" s="8">
        <f>L1858*G1858</f>
        <v/>
      </c>
      <c r="P1858" s="9" t="n"/>
    </row>
    <row r="1859">
      <c r="A1859" s="11" t="inlineStr">
        <is>
          <t>Sonar Strike</t>
        </is>
      </c>
      <c r="B1859" s="11" t="inlineStr">
        <is>
          <t>Instant</t>
        </is>
      </c>
      <c r="C1859" s="11" t="inlineStr">
        <is>
          <t>Common / Comum</t>
        </is>
      </c>
      <c r="D1859" s="11" t="inlineStr">
        <is>
          <t>Sonar Strike deals 4 damage to target attacking, blocking, or tapped creature. You gain 3 life if you control a Bat.</t>
        </is>
      </c>
      <c r="E1859" s="11" t="inlineStr">
        <is>
          <t>{1}{W}</t>
        </is>
      </c>
      <c r="F1859" s="11" t="inlineStr">
        <is>
          <t>Branco</t>
        </is>
      </c>
      <c r="G1859" s="8" t="n">
        <v>0.07000000000000001</v>
      </c>
      <c r="H1859" s="11" t="inlineStr">
        <is>
          <t>Bloomburrow (BLB)</t>
        </is>
      </c>
      <c r="I1859" s="11" t="inlineStr">
        <is>
          <t>Não</t>
        </is>
      </c>
      <c r="J1859" s="11" t="n">
        <v>2024</v>
      </c>
      <c r="L1859" s="11" t="n">
        <v>1</v>
      </c>
      <c r="M1859" s="8">
        <f>L1859*G1859</f>
        <v/>
      </c>
      <c r="P1859" s="9" t="n"/>
    </row>
    <row r="1860">
      <c r="A1860" s="11" t="inlineStr">
        <is>
          <t>Time Stop / Parar o Tempo</t>
        </is>
      </c>
      <c r="B1860" s="11" t="inlineStr">
        <is>
          <t>Instant / Mágica Instantânea</t>
        </is>
      </c>
      <c r="C1860" s="11" t="inlineStr">
        <is>
          <t>Rare / Rara</t>
        </is>
      </c>
      <c r="D1860" s="11"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1860" s="11" t="inlineStr">
        <is>
          <t>{4}{U}{U}</t>
        </is>
      </c>
      <c r="F1860" s="11" t="inlineStr">
        <is>
          <t>Azul</t>
        </is>
      </c>
      <c r="G1860" s="8" t="n">
        <v>0.09</v>
      </c>
      <c r="H1860" s="11" t="inlineStr">
        <is>
          <t>Champions of Kamigawa (CHK)</t>
        </is>
      </c>
      <c r="I1860" s="11" t="inlineStr">
        <is>
          <t>Não</t>
        </is>
      </c>
      <c r="J1860" s="11" t="n">
        <v>2004</v>
      </c>
      <c r="L1860" s="11" t="n">
        <v>1</v>
      </c>
      <c r="M1860" s="8">
        <f>L1860*G1860</f>
        <v/>
      </c>
      <c r="P1860" s="9" t="n"/>
    </row>
    <row r="1861">
      <c r="A1861" s="11" t="inlineStr">
        <is>
          <t>Channel Harm / Canalizar Dano</t>
        </is>
      </c>
      <c r="B1861" s="11" t="inlineStr">
        <is>
          <t>Instant / Mágica Instantânea</t>
        </is>
      </c>
      <c r="C1861" s="11" t="inlineStr">
        <is>
          <t>Uncommon / Incomum</t>
        </is>
      </c>
      <c r="D1861" s="11"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1861" s="11" t="inlineStr">
        <is>
          <t>{5}{W}</t>
        </is>
      </c>
      <c r="F1861" s="11" t="inlineStr">
        <is>
          <t>Branco</t>
        </is>
      </c>
      <c r="G1861" s="8" t="n">
        <v>0.09</v>
      </c>
      <c r="H1861" s="11" t="inlineStr">
        <is>
          <t>Fate Reforged (FRF)</t>
        </is>
      </c>
      <c r="I1861" s="11" t="inlineStr">
        <is>
          <t>Não</t>
        </is>
      </c>
      <c r="J1861" s="11" t="n">
        <v>2015</v>
      </c>
      <c r="L1861" s="11" t="n">
        <v>1</v>
      </c>
      <c r="M1861" s="8">
        <f>L1861*G1861</f>
        <v/>
      </c>
      <c r="P1861" s="9" t="n"/>
    </row>
    <row r="1862">
      <c r="A1862" s="11" t="inlineStr">
        <is>
          <t>Smite / Castigo</t>
        </is>
      </c>
      <c r="B1862" s="11" t="inlineStr">
        <is>
          <t>Instant / Mágica Instantânea</t>
        </is>
      </c>
      <c r="C1862" s="11" t="inlineStr">
        <is>
          <t>Common / Comum</t>
        </is>
      </c>
      <c r="D1862" s="11" t="inlineStr">
        <is>
          <t>Destroy target blocked creature. / Destrua a criatura bloqueada alvo.</t>
        </is>
      </c>
      <c r="E1862" s="11" t="inlineStr">
        <is>
          <t>{W}</t>
        </is>
      </c>
      <c r="F1862" s="11" t="inlineStr">
        <is>
          <t>Branco</t>
        </is>
      </c>
      <c r="G1862" s="8" t="n">
        <v>0.09</v>
      </c>
      <c r="H1862" s="11" t="inlineStr">
        <is>
          <t>Rise of the Eldrazi (ROE)</t>
        </is>
      </c>
      <c r="I1862" s="11" t="inlineStr">
        <is>
          <t>Não</t>
        </is>
      </c>
      <c r="J1862" s="11" t="n">
        <v>2010</v>
      </c>
      <c r="L1862" s="11" t="n">
        <v>1</v>
      </c>
      <c r="M1862" s="8">
        <f>L1862*G1862</f>
        <v/>
      </c>
      <c r="P1862" s="9" t="n"/>
    </row>
    <row r="1863">
      <c r="A1863" s="11" t="inlineStr">
        <is>
          <t>Jump Scare</t>
        </is>
      </c>
      <c r="B1863" s="11" t="inlineStr">
        <is>
          <t>Instant</t>
        </is>
      </c>
      <c r="C1863" s="11" t="inlineStr">
        <is>
          <t>Common / Comum</t>
        </is>
      </c>
      <c r="D1863" s="11" t="inlineStr">
        <is>
          <t>Until end of turn, target creature gets +2/+2, gains flying, and becomes a Horror enchantment creature in addition to its other types.</t>
        </is>
      </c>
      <c r="E1863" s="11" t="inlineStr">
        <is>
          <t>{W}</t>
        </is>
      </c>
      <c r="F1863" s="11" t="inlineStr">
        <is>
          <t>Branco</t>
        </is>
      </c>
      <c r="G1863" s="8" t="n">
        <v>0.19</v>
      </c>
      <c r="H1863" s="11" t="inlineStr">
        <is>
          <t>Duskmourn: House of Horror (DSK)</t>
        </is>
      </c>
      <c r="I1863" s="11" t="inlineStr">
        <is>
          <t>Sim</t>
        </is>
      </c>
      <c r="J1863" s="11" t="n">
        <v>2024</v>
      </c>
      <c r="L1863" s="11" t="n">
        <v>2</v>
      </c>
      <c r="M1863" s="8">
        <f>L1863*G1863</f>
        <v/>
      </c>
      <c r="P1863" s="9" t="n"/>
    </row>
    <row r="1864">
      <c r="A1864" s="11" t="inlineStr">
        <is>
          <t>Promise of Bunrei / Promessa de Bunrei</t>
        </is>
      </c>
      <c r="B1864" s="11" t="inlineStr">
        <is>
          <t>Enchantment / Encantamento</t>
        </is>
      </c>
      <c r="C1864" s="11" t="inlineStr">
        <is>
          <t>Uncommon / Incomum</t>
        </is>
      </c>
      <c r="D1864" s="11"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1864" s="11" t="inlineStr">
        <is>
          <t>{2}{W}</t>
        </is>
      </c>
      <c r="F1864" s="11" t="inlineStr">
        <is>
          <t>Branco</t>
        </is>
      </c>
      <c r="G1864" s="8" t="n">
        <v>0.75</v>
      </c>
      <c r="H1864" s="11" t="inlineStr">
        <is>
          <t>Masters 25 (A25)</t>
        </is>
      </c>
      <c r="I1864" s="11" t="inlineStr">
        <is>
          <t>Sim</t>
        </is>
      </c>
      <c r="J1864" s="11" t="n">
        <v>2018</v>
      </c>
      <c r="L1864" s="11" t="n">
        <v>1</v>
      </c>
      <c r="M1864" s="8">
        <f>L1864*G1864</f>
        <v/>
      </c>
      <c r="P1864" s="9" t="n"/>
    </row>
    <row r="1865">
      <c r="A1865" s="11" t="inlineStr">
        <is>
          <t>Lifelink / Vínculo com a Vida</t>
        </is>
      </c>
      <c r="B1865" s="11" t="inlineStr">
        <is>
          <t>Enchantment — Aura / Encantamento — Aura</t>
        </is>
      </c>
      <c r="C1865" s="11" t="inlineStr">
        <is>
          <t>Common / Comum</t>
        </is>
      </c>
      <c r="D1865" s="11"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1865" s="11" t="inlineStr">
        <is>
          <t>{W}</t>
        </is>
      </c>
      <c r="F1865" s="11" t="inlineStr">
        <is>
          <t>Branco</t>
        </is>
      </c>
      <c r="G1865" s="8" t="n">
        <v>1.48</v>
      </c>
      <c r="H1865" s="11" t="inlineStr">
        <is>
          <t>Magic 2010 (M10)</t>
        </is>
      </c>
      <c r="I1865" s="11" t="inlineStr">
        <is>
          <t>Não</t>
        </is>
      </c>
      <c r="J1865" s="11" t="n">
        <v>2009</v>
      </c>
      <c r="L1865" s="11" t="n">
        <v>2</v>
      </c>
      <c r="M1865" s="8">
        <f>L1865*G1865</f>
        <v/>
      </c>
      <c r="P1865" s="9" t="n"/>
    </row>
    <row r="1866">
      <c r="A1866" s="11" t="inlineStr">
        <is>
          <t>Last Breath / Último Fôlego</t>
        </is>
      </c>
      <c r="B1866" s="11" t="inlineStr">
        <is>
          <t>Instant / Mágica Instantânea</t>
        </is>
      </c>
      <c r="C1866" s="11" t="inlineStr">
        <is>
          <t>Common / Comum</t>
        </is>
      </c>
      <c r="D1866" s="11" t="inlineStr">
        <is>
          <t>Exile target creature with power 2 or less. Its controller gains 4 life. / Exile a criatura alvo com poder menor ou igual a 2. Seu controlador ganha 4 pontos de vida.</t>
        </is>
      </c>
      <c r="E1866" s="11" t="inlineStr">
        <is>
          <t>{1}{W}</t>
        </is>
      </c>
      <c r="F1866" s="11" t="inlineStr">
        <is>
          <t>Branco</t>
        </is>
      </c>
      <c r="G1866" s="8" t="n">
        <v>0.35</v>
      </c>
      <c r="H1866" s="11" t="inlineStr">
        <is>
          <t>Double Masters 2022 (2X2)</t>
        </is>
      </c>
      <c r="I1866" s="11" t="inlineStr">
        <is>
          <t>Sim</t>
        </is>
      </c>
      <c r="J1866" s="11" t="n">
        <v>2022</v>
      </c>
      <c r="L1866" s="11" t="n">
        <v>2</v>
      </c>
      <c r="M1866" s="8">
        <f>L1866*G1866</f>
        <v/>
      </c>
      <c r="P1866" s="9" t="n"/>
    </row>
    <row r="1867">
      <c r="A1867" s="11" t="inlineStr">
        <is>
          <t>Keep Out</t>
        </is>
      </c>
      <c r="B1867" s="11" t="inlineStr">
        <is>
          <t>Instant</t>
        </is>
      </c>
      <c r="C1867" s="11" t="inlineStr">
        <is>
          <t>Common / Comum</t>
        </is>
      </c>
      <c r="D1867" s="11" t="inlineStr">
        <is>
          <t>Choose one — • Keep Out deals 4 damage to target tapped creature. • Destroy target enchantment.</t>
        </is>
      </c>
      <c r="E1867" s="11" t="inlineStr">
        <is>
          <t>{1}{W}</t>
        </is>
      </c>
      <c r="F1867" s="11" t="inlineStr">
        <is>
          <t>Branco</t>
        </is>
      </c>
      <c r="G1867" s="8" t="n"/>
      <c r="H1867" s="11" t="inlineStr">
        <is>
          <t>Lorwyn Eclipsed (ECL)</t>
        </is>
      </c>
      <c r="I1867" s="11" t="inlineStr">
        <is>
          <t>Sim</t>
        </is>
      </c>
      <c r="J1867" s="11" t="n">
        <v>2026</v>
      </c>
      <c r="L1867" s="11" t="n">
        <v>1</v>
      </c>
      <c r="M1867" s="8">
        <f>L1867*G1867</f>
        <v/>
      </c>
      <c r="P1867" s="9" t="n"/>
    </row>
    <row r="1868">
      <c r="A1868" s="11" t="inlineStr">
        <is>
          <t>Topple the Statue / Derrubar a Estátua</t>
        </is>
      </c>
      <c r="B1868" s="11" t="inlineStr">
        <is>
          <t>Instant / Mágica Instantânea</t>
        </is>
      </c>
      <c r="C1868" s="11" t="inlineStr">
        <is>
          <t>Common / Comum</t>
        </is>
      </c>
      <c r="D1868" s="11" t="inlineStr">
        <is>
          <t>Tap target permanent. If it's an artifact, destroy it. Draw a card. / Vire a permanente alvo. Se ela for um artefato, destrua-a. Compre um card.</t>
        </is>
      </c>
      <c r="E1868" s="11" t="inlineStr">
        <is>
          <t>{2}{W}</t>
        </is>
      </c>
      <c r="F1868" s="11" t="inlineStr">
        <is>
          <t>Branco</t>
        </is>
      </c>
      <c r="G1868" s="8" t="n">
        <v>0.02</v>
      </c>
      <c r="H1868" s="11" t="inlineStr">
        <is>
          <t>War of the Spark (WAR)</t>
        </is>
      </c>
      <c r="I1868" s="11" t="inlineStr">
        <is>
          <t>Não</t>
        </is>
      </c>
      <c r="J1868" s="11" t="n">
        <v>2019</v>
      </c>
      <c r="L1868" s="11" t="n">
        <v>2</v>
      </c>
      <c r="M1868" s="8">
        <f>L1868*G1868</f>
        <v/>
      </c>
      <c r="P1868" s="9" t="n"/>
    </row>
    <row r="1869">
      <c r="A1869" s="11" t="inlineStr">
        <is>
          <t>Rally the Peasants / Reunir os Camponeses</t>
        </is>
      </c>
      <c r="B1869" s="11" t="inlineStr">
        <is>
          <t>Instant / Mágica Instantânea</t>
        </is>
      </c>
      <c r="C1869" s="11" t="inlineStr">
        <is>
          <t>Common / Comum</t>
        </is>
      </c>
      <c r="D1869" s="11"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1869" s="11" t="inlineStr">
        <is>
          <t>{2}{W}</t>
        </is>
      </c>
      <c r="F1869" s="11" t="inlineStr">
        <is>
          <t>Branco</t>
        </is>
      </c>
      <c r="G1869" s="8" t="n">
        <v>0.2</v>
      </c>
      <c r="H1869" s="11" t="inlineStr">
        <is>
          <t>Eternal Masters (EMA)</t>
        </is>
      </c>
      <c r="I1869" s="11" t="inlineStr">
        <is>
          <t>Não</t>
        </is>
      </c>
      <c r="J1869" s="11" t="n">
        <v>2016</v>
      </c>
      <c r="L1869" s="11" t="n">
        <v>2</v>
      </c>
      <c r="M1869" s="8">
        <f>L1869*G1869</f>
        <v/>
      </c>
      <c r="P1869" s="9" t="n"/>
    </row>
    <row r="1870">
      <c r="A1870" s="11" t="inlineStr">
        <is>
          <t>Guardian Zendikon / Zendikon Guardião</t>
        </is>
      </c>
      <c r="B1870" s="11" t="inlineStr">
        <is>
          <t>Enchantment — Aura / Encantamento — Aura</t>
        </is>
      </c>
      <c r="C1870" s="11" t="inlineStr">
        <is>
          <t>Common / Comum</t>
        </is>
      </c>
      <c r="D1870" s="11"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1870" s="11" t="inlineStr">
        <is>
          <t>{2}{W}</t>
        </is>
      </c>
      <c r="F1870" s="11" t="inlineStr">
        <is>
          <t>Branco</t>
        </is>
      </c>
      <c r="G1870" s="8" t="n">
        <v>0.05</v>
      </c>
      <c r="H1870" s="11" t="inlineStr">
        <is>
          <t>Worldwake (WWK)</t>
        </is>
      </c>
      <c r="I1870" s="11" t="inlineStr">
        <is>
          <t>Não</t>
        </is>
      </c>
      <c r="J1870" s="11" t="n">
        <v>2010</v>
      </c>
      <c r="L1870" s="11" t="n">
        <v>1</v>
      </c>
      <c r="M1870" s="8">
        <f>L1870*G1870</f>
        <v/>
      </c>
      <c r="P1870" s="9" t="n"/>
    </row>
    <row r="1871">
      <c r="A1871" s="11" t="inlineStr">
        <is>
          <t>Bound in Silence / Prisioneiro do Silêncio</t>
        </is>
      </c>
      <c r="B1871" s="11" t="inlineStr">
        <is>
          <t>Kindred Enchantment — Rebel Aura / Encantamento Tribal — Rebelde Aura</t>
        </is>
      </c>
      <c r="C1871" s="11" t="inlineStr">
        <is>
          <t>Uncommon / Incomum</t>
        </is>
      </c>
      <c r="D1871" s="11" t="inlineStr">
        <is>
          <t>Enchant creature Enchanted creature can't attack or block. / Encantar criatura A criatura encantada não pode atacar nem bloquear.</t>
        </is>
      </c>
      <c r="E1871" s="11" t="inlineStr">
        <is>
          <t>{2}{W}</t>
        </is>
      </c>
      <c r="F1871" s="11" t="inlineStr">
        <is>
          <t>Branco</t>
        </is>
      </c>
      <c r="G1871" s="8" t="n">
        <v>0.1</v>
      </c>
      <c r="H1871" s="11" t="inlineStr">
        <is>
          <t>Future Sight (FUT)</t>
        </is>
      </c>
      <c r="I1871" s="11" t="inlineStr">
        <is>
          <t>Não</t>
        </is>
      </c>
      <c r="J1871" s="11" t="n">
        <v>2007</v>
      </c>
      <c r="L1871" s="11" t="n">
        <v>1</v>
      </c>
      <c r="M1871" s="8">
        <f>L1871*G1871</f>
        <v/>
      </c>
      <c r="P1871" s="9" t="n"/>
    </row>
    <row r="1872">
      <c r="A1872" s="11" t="inlineStr">
        <is>
          <t>Chaplain's Blessing / Bênção da Capelã</t>
        </is>
      </c>
      <c r="B1872" s="11" t="inlineStr">
        <is>
          <t>Sorcery / Feitiço</t>
        </is>
      </c>
      <c r="C1872" s="11" t="inlineStr">
        <is>
          <t>Common / Comum</t>
        </is>
      </c>
      <c r="D1872" s="11" t="inlineStr">
        <is>
          <t>You gain 5 life. / Você ganha 5 pontos de vida.</t>
        </is>
      </c>
      <c r="E1872" s="11" t="inlineStr">
        <is>
          <t>{W}</t>
        </is>
      </c>
      <c r="F1872" s="11" t="inlineStr">
        <is>
          <t>Branco</t>
        </is>
      </c>
      <c r="G1872" s="8" t="n">
        <v>0.08</v>
      </c>
      <c r="H1872" s="11" t="inlineStr">
        <is>
          <t>Shadows over Innistrad (SOI)</t>
        </is>
      </c>
      <c r="I1872" s="11" t="inlineStr">
        <is>
          <t>Não</t>
        </is>
      </c>
      <c r="J1872" s="11" t="n">
        <v>2016</v>
      </c>
      <c r="L1872" s="11" t="n">
        <v>2</v>
      </c>
      <c r="M1872" s="8">
        <f>L1872*G1872</f>
        <v/>
      </c>
      <c r="P1872" s="9" t="n"/>
    </row>
    <row r="1873">
      <c r="A1873" s="11" t="inlineStr">
        <is>
          <t>Patrician's Scorn / Desprezo de Compatrício</t>
        </is>
      </c>
      <c r="B1873" s="11" t="inlineStr">
        <is>
          <t>Instant / Mágica Instantânea</t>
        </is>
      </c>
      <c r="C1873" s="11" t="inlineStr">
        <is>
          <t>Common / Comum</t>
        </is>
      </c>
      <c r="D1873" s="11"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1873" s="11" t="inlineStr">
        <is>
          <t>{3}{W}</t>
        </is>
      </c>
      <c r="F1873" s="11" t="inlineStr">
        <is>
          <t>Branco</t>
        </is>
      </c>
      <c r="G1873" s="8" t="n">
        <v>0.41</v>
      </c>
      <c r="H1873" s="11" t="inlineStr">
        <is>
          <t>Future Sight (FUT)</t>
        </is>
      </c>
      <c r="I1873" s="11" t="inlineStr">
        <is>
          <t>Não</t>
        </is>
      </c>
      <c r="J1873" s="11" t="n">
        <v>2007</v>
      </c>
      <c r="L1873" s="11" t="n">
        <v>2</v>
      </c>
      <c r="M1873" s="8">
        <f>L1873*G1873</f>
        <v/>
      </c>
      <c r="P1873" s="9" t="n"/>
    </row>
    <row r="1874">
      <c r="A1874" s="11" t="inlineStr">
        <is>
          <t>Setessan Griffin / Grifo Setessano</t>
        </is>
      </c>
      <c r="B1874" s="11" t="inlineStr">
        <is>
          <t>Creature — Griffin / Criatura — Grifo</t>
        </is>
      </c>
      <c r="C1874" s="11" t="inlineStr">
        <is>
          <t>Common / Comum</t>
        </is>
      </c>
      <c r="D1874" s="11" t="inlineStr">
        <is>
          <t>Flying {2}{G}{G}: This creature gets +2/+2 until end of turn. Activate only once each turn. / Voar {2}{G}{G}: Grifo Setessano recebe +2/+2 até o final do turno. Ative esta habilidade apenas uma vez a cada turno.</t>
        </is>
      </c>
      <c r="E1874" s="11" t="inlineStr">
        <is>
          <t>{4}{W}</t>
        </is>
      </c>
      <c r="F1874" s="11" t="inlineStr">
        <is>
          <t>Branco</t>
        </is>
      </c>
      <c r="G1874" s="8" t="n">
        <v>0.05</v>
      </c>
      <c r="H1874" s="11" t="inlineStr">
        <is>
          <t>Theros (THS)</t>
        </is>
      </c>
      <c r="I1874" s="11" t="inlineStr">
        <is>
          <t>Não</t>
        </is>
      </c>
      <c r="J1874" s="11" t="n">
        <v>2013</v>
      </c>
      <c r="K1874" s="10" t="n">
        <v>46056</v>
      </c>
      <c r="L1874" s="11" t="n">
        <v>1</v>
      </c>
      <c r="M1874" s="8">
        <f>L1874*G1874</f>
        <v/>
      </c>
      <c r="P1874" s="9" t="n"/>
    </row>
    <row r="1875">
      <c r="A1875" s="11" t="inlineStr">
        <is>
          <t>Dutiful Servants / Servos Obedientes</t>
        </is>
      </c>
      <c r="B1875" s="11" t="inlineStr">
        <is>
          <t>Creature — Zombie / Criatura — Zumbi</t>
        </is>
      </c>
      <c r="C1875" s="11" t="inlineStr">
        <is>
          <t>Common / Comum</t>
        </is>
      </c>
      <c r="E1875" s="11" t="inlineStr">
        <is>
          <t>{3}{W}</t>
        </is>
      </c>
      <c r="F1875" s="11" t="inlineStr">
        <is>
          <t>Branco</t>
        </is>
      </c>
      <c r="G1875" s="8" t="n">
        <v>0.03</v>
      </c>
      <c r="H1875" s="11" t="inlineStr">
        <is>
          <t>Hour of Devastation (HOU)</t>
        </is>
      </c>
      <c r="I1875" s="11" t="inlineStr">
        <is>
          <t>Não</t>
        </is>
      </c>
      <c r="J1875" s="11" t="n">
        <v>2017</v>
      </c>
      <c r="K1875" s="10" t="n">
        <v>46144</v>
      </c>
      <c r="L1875" s="11" t="n">
        <v>2</v>
      </c>
      <c r="M1875" s="8">
        <f>L1875*G1875</f>
        <v/>
      </c>
      <c r="P1875" s="9" t="n"/>
    </row>
    <row r="1876">
      <c r="A1876" s="11" t="inlineStr">
        <is>
          <t>Armory Guard / Guarda do Arsenal</t>
        </is>
      </c>
      <c r="B1876" s="11" t="inlineStr">
        <is>
          <t>Creature — Giant Soldier / Criatura — Gigante Soldado</t>
        </is>
      </c>
      <c r="C1876" s="11" t="inlineStr">
        <is>
          <t>Common / Comum</t>
        </is>
      </c>
      <c r="D1876" s="11" t="inlineStr">
        <is>
          <t>This creature has vigilance as long as you control a Gate. / Guarda do Arsenal terá vigilância enquanto você controlar um terreno do tipo Portão.</t>
        </is>
      </c>
      <c r="E1876" s="11" t="inlineStr">
        <is>
          <t>{3}{W}</t>
        </is>
      </c>
      <c r="F1876" s="11" t="inlineStr">
        <is>
          <t>Branco</t>
        </is>
      </c>
      <c r="G1876" s="8" t="n">
        <v>0.05</v>
      </c>
      <c r="H1876" s="11" t="inlineStr">
        <is>
          <t>Return to Ravnica (RTR)</t>
        </is>
      </c>
      <c r="I1876" s="11" t="inlineStr">
        <is>
          <t>Não</t>
        </is>
      </c>
      <c r="J1876" s="11" t="n">
        <v>2012</v>
      </c>
      <c r="K1876" s="10" t="n">
        <v>46144</v>
      </c>
      <c r="L1876" s="11" t="n">
        <v>1</v>
      </c>
      <c r="M1876" s="8">
        <f>L1876*G1876</f>
        <v/>
      </c>
      <c r="P1876" s="9" t="n"/>
    </row>
    <row r="1877">
      <c r="A1877" s="11" t="inlineStr">
        <is>
          <t>Extraction Specialist / Especialista em Resgates</t>
        </is>
      </c>
      <c r="B1877" s="11" t="inlineStr">
        <is>
          <t>Creature — Human Rogue / Criatura — Humano Ladino</t>
        </is>
      </c>
      <c r="C1877" s="11" t="inlineStr">
        <is>
          <t>Rare / Rara</t>
        </is>
      </c>
      <c r="D1877" s="11"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1877" s="11" t="inlineStr">
        <is>
          <t>{2}{W}</t>
        </is>
      </c>
      <c r="F1877" s="11" t="inlineStr">
        <is>
          <t>Branco</t>
        </is>
      </c>
      <c r="G1877" s="8" t="n">
        <v>2</v>
      </c>
      <c r="H1877" s="11" t="inlineStr">
        <is>
          <t>Streets of New Capenna (SNC)</t>
        </is>
      </c>
      <c r="I1877" s="11" t="inlineStr">
        <is>
          <t>Não</t>
        </is>
      </c>
      <c r="J1877" s="11" t="n">
        <v>2022</v>
      </c>
      <c r="K1877" s="10" t="n">
        <v>46056</v>
      </c>
      <c r="L1877" s="11" t="n">
        <v>1</v>
      </c>
      <c r="M1877" s="8">
        <f>L1877*G1877</f>
        <v/>
      </c>
      <c r="P1877" s="9" t="n"/>
    </row>
    <row r="1878">
      <c r="A1878" s="11" t="inlineStr">
        <is>
          <t>Mummy Paramount / Múmia Suprema</t>
        </is>
      </c>
      <c r="B1878" s="11" t="inlineStr">
        <is>
          <t>Creature — Zombie / Criatura — Zumbi</t>
        </is>
      </c>
      <c r="C1878" s="11" t="inlineStr">
        <is>
          <t>Common / Comum</t>
        </is>
      </c>
      <c r="D1878" s="11" t="inlineStr">
        <is>
          <t>Whenever another Zombie you control enters, this creature gets +1/+1 until end of turn. / Toda vez que outro Zumbi entra no campo de batalha sob seu controle, Múmia Suprema recebe +1/+1 até o final do turno.</t>
        </is>
      </c>
      <c r="E1878" s="11" t="inlineStr">
        <is>
          <t>{1}{W}</t>
        </is>
      </c>
      <c r="F1878" s="11" t="inlineStr">
        <is>
          <t>Branco</t>
        </is>
      </c>
      <c r="G1878" s="8" t="n">
        <v>0.03</v>
      </c>
      <c r="H1878" s="11" t="inlineStr">
        <is>
          <t>Hour of Devastation (HOU)</t>
        </is>
      </c>
      <c r="I1878" s="11" t="inlineStr">
        <is>
          <t>Não</t>
        </is>
      </c>
      <c r="J1878" s="11" t="n">
        <v>2017</v>
      </c>
      <c r="K1878" s="10" t="n">
        <v>46055</v>
      </c>
      <c r="L1878" s="11" t="n">
        <v>3</v>
      </c>
      <c r="M1878" s="8">
        <f>L1878*G1878</f>
        <v/>
      </c>
      <c r="P1878" s="9" t="n"/>
    </row>
    <row r="1879">
      <c r="A1879" s="11" t="inlineStr">
        <is>
          <t>Thriving Ibex / Íbex Vigoroso</t>
        </is>
      </c>
      <c r="B1879" s="11" t="inlineStr">
        <is>
          <t>Creature — Goat / Criatura — Bode</t>
        </is>
      </c>
      <c r="C1879" s="11" t="inlineStr">
        <is>
          <t>Common / Comum</t>
        </is>
      </c>
      <c r="D1879" s="11"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1879" s="11" t="inlineStr">
        <is>
          <t>{3}{W}</t>
        </is>
      </c>
      <c r="F1879" s="11" t="inlineStr">
        <is>
          <t>Branco</t>
        </is>
      </c>
      <c r="G1879" s="8" t="n">
        <v>0.03</v>
      </c>
      <c r="H1879" s="11" t="inlineStr">
        <is>
          <t>Kaladesh (KLD)</t>
        </is>
      </c>
      <c r="I1879" s="11" t="inlineStr">
        <is>
          <t>Não</t>
        </is>
      </c>
      <c r="J1879" s="11" t="n">
        <v>2016</v>
      </c>
      <c r="K1879" s="10" t="n">
        <v>46114</v>
      </c>
      <c r="L1879" s="11" t="n">
        <v>2</v>
      </c>
      <c r="M1879" s="8">
        <f>L1879*G1879</f>
        <v/>
      </c>
      <c r="P1879" s="9" t="n"/>
    </row>
    <row r="1880">
      <c r="A1880" s="11" t="inlineStr">
        <is>
          <t>Oreskos Swiftclaw / Garra-veloz de Oreskos</t>
        </is>
      </c>
      <c r="B1880" s="11" t="inlineStr">
        <is>
          <t>Creature — Cat Warrior / Criatura — Felino Guerreiro</t>
        </is>
      </c>
      <c r="C1880" s="11" t="inlineStr">
        <is>
          <t>Common / Comum</t>
        </is>
      </c>
      <c r="E1880" s="11" t="inlineStr">
        <is>
          <t>{1}{W}</t>
        </is>
      </c>
      <c r="F1880" s="11" t="inlineStr">
        <is>
          <t>Branco</t>
        </is>
      </c>
      <c r="G1880" s="8" t="n">
        <v>0.03</v>
      </c>
      <c r="H1880" s="11" t="inlineStr">
        <is>
          <t>Journey into Nyx (JOU)</t>
        </is>
      </c>
      <c r="I1880" s="11" t="inlineStr">
        <is>
          <t>Não</t>
        </is>
      </c>
      <c r="J1880" s="11" t="n">
        <v>2014</v>
      </c>
      <c r="K1880" s="10" t="n">
        <v>46025</v>
      </c>
      <c r="L1880" s="11" t="n">
        <v>2</v>
      </c>
      <c r="M1880" s="8">
        <f>L1880*G1880</f>
        <v/>
      </c>
      <c r="P1880" s="9" t="n"/>
    </row>
    <row r="1881">
      <c r="A1881" s="11" t="inlineStr">
        <is>
          <t>Silvercoat Lion / Leão Pele-de-Prata</t>
        </is>
      </c>
      <c r="B1881" s="11" t="inlineStr">
        <is>
          <t>Creature — Cat / Criatura — Felino</t>
        </is>
      </c>
      <c r="C1881" s="11" t="inlineStr">
        <is>
          <t>Common / Comum</t>
        </is>
      </c>
      <c r="E1881" s="11" t="inlineStr">
        <is>
          <t>{1}{W}</t>
        </is>
      </c>
      <c r="F1881" s="11" t="inlineStr">
        <is>
          <t>Branco</t>
        </is>
      </c>
      <c r="G1881" s="8" t="n">
        <v>0.06</v>
      </c>
      <c r="H1881" s="11" t="inlineStr">
        <is>
          <t>Magic 2010 (M10)</t>
        </is>
      </c>
      <c r="I1881" s="11" t="inlineStr">
        <is>
          <t>Não</t>
        </is>
      </c>
      <c r="J1881" s="11" t="n">
        <v>2009</v>
      </c>
      <c r="K1881" s="10" t="n">
        <v>46055</v>
      </c>
      <c r="L1881" s="11" t="n">
        <v>1</v>
      </c>
      <c r="M1881" s="8">
        <f>L1881*G1881</f>
        <v/>
      </c>
      <c r="P1881" s="9" t="n"/>
    </row>
    <row r="1882">
      <c r="A1882" s="11" t="inlineStr">
        <is>
          <t>Hundred-Handed One / Centomano</t>
        </is>
      </c>
      <c r="B1882" s="11" t="inlineStr">
        <is>
          <t>Creature — Giant / Criatura — Gigante</t>
        </is>
      </c>
      <c r="C1882" s="11" t="inlineStr">
        <is>
          <t>Rare / Rara</t>
        </is>
      </c>
      <c r="D1882" s="11"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1882" s="11" t="inlineStr">
        <is>
          <t>{2}{W}{W}</t>
        </is>
      </c>
      <c r="F1882" s="11" t="inlineStr">
        <is>
          <t>Branco</t>
        </is>
      </c>
      <c r="G1882" s="8" t="n">
        <v>0.1</v>
      </c>
      <c r="H1882" s="11" t="inlineStr">
        <is>
          <t>Theros (THS)</t>
        </is>
      </c>
      <c r="I1882" s="11" t="inlineStr">
        <is>
          <t>Não</t>
        </is>
      </c>
      <c r="J1882" s="11" t="n">
        <v>2013</v>
      </c>
      <c r="K1882" s="10" t="n">
        <v>46145</v>
      </c>
      <c r="L1882" s="11" t="n">
        <v>1</v>
      </c>
      <c r="M1882" s="8">
        <f>L1882*G1882</f>
        <v/>
      </c>
      <c r="P1882" s="9" t="n"/>
    </row>
    <row r="1883">
      <c r="A1883" s="11" t="inlineStr">
        <is>
          <t>Dawnbringer Cleric / Clérigo Arauto da Aurora</t>
        </is>
      </c>
      <c r="B1883" s="11" t="inlineStr">
        <is>
          <t>Creature — Human Cleric / Criatura — Humano Clérigo</t>
        </is>
      </c>
      <c r="C1883" s="11" t="inlineStr">
        <is>
          <t>Common / Comum</t>
        </is>
      </c>
      <c r="D1883" s="11"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3" s="11" t="inlineStr">
        <is>
          <t>{1}{W}</t>
        </is>
      </c>
      <c r="F1883" s="11" t="inlineStr">
        <is>
          <t>Branco</t>
        </is>
      </c>
      <c r="G1883" s="8" t="n">
        <v>0.32</v>
      </c>
      <c r="H1883" s="11" t="inlineStr">
        <is>
          <t>Adventures in the Forgotten Realms (AFR)</t>
        </is>
      </c>
      <c r="I1883" s="11" t="inlineStr">
        <is>
          <t>Não</t>
        </is>
      </c>
      <c r="J1883" s="11" t="n">
        <v>2021</v>
      </c>
      <c r="K1883" s="10" t="n">
        <v>46082</v>
      </c>
      <c r="L1883" s="11" t="n">
        <v>1</v>
      </c>
      <c r="M1883" s="8">
        <f>L1883*G1883</f>
        <v/>
      </c>
      <c r="P1883" s="9" t="n"/>
    </row>
    <row r="1884">
      <c r="A1884" s="11" t="inlineStr">
        <is>
          <t>Dawnbringer Cleric / Clérigo Arauto da Aurora</t>
        </is>
      </c>
      <c r="B1884" s="11" t="inlineStr">
        <is>
          <t>Creature — Human Cleric / Criatura — Humano Clérigo</t>
        </is>
      </c>
      <c r="C1884" s="11" t="inlineStr">
        <is>
          <t>Common / Comum</t>
        </is>
      </c>
      <c r="D1884" s="11"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4" s="11" t="inlineStr">
        <is>
          <t>{1}{W}</t>
        </is>
      </c>
      <c r="F1884" s="11" t="inlineStr">
        <is>
          <t>Branco</t>
        </is>
      </c>
      <c r="G1884" s="8" t="n">
        <v>0.49</v>
      </c>
      <c r="H1884" s="11" t="inlineStr">
        <is>
          <t>Commander Legends: Battle for Baldur's Gate (CLB)</t>
        </is>
      </c>
      <c r="I1884" s="11" t="inlineStr">
        <is>
          <t>Não</t>
        </is>
      </c>
      <c r="J1884" s="11" t="n">
        <v>2022</v>
      </c>
      <c r="K1884" s="10" t="n">
        <v>46082</v>
      </c>
      <c r="L1884" s="11" t="n">
        <v>2</v>
      </c>
      <c r="M1884" s="8">
        <f>L1884*G1884</f>
        <v/>
      </c>
      <c r="P1884" s="9" t="n"/>
    </row>
    <row r="1885">
      <c r="A1885" s="11" t="inlineStr">
        <is>
          <t>Savannah Lions / Leões da Savana</t>
        </is>
      </c>
      <c r="B1885" s="11" t="inlineStr">
        <is>
          <t>Creature — Cat / Criatura — Felino</t>
        </is>
      </c>
      <c r="C1885" s="11" t="inlineStr">
        <is>
          <t>Common / Comum</t>
        </is>
      </c>
      <c r="E1885" s="11" t="inlineStr">
        <is>
          <t>{W}</t>
        </is>
      </c>
      <c r="F1885" s="11" t="inlineStr">
        <is>
          <t>Branco</t>
        </is>
      </c>
      <c r="G1885" s="8" t="n">
        <v>0.8</v>
      </c>
      <c r="H1885" s="11" t="inlineStr">
        <is>
          <t>Masters 25 (A25)</t>
        </is>
      </c>
      <c r="I1885" s="11" t="inlineStr">
        <is>
          <t>Sim</t>
        </is>
      </c>
      <c r="J1885" s="11" t="n">
        <v>2018</v>
      </c>
      <c r="K1885" s="10" t="n">
        <v>46024</v>
      </c>
      <c r="L1885" s="11" t="n">
        <v>1</v>
      </c>
      <c r="M1885" s="8">
        <f>L1885*G1885</f>
        <v/>
      </c>
      <c r="P1885" s="9" t="n"/>
    </row>
    <row r="1886">
      <c r="A1886" s="11" t="inlineStr">
        <is>
          <t>Teshar, Ancestor's Apostle / Teshar, Apóstolo da Ancestral</t>
        </is>
      </c>
      <c r="B1886" s="11" t="inlineStr">
        <is>
          <t>Legendary Creature — Bird Cleric / Criatura Lendária — Ave Clérigo</t>
        </is>
      </c>
      <c r="C1886" s="11" t="inlineStr">
        <is>
          <t>Rare / Rara</t>
        </is>
      </c>
      <c r="D1886" s="11"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1886" s="11" t="inlineStr">
        <is>
          <t>{3}{W}</t>
        </is>
      </c>
      <c r="F1886" s="11" t="inlineStr">
        <is>
          <t>Branco</t>
        </is>
      </c>
      <c r="G1886" s="8" t="n">
        <v>0.49</v>
      </c>
      <c r="H1886" s="11" t="inlineStr">
        <is>
          <t>Dominaria (DOM)</t>
        </is>
      </c>
      <c r="I1886" s="11" t="inlineStr">
        <is>
          <t>Não</t>
        </is>
      </c>
      <c r="J1886" s="11" t="n">
        <v>2018</v>
      </c>
      <c r="K1886" s="10" t="n">
        <v>46055</v>
      </c>
      <c r="L1886" s="11" t="n">
        <v>1</v>
      </c>
      <c r="M1886" s="8">
        <f>L1886*G1886</f>
        <v/>
      </c>
      <c r="P1886" s="9" t="n"/>
    </row>
    <row r="1887">
      <c r="A1887" s="11" t="inlineStr">
        <is>
          <t>Goldenglow Moth / Mariposa da Luz Dourada</t>
        </is>
      </c>
      <c r="B1887" s="11" t="inlineStr">
        <is>
          <t>Creature — Insect / Criatura — Inseto</t>
        </is>
      </c>
      <c r="C1887" s="11" t="inlineStr">
        <is>
          <t>Common / Comum</t>
        </is>
      </c>
      <c r="D1887" s="11" t="inlineStr">
        <is>
          <t>Flying Whenever this creature blocks, you may gain 4 life. / Voar Toda vez que Mariposa da Luz Dourada bloqueia, você pode ganhar 4 pontos de vida.</t>
        </is>
      </c>
      <c r="E1887" s="11" t="inlineStr">
        <is>
          <t>{W}</t>
        </is>
      </c>
      <c r="F1887" s="11" t="inlineStr">
        <is>
          <t>Branco</t>
        </is>
      </c>
      <c r="G1887" s="8" t="n">
        <v>0.08</v>
      </c>
      <c r="H1887" s="11" t="inlineStr">
        <is>
          <t>Shadowmoor (SHM)</t>
        </is>
      </c>
      <c r="I1887" s="11" t="inlineStr">
        <is>
          <t>Não</t>
        </is>
      </c>
      <c r="J1887" s="11" t="n">
        <v>2008</v>
      </c>
      <c r="K1887" s="11" t="inlineStr">
        <is>
          <t>0/1</t>
        </is>
      </c>
      <c r="L1887" s="11" t="n">
        <v>1</v>
      </c>
      <c r="M1887" s="8">
        <f>L1887*G1887</f>
        <v/>
      </c>
      <c r="P1887" s="9" t="n"/>
    </row>
    <row r="1888">
      <c r="A1888" s="11" t="inlineStr">
        <is>
          <t>Archway Angel / Anjo do Arco</t>
        </is>
      </c>
      <c r="B1888" s="11" t="inlineStr">
        <is>
          <t>Creature — Angel / Criatura — Anjo</t>
        </is>
      </c>
      <c r="C1888" s="11" t="inlineStr">
        <is>
          <t>Uncommon / Incomum</t>
        </is>
      </c>
      <c r="D1888" s="11" t="inlineStr">
        <is>
          <t>Flying When this creature enters, you gain 2 life for each Gate you control. / Voar Quando Anjo do Arco entra no campo de batalha, você ganha 2 pontos de vida para cada Portão que você controla.</t>
        </is>
      </c>
      <c r="E1888" s="11" t="inlineStr">
        <is>
          <t>{5}{W}</t>
        </is>
      </c>
      <c r="F1888" s="11" t="inlineStr">
        <is>
          <t>Branco</t>
        </is>
      </c>
      <c r="G1888" s="8" t="n">
        <v>0.08</v>
      </c>
      <c r="H1888" s="11" t="inlineStr">
        <is>
          <t>Ravnica Allegiance (RNA)</t>
        </is>
      </c>
      <c r="I1888" s="11" t="inlineStr">
        <is>
          <t>Não</t>
        </is>
      </c>
      <c r="J1888" s="11" t="n">
        <v>2019</v>
      </c>
      <c r="K1888" s="10" t="n">
        <v>46115</v>
      </c>
      <c r="L1888" s="11" t="n">
        <v>1</v>
      </c>
      <c r="M1888" s="8">
        <f>L1888*G1888</f>
        <v/>
      </c>
      <c r="P1888" s="9" t="n"/>
    </row>
    <row r="1889">
      <c r="A1889" s="11" t="inlineStr">
        <is>
          <t>Ministrant of Obligation / Ministrante da Obrigação</t>
        </is>
      </c>
      <c r="B1889" s="11" t="inlineStr">
        <is>
          <t>Creature — Human Cleric / Criatura — Humano Clérigo</t>
        </is>
      </c>
      <c r="C1889" s="11" t="inlineStr">
        <is>
          <t>Uncommon / Incomum</t>
        </is>
      </c>
      <c r="D1889" s="11" t="inlineStr">
        <is>
          <t>Afterlife 2 (When this creature dies, create two 1/1 white and black Spirit creature tokens with flying.) / Pós-vida 2 (Quando esta criatura morrer, crie duas fichas de criatura branca e preta 1/1 do tipo Espírito com voar. )</t>
        </is>
      </c>
      <c r="E1889" s="11" t="inlineStr">
        <is>
          <t>{2}{W}</t>
        </is>
      </c>
      <c r="F1889" s="11" t="inlineStr">
        <is>
          <t>Branco</t>
        </is>
      </c>
      <c r="G1889" s="8" t="n">
        <v>0.06</v>
      </c>
      <c r="H1889" s="11" t="inlineStr">
        <is>
          <t>Ravnica Allegiance (RNA)</t>
        </is>
      </c>
      <c r="I1889" s="11" t="inlineStr">
        <is>
          <t>Não</t>
        </is>
      </c>
      <c r="J1889" s="11" t="n">
        <v>2019</v>
      </c>
      <c r="K1889" s="10" t="n">
        <v>46024</v>
      </c>
      <c r="L1889" s="11" t="n">
        <v>1</v>
      </c>
      <c r="M1889" s="8">
        <f>L1889*G1889</f>
        <v/>
      </c>
      <c r="P1889" s="9" t="n"/>
    </row>
    <row r="1890">
      <c r="A1890" s="11" t="inlineStr">
        <is>
          <t>Daghatar the Adamant / Daghatar, o Inflexível</t>
        </is>
      </c>
      <c r="B1890" s="11" t="inlineStr">
        <is>
          <t>Legendary Creature — Human Warrior / Criatura Lendária — Humano Guerreiro</t>
        </is>
      </c>
      <c r="C1890" s="11" t="inlineStr">
        <is>
          <t>Rare / Rara</t>
        </is>
      </c>
      <c r="D1890" s="11"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1890" s="11" t="inlineStr">
        <is>
          <t>{3}{W}</t>
        </is>
      </c>
      <c r="F1890" s="11" t="inlineStr">
        <is>
          <t>Branco</t>
        </is>
      </c>
      <c r="G1890" s="8" t="n">
        <v>0.24</v>
      </c>
      <c r="H1890" s="11" t="inlineStr">
        <is>
          <t>Fate Reforged (FRF)</t>
        </is>
      </c>
      <c r="I1890" s="11" t="inlineStr">
        <is>
          <t>Não</t>
        </is>
      </c>
      <c r="J1890" s="11" t="n">
        <v>2015</v>
      </c>
      <c r="K1890" s="11" t="inlineStr">
        <is>
          <t>0/0</t>
        </is>
      </c>
      <c r="L1890" s="11" t="n">
        <v>1</v>
      </c>
      <c r="M1890" s="8">
        <f>L1890*G1890</f>
        <v/>
      </c>
      <c r="P1890" s="9" t="n"/>
    </row>
    <row r="1891">
      <c r="A1891" s="11" t="inlineStr">
        <is>
          <t>Yoked Plowbeast / Besta Lavradora Bridada</t>
        </is>
      </c>
      <c r="B1891" s="11" t="inlineStr">
        <is>
          <t>Creature — Beast / Criatura — Besta</t>
        </is>
      </c>
      <c r="C1891" s="11" t="inlineStr">
        <is>
          <t>Common / Comum</t>
        </is>
      </c>
      <c r="D1891" s="11" t="inlineStr">
        <is>
          <t>Cycling {2} ({2}, Discard this card: Draw a card.) / Reciclar {2} ({2}, Descarte este card: Compre um card.)</t>
        </is>
      </c>
      <c r="E1891" s="11" t="inlineStr">
        <is>
          <t>{5}{W}{W}</t>
        </is>
      </c>
      <c r="F1891" s="11" t="inlineStr">
        <is>
          <t>Branco</t>
        </is>
      </c>
      <c r="G1891" s="8" t="n">
        <v>0.09</v>
      </c>
      <c r="H1891" s="11" t="inlineStr">
        <is>
          <t>Shards of Alara (ALA)</t>
        </is>
      </c>
      <c r="I1891" s="11" t="inlineStr">
        <is>
          <t>Não</t>
        </is>
      </c>
      <c r="J1891" s="11" t="n">
        <v>2008</v>
      </c>
      <c r="K1891" s="10" t="n">
        <v>46147</v>
      </c>
      <c r="L1891" s="11" t="n">
        <v>1</v>
      </c>
      <c r="M1891" s="8">
        <f>L1891*G1891</f>
        <v/>
      </c>
      <c r="P1891" s="9" t="n"/>
    </row>
    <row r="1892">
      <c r="A1892" s="11" t="inlineStr">
        <is>
          <t>Warclamp Mastiff / Mastim Torno-de-Guerra</t>
        </is>
      </c>
      <c r="B1892" s="11" t="inlineStr">
        <is>
          <t>Creature — Dog / Criatura — Sabujo</t>
        </is>
      </c>
      <c r="C1892" s="11" t="inlineStr">
        <is>
          <t>Common / Comum</t>
        </is>
      </c>
      <c r="D1892" s="11" t="inlineStr">
        <is>
          <t>First strike (This creature deals combat damage before creatures without first strike.) / Iniciativa (Esta criatura causa dano de combate antes das criaturas sem iniciativa.)</t>
        </is>
      </c>
      <c r="E1892" s="11" t="inlineStr">
        <is>
          <t>{W}</t>
        </is>
      </c>
      <c r="F1892" s="11" t="inlineStr">
        <is>
          <t>Branco</t>
        </is>
      </c>
      <c r="G1892" s="8" t="n">
        <v>0.05</v>
      </c>
      <c r="H1892" s="11" t="inlineStr">
        <is>
          <t>Magic 2013 (M13)</t>
        </is>
      </c>
      <c r="I1892" s="11" t="inlineStr">
        <is>
          <t>Não</t>
        </is>
      </c>
      <c r="J1892" s="11" t="n">
        <v>2012</v>
      </c>
      <c r="K1892" s="10" t="n">
        <v>46023</v>
      </c>
      <c r="L1892" s="11" t="n">
        <v>1</v>
      </c>
      <c r="M1892" s="8">
        <f>L1892*G1892</f>
        <v/>
      </c>
      <c r="P1892" s="9" t="n"/>
    </row>
    <row r="1893">
      <c r="A1893" s="11" t="inlineStr">
        <is>
          <t>Looming Altisaur / Altissauro Assomador</t>
        </is>
      </c>
      <c r="B1893" s="11" t="inlineStr">
        <is>
          <t>Creature — Dinosaur / Criatura — Dinossauro</t>
        </is>
      </c>
      <c r="C1893" s="11" t="inlineStr">
        <is>
          <t>Common / Comum</t>
        </is>
      </c>
      <c r="E1893" s="11" t="inlineStr">
        <is>
          <t>{3}{W}</t>
        </is>
      </c>
      <c r="F1893" s="11" t="inlineStr">
        <is>
          <t>Branco</t>
        </is>
      </c>
      <c r="G1893" s="8" t="n">
        <v>0.03</v>
      </c>
      <c r="H1893" s="11" t="inlineStr">
        <is>
          <t>Ixalan (XLN)</t>
        </is>
      </c>
      <c r="I1893" s="11" t="inlineStr">
        <is>
          <t>Não</t>
        </is>
      </c>
      <c r="J1893" s="11" t="n">
        <v>2017</v>
      </c>
      <c r="K1893" s="10" t="n">
        <v>46204</v>
      </c>
      <c r="L1893" s="11" t="n">
        <v>1</v>
      </c>
      <c r="M1893" s="8">
        <f>L1893*G1893</f>
        <v/>
      </c>
      <c r="P1893" s="9" t="n"/>
    </row>
    <row r="1894">
      <c r="A1894" s="11" t="inlineStr">
        <is>
          <t>Mesa Lynx / Lince da Meseta</t>
        </is>
      </c>
      <c r="B1894" s="11" t="inlineStr">
        <is>
          <t>Creature — Cat / Criatura — Felino</t>
        </is>
      </c>
      <c r="C1894" s="11" t="inlineStr">
        <is>
          <t>Common / Comum</t>
        </is>
      </c>
      <c r="D1894" s="11" t="inlineStr">
        <is>
          <t>During turns other than yours, this creature gets +0/+2. / Enquanto não for o seu turno, Lince da Meseta receberá +0/+2.</t>
        </is>
      </c>
      <c r="E1894" s="11" t="inlineStr">
        <is>
          <t>{1}{W}</t>
        </is>
      </c>
      <c r="F1894" s="11" t="inlineStr">
        <is>
          <t>Branco</t>
        </is>
      </c>
      <c r="G1894" s="8" t="n">
        <v>0.05</v>
      </c>
      <c r="H1894" s="11" t="inlineStr">
        <is>
          <t>Zendikar Rising (ZNR)</t>
        </is>
      </c>
      <c r="I1894" s="11" t="inlineStr">
        <is>
          <t>Não</t>
        </is>
      </c>
      <c r="J1894" s="11" t="n">
        <v>2020</v>
      </c>
      <c r="K1894" s="10" t="n">
        <v>46024</v>
      </c>
      <c r="L1894" s="11" t="n">
        <v>2</v>
      </c>
      <c r="M1894" s="8">
        <f>L1894*G1894</f>
        <v/>
      </c>
      <c r="P1894" s="9" t="n"/>
    </row>
    <row r="1895">
      <c r="A1895" s="11" t="inlineStr">
        <is>
          <t>Aven Tactician / Estrategista Aviano</t>
        </is>
      </c>
      <c r="B1895" s="11" t="inlineStr">
        <is>
          <t>Creature — Bird Soldier / Criatura — Ave Soldado</t>
        </is>
      </c>
      <c r="C1895" s="11" t="inlineStr">
        <is>
          <t>Common / Comum</t>
        </is>
      </c>
      <c r="D1895" s="11"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1895" s="11" t="inlineStr">
        <is>
          <t>{4}{W}</t>
        </is>
      </c>
      <c r="F1895" s="11" t="inlineStr">
        <is>
          <t>Branco</t>
        </is>
      </c>
      <c r="G1895" s="8" t="n">
        <v>0.05</v>
      </c>
      <c r="H1895" s="11" t="inlineStr">
        <is>
          <t>Dragons of Tarkir (DTK)</t>
        </is>
      </c>
      <c r="I1895" s="11" t="inlineStr">
        <is>
          <t>Não</t>
        </is>
      </c>
      <c r="J1895" s="11" t="n">
        <v>2015</v>
      </c>
      <c r="K1895" s="10" t="n">
        <v>46083</v>
      </c>
      <c r="L1895" s="11" t="n">
        <v>1</v>
      </c>
      <c r="M1895" s="8">
        <f>L1895*G1895</f>
        <v/>
      </c>
      <c r="P1895" s="9" t="n"/>
    </row>
    <row r="1896">
      <c r="A1896" s="11" t="inlineStr">
        <is>
          <t>Tazeem Raptor / Raptor de Tazeem</t>
        </is>
      </c>
      <c r="B1896" s="11" t="inlineStr">
        <is>
          <t>Creature — Bird / Criatura — Ave</t>
        </is>
      </c>
      <c r="C1896" s="11" t="inlineStr">
        <is>
          <t>Common / Comum</t>
        </is>
      </c>
      <c r="D1896" s="11" t="inlineStr">
        <is>
          <t>Flying When this creature enters, you may return a land you control to its owner's hand. / Voar Quando Raptor de Tazeem entra no campo de batalha, você pode devolver um terreno que você controla para a mão de seu dono.</t>
        </is>
      </c>
      <c r="E1896" s="11" t="inlineStr">
        <is>
          <t>{2}{W}</t>
        </is>
      </c>
      <c r="F1896" s="11" t="inlineStr">
        <is>
          <t>Branco</t>
        </is>
      </c>
      <c r="G1896" s="8" t="n">
        <v>0.05</v>
      </c>
      <c r="H1896" s="11" t="inlineStr">
        <is>
          <t>Zendikar Rising (ZNR)</t>
        </is>
      </c>
      <c r="I1896" s="11" t="inlineStr">
        <is>
          <t>Não</t>
        </is>
      </c>
      <c r="J1896" s="11" t="n">
        <v>2020</v>
      </c>
      <c r="K1896" s="10" t="n">
        <v>46055</v>
      </c>
      <c r="L1896" s="11" t="n">
        <v>1</v>
      </c>
      <c r="M1896" s="8">
        <f>L1896*G1896</f>
        <v/>
      </c>
      <c r="P1896" s="9" t="n"/>
    </row>
    <row r="1897">
      <c r="A1897" s="11" t="inlineStr">
        <is>
          <t>Rustwing Falcon / Falcão da Asa Rubiginosa</t>
        </is>
      </c>
      <c r="B1897" s="11" t="inlineStr">
        <is>
          <t>Creature — Bird / Criatura — Ave</t>
        </is>
      </c>
      <c r="C1897" s="11" t="inlineStr">
        <is>
          <t>Common / Comum</t>
        </is>
      </c>
      <c r="D1897" s="11" t="inlineStr">
        <is>
          <t>Flying / Voar</t>
        </is>
      </c>
      <c r="E1897" s="11" t="inlineStr">
        <is>
          <t>{W}</t>
        </is>
      </c>
      <c r="F1897" s="11" t="inlineStr">
        <is>
          <t>Branco</t>
        </is>
      </c>
      <c r="G1897" s="8" t="n">
        <v>0.03</v>
      </c>
      <c r="H1897" s="11" t="inlineStr">
        <is>
          <t>Core Set 2019 (M19)</t>
        </is>
      </c>
      <c r="I1897" s="11" t="inlineStr">
        <is>
          <t>Não</t>
        </is>
      </c>
      <c r="J1897" s="11" t="n">
        <v>2018</v>
      </c>
      <c r="K1897" s="10" t="n">
        <v>46054</v>
      </c>
      <c r="L1897" s="11" t="n">
        <v>2</v>
      </c>
      <c r="M1897" s="8">
        <f>L1897*G1897</f>
        <v/>
      </c>
      <c r="P1897" s="9" t="n"/>
    </row>
    <row r="1898">
      <c r="A1898" s="11" t="inlineStr">
        <is>
          <t>Seven-Tail Mentor / Mentora das Sete Caudas</t>
        </is>
      </c>
      <c r="B1898" s="11" t="inlineStr">
        <is>
          <t>Creature — Fox Samurai / Criatura — Raposa Samurai</t>
        </is>
      </c>
      <c r="C1898" s="11" t="inlineStr">
        <is>
          <t>Common / Comum</t>
        </is>
      </c>
      <c r="D1898" s="11" t="inlineStr">
        <is>
          <t>When this creature enters or dies, put a +1/+1 counter on target creature or Vehicle you control. / Quando Mentora das Sete Caudas entrar no campo de batalha ou morrer, coloque um marcador +1/+1 na criatura ou no Veículo alvo que você controla.</t>
        </is>
      </c>
      <c r="E1898" s="11" t="inlineStr">
        <is>
          <t>{3}{W}</t>
        </is>
      </c>
      <c r="F1898" s="11" t="inlineStr">
        <is>
          <t>Branco</t>
        </is>
      </c>
      <c r="G1898" s="8" t="n">
        <v>0.05</v>
      </c>
      <c r="H1898" s="11" t="inlineStr">
        <is>
          <t>Kamigawa: Neon Dynasty (NEO)</t>
        </is>
      </c>
      <c r="I1898" s="11" t="inlineStr">
        <is>
          <t>Não</t>
        </is>
      </c>
      <c r="J1898" s="11" t="n">
        <v>2022</v>
      </c>
      <c r="K1898" s="10" t="n">
        <v>46083</v>
      </c>
      <c r="L1898" s="11" t="n">
        <v>3</v>
      </c>
      <c r="M1898" s="8">
        <f>L1898*G1898</f>
        <v/>
      </c>
      <c r="P1898" s="9" t="n"/>
    </row>
    <row r="1899">
      <c r="A1899" s="11" t="inlineStr">
        <is>
          <t>Seven-Tail Mentor / Mentora das Sete Caudas</t>
        </is>
      </c>
      <c r="B1899" s="11" t="inlineStr">
        <is>
          <t>Creature — Fox Samurai / Criatura — Raposa Samurai</t>
        </is>
      </c>
      <c r="C1899" s="11" t="inlineStr">
        <is>
          <t>Common / Comum</t>
        </is>
      </c>
      <c r="D1899" s="11" t="inlineStr">
        <is>
          <t>When this creature enters or dies, put a +1/+1 counter on target creature or Vehicle you control. / Quando Mentora das Sete Caudas entrar no campo de batalha ou morrer, coloque um marcador +1/+1 na criatura ou no Veículo alvo que você controla.</t>
        </is>
      </c>
      <c r="E1899" s="11" t="inlineStr">
        <is>
          <t>{3}{W}</t>
        </is>
      </c>
      <c r="F1899" s="11" t="inlineStr">
        <is>
          <t>Branco</t>
        </is>
      </c>
      <c r="G1899" s="8" t="n">
        <v>0.11</v>
      </c>
      <c r="H1899" s="11" t="inlineStr">
        <is>
          <t>Kamigawa: Neon Dynasty (NEO) V</t>
        </is>
      </c>
      <c r="I1899" s="11" t="inlineStr">
        <is>
          <t>Não</t>
        </is>
      </c>
      <c r="J1899" s="11" t="n">
        <v>2022</v>
      </c>
      <c r="K1899" s="10" t="n">
        <v>46083</v>
      </c>
      <c r="L1899" s="11" t="n">
        <v>1</v>
      </c>
      <c r="M1899" s="8">
        <f>L1899*G1899</f>
        <v/>
      </c>
      <c r="P1899" s="9" t="n"/>
    </row>
    <row r="1900">
      <c r="A1900" s="11" t="inlineStr">
        <is>
          <t>Helpful Hunter</t>
        </is>
      </c>
      <c r="B1900" s="11" t="inlineStr">
        <is>
          <t>Creature — Cat</t>
        </is>
      </c>
      <c r="C1900" s="11" t="inlineStr">
        <is>
          <t>Common / Comum</t>
        </is>
      </c>
      <c r="D1900" s="11" t="inlineStr">
        <is>
          <t>When this creature enters, draw a card.</t>
        </is>
      </c>
      <c r="E1900" s="11" t="inlineStr">
        <is>
          <t>{1}{W}</t>
        </is>
      </c>
      <c r="F1900" s="11" t="inlineStr">
        <is>
          <t>Branco</t>
        </is>
      </c>
      <c r="G1900" s="8" t="n">
        <v>0.15</v>
      </c>
      <c r="H1900" s="11" t="inlineStr">
        <is>
          <t>Foundations (FDN)</t>
        </is>
      </c>
      <c r="I1900" s="11" t="inlineStr">
        <is>
          <t>Não</t>
        </is>
      </c>
      <c r="J1900" s="11" t="n">
        <v>2024</v>
      </c>
      <c r="K1900" s="10" t="n">
        <v>46023</v>
      </c>
      <c r="L1900" s="11" t="n">
        <v>3</v>
      </c>
      <c r="M1900" s="8">
        <f>L1900*G1900</f>
        <v/>
      </c>
      <c r="P1900" s="9" t="n"/>
    </row>
    <row r="1901">
      <c r="A1901" s="11" t="inlineStr">
        <is>
          <t>Traveling Philosopher / Filósofo Viajante</t>
        </is>
      </c>
      <c r="B1901" s="11" t="inlineStr">
        <is>
          <t>Creature — Human Advisor / Criatura — Humano Conselheiro</t>
        </is>
      </c>
      <c r="C1901" s="11" t="inlineStr">
        <is>
          <t>Common / Comum</t>
        </is>
      </c>
      <c r="E1901" s="11" t="inlineStr">
        <is>
          <t>{1}{W}</t>
        </is>
      </c>
      <c r="F1901" s="11" t="inlineStr">
        <is>
          <t>Branco</t>
        </is>
      </c>
      <c r="G1901" s="8" t="n">
        <v>0.05</v>
      </c>
      <c r="H1901" s="11" t="inlineStr">
        <is>
          <t>Theros (THS)</t>
        </is>
      </c>
      <c r="I1901" s="11" t="inlineStr">
        <is>
          <t>Não</t>
        </is>
      </c>
      <c r="J1901" s="11" t="n">
        <v>2013</v>
      </c>
      <c r="K1901" s="10" t="n">
        <v>46055</v>
      </c>
      <c r="L1901" s="11" t="n">
        <v>3</v>
      </c>
      <c r="M1901" s="8">
        <f>L1901*G1901</f>
        <v/>
      </c>
      <c r="P1901" s="9" t="n"/>
    </row>
    <row r="1902">
      <c r="A1902" s="11" t="inlineStr">
        <is>
          <t>Unholy Officiant / Celebrante Profano</t>
        </is>
      </c>
      <c r="B1902" s="11" t="inlineStr">
        <is>
          <t>Creature — Vampire Cleric / Criatura — Vampiro Clérigo</t>
        </is>
      </c>
      <c r="C1902" s="11" t="inlineStr">
        <is>
          <t>Common / Comum</t>
        </is>
      </c>
      <c r="D1902" s="11" t="inlineStr">
        <is>
          <t>Vigilance {4}{W}: Put a +1/+1 counter on this creature. / Vigilância {4}{W}: Coloque um marcador +1/+1 em Celebrante Profano.</t>
        </is>
      </c>
      <c r="E1902" s="11" t="inlineStr">
        <is>
          <t>{W}</t>
        </is>
      </c>
      <c r="F1902" s="11" t="inlineStr">
        <is>
          <t>Branco</t>
        </is>
      </c>
      <c r="G1902" s="8" t="n">
        <v>0.05</v>
      </c>
      <c r="H1902" s="11" t="inlineStr">
        <is>
          <t>Innistrad: Crimson Vow (VOW)</t>
        </is>
      </c>
      <c r="I1902" s="11" t="inlineStr">
        <is>
          <t>Não</t>
        </is>
      </c>
      <c r="J1902" s="11" t="n">
        <v>2021</v>
      </c>
      <c r="K1902" s="10" t="n">
        <v>46054</v>
      </c>
      <c r="L1902" s="11" t="n">
        <v>2</v>
      </c>
      <c r="M1902" s="8">
        <f>L1902*G1902</f>
        <v/>
      </c>
      <c r="P1902" s="9" t="n"/>
    </row>
    <row r="1903">
      <c r="A1903" s="11" t="inlineStr">
        <is>
          <t>Charmed Stray / Vira-lata Encantado</t>
        </is>
      </c>
      <c r="B1903" s="11" t="inlineStr">
        <is>
          <t>Creature — Cat / Criatura — Felino</t>
        </is>
      </c>
      <c r="C1903" s="11" t="inlineStr">
        <is>
          <t>Common / Comum</t>
        </is>
      </c>
      <c r="D1903" s="11"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1903" s="11" t="inlineStr">
        <is>
          <t>{W}</t>
        </is>
      </c>
      <c r="F1903" s="11" t="inlineStr">
        <is>
          <t>Branco</t>
        </is>
      </c>
      <c r="G1903" s="8" t="n">
        <v>0.06</v>
      </c>
      <c r="H1903" s="11" t="inlineStr">
        <is>
          <t>War of the Spark (WAR)</t>
        </is>
      </c>
      <c r="I1903" s="11" t="inlineStr">
        <is>
          <t>Não</t>
        </is>
      </c>
      <c r="J1903" s="11" t="n">
        <v>2019</v>
      </c>
      <c r="K1903" s="10" t="n">
        <v>46023</v>
      </c>
      <c r="L1903" s="11" t="n">
        <v>1</v>
      </c>
      <c r="M1903" s="8">
        <f>L1903*G1903</f>
        <v/>
      </c>
      <c r="P1903" s="9" t="n"/>
    </row>
    <row r="1904">
      <c r="A1904" s="11" t="inlineStr">
        <is>
          <t>Mandibular Kite / Dragão Mandibular</t>
        </is>
      </c>
      <c r="B1904" s="11" t="inlineStr">
        <is>
          <t>Artifact — Equipment / Artefato — Equipamento</t>
        </is>
      </c>
      <c r="C1904" s="11" t="inlineStr">
        <is>
          <t>Common / Comum</t>
        </is>
      </c>
      <c r="D1904" s="11"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1904" s="11" t="inlineStr">
        <is>
          <t>{W}</t>
        </is>
      </c>
      <c r="F1904" s="11" t="inlineStr">
        <is>
          <t>Branco</t>
        </is>
      </c>
      <c r="G1904" s="8" t="n">
        <v>0.05</v>
      </c>
      <c r="H1904" s="11" t="inlineStr">
        <is>
          <t>Modern Horizons 3 (MH3)</t>
        </is>
      </c>
      <c r="I1904" s="11" t="inlineStr">
        <is>
          <t>Não</t>
        </is>
      </c>
      <c r="J1904" s="11" t="n">
        <v>2024</v>
      </c>
      <c r="L1904" s="11" t="n">
        <v>2</v>
      </c>
      <c r="M1904" s="8">
        <f>L1904*G1904</f>
        <v/>
      </c>
      <c r="P1904" s="9" t="n"/>
    </row>
    <row r="1905">
      <c r="A1905" s="11" t="inlineStr">
        <is>
          <t>Devilthorn Fox / Raposa de Espinho do Diabo</t>
        </is>
      </c>
      <c r="B1905" s="11" t="inlineStr">
        <is>
          <t>Creature — Fox / Criatura — Raposa</t>
        </is>
      </c>
      <c r="C1905" s="11" t="inlineStr">
        <is>
          <t>Common / Comum</t>
        </is>
      </c>
      <c r="E1905" s="11" t="inlineStr">
        <is>
          <t>{1}{W}</t>
        </is>
      </c>
      <c r="F1905" s="11" t="inlineStr">
        <is>
          <t>Branco</t>
        </is>
      </c>
      <c r="G1905" s="8" t="n">
        <v>0.05</v>
      </c>
      <c r="H1905" s="11" t="inlineStr">
        <is>
          <t>Shadows over Innistrad (SOI)</t>
        </is>
      </c>
      <c r="I1905" s="11" t="inlineStr">
        <is>
          <t>Não</t>
        </is>
      </c>
      <c r="J1905" s="11" t="n">
        <v>2016</v>
      </c>
      <c r="K1905" s="10" t="n">
        <v>46025</v>
      </c>
      <c r="L1905" s="11" t="n">
        <v>3</v>
      </c>
      <c r="M1905" s="8">
        <f>L1905*G1905</f>
        <v/>
      </c>
      <c r="P1905" s="9" t="n"/>
    </row>
    <row r="1906">
      <c r="A1906" s="11" t="inlineStr">
        <is>
          <t>Healer's Hawk / Falcão do Curandeiro</t>
        </is>
      </c>
      <c r="B1906" s="11" t="inlineStr">
        <is>
          <t>Creature — Bird / Criatura — Ave</t>
        </is>
      </c>
      <c r="C1906" s="11" t="inlineStr">
        <is>
          <t>Common / Comum</t>
        </is>
      </c>
      <c r="D1906" s="11" t="inlineStr">
        <is>
          <t>Flying Lifelink (Damage dealt by this creature also causes you to gain that much life.) / Voar, vínculo com a vida</t>
        </is>
      </c>
      <c r="E1906" s="11" t="inlineStr">
        <is>
          <t>{W}</t>
        </is>
      </c>
      <c r="F1906" s="11" t="inlineStr">
        <is>
          <t>Branco</t>
        </is>
      </c>
      <c r="G1906" s="8" t="n">
        <v>0.13</v>
      </c>
      <c r="H1906" s="11" t="inlineStr">
        <is>
          <t>Foundations (FDN)</t>
        </is>
      </c>
      <c r="I1906" s="11" t="inlineStr">
        <is>
          <t>Não</t>
        </is>
      </c>
      <c r="J1906" s="11" t="n">
        <v>2024</v>
      </c>
      <c r="K1906" s="10" t="n">
        <v>46023</v>
      </c>
      <c r="L1906" s="11" t="n">
        <v>3</v>
      </c>
      <c r="M1906" s="8">
        <f>L1906*G1906</f>
        <v/>
      </c>
      <c r="P1906" s="9" t="n"/>
    </row>
    <row r="1907">
      <c r="A1907" s="11" t="inlineStr">
        <is>
          <t>Woeleecher / Suga-Desgraça</t>
        </is>
      </c>
      <c r="B1907" s="11" t="inlineStr">
        <is>
          <t>Creature — Elemental / Criatura — Elemental</t>
        </is>
      </c>
      <c r="C1907" s="11" t="inlineStr">
        <is>
          <t>Common / Comum</t>
        </is>
      </c>
      <c r="D1907" s="11" t="inlineStr">
        <is>
          <t>{W}, {T}: Remove a -1/-1 counter from target creature. If you do, you gain 2 life. / {W}, {T}: Remova um marcador -1/-1 da criatura alvo. Se fizer isso, você ganhará 2 pontos de vida.</t>
        </is>
      </c>
      <c r="E1907" s="11" t="inlineStr">
        <is>
          <t>{5}{W}</t>
        </is>
      </c>
      <c r="F1907" s="11" t="inlineStr">
        <is>
          <t>Branco</t>
        </is>
      </c>
      <c r="G1907" s="8" t="n">
        <v>0.05</v>
      </c>
      <c r="H1907" s="11" t="inlineStr">
        <is>
          <t>Shadowmoor (SHM)</t>
        </is>
      </c>
      <c r="I1907" s="11" t="inlineStr">
        <is>
          <t>Não</t>
        </is>
      </c>
      <c r="J1907" s="11" t="n">
        <v>2008</v>
      </c>
      <c r="K1907" s="10" t="n">
        <v>46145</v>
      </c>
      <c r="L1907" s="11" t="n">
        <v>2</v>
      </c>
      <c r="M1907" s="8">
        <f>L1907*G1907</f>
        <v/>
      </c>
      <c r="P1907" s="9" t="n"/>
    </row>
    <row r="1908">
      <c r="A1908" s="11" t="inlineStr">
        <is>
          <t>Worship / Adoração</t>
        </is>
      </c>
      <c r="B1908" s="11" t="inlineStr">
        <is>
          <t>Enchantment / Encantamento</t>
        </is>
      </c>
      <c r="C1908" s="11" t="inlineStr">
        <is>
          <t>Rare / Rara</t>
        </is>
      </c>
      <c r="D1908" s="11" t="inlineStr">
        <is>
          <t>If you control a creature, damage that would reduce your life total to less than 1 reduces it to 1 instead. / Se você controlar uma criatura, o dano que reduziria seu total de pontos de vida para menos do que 1, em vez disso, o reduzirá para 1.</t>
        </is>
      </c>
      <c r="E1908" s="11" t="inlineStr">
        <is>
          <t>{3}{W}</t>
        </is>
      </c>
      <c r="F1908" s="11" t="inlineStr">
        <is>
          <t>Branco</t>
        </is>
      </c>
      <c r="G1908" s="8" t="n">
        <v>1.19</v>
      </c>
      <c r="H1908" s="11" t="inlineStr">
        <is>
          <t>Signature Spellbook: Gideon (SS2)</t>
        </is>
      </c>
      <c r="I1908" s="11" t="inlineStr">
        <is>
          <t>Não</t>
        </is>
      </c>
      <c r="J1908" s="11" t="n">
        <v>2019</v>
      </c>
      <c r="L1908" s="11" t="n">
        <v>1</v>
      </c>
      <c r="M1908" s="8">
        <f>L1908*G1908</f>
        <v/>
      </c>
      <c r="P1908" s="9" t="n"/>
    </row>
    <row r="1909">
      <c r="A1909" s="11" t="inlineStr">
        <is>
          <t>Knightly Valor / Heroísmo Cavaleiroso</t>
        </is>
      </c>
      <c r="B1909" s="11" t="inlineStr">
        <is>
          <t>Enchantment — Aura / Encantamento — Aura</t>
        </is>
      </c>
      <c r="C1909" s="11" t="inlineStr">
        <is>
          <t>Common / Comum</t>
        </is>
      </c>
      <c r="D1909" s="11"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1909" s="11" t="inlineStr">
        <is>
          <t>{4}{W}</t>
        </is>
      </c>
      <c r="F1909" s="11" t="inlineStr">
        <is>
          <t>Branco</t>
        </is>
      </c>
      <c r="G1909" s="8" t="n">
        <v>0.05</v>
      </c>
      <c r="H1909" s="11" t="inlineStr">
        <is>
          <t>Return to Ravnica (RTR)</t>
        </is>
      </c>
      <c r="I1909" s="11" t="inlineStr">
        <is>
          <t>Não</t>
        </is>
      </c>
      <c r="J1909" s="11" t="n">
        <v>2012</v>
      </c>
      <c r="L1909" s="11" t="n">
        <v>1</v>
      </c>
      <c r="M1909" s="8">
        <f>L1909*G1909</f>
        <v/>
      </c>
      <c r="P1909" s="9" t="n"/>
    </row>
    <row r="1910">
      <c r="A1910" s="11" t="inlineStr">
        <is>
          <t>Vryn Wingmare / Égua Alada de Vryn</t>
        </is>
      </c>
      <c r="B1910" s="11" t="inlineStr">
        <is>
          <t>Creature — Pegasus / Criatura — Pégaso</t>
        </is>
      </c>
      <c r="C1910" s="11" t="inlineStr">
        <is>
          <t>Rare / Rara</t>
        </is>
      </c>
      <c r="D1910" s="11" t="inlineStr">
        <is>
          <t>Flying Noncreature spells cost {1} more to cast. / Voar As mágicas que não sejam de criatura custam {1} a mais para serem conjuradas.</t>
        </is>
      </c>
      <c r="E1910" s="11" t="inlineStr">
        <is>
          <t>{2}{W}</t>
        </is>
      </c>
      <c r="F1910" s="11" t="inlineStr">
        <is>
          <t>Branco</t>
        </is>
      </c>
      <c r="G1910" s="8" t="n">
        <v>0.28</v>
      </c>
      <c r="H1910" s="11" t="inlineStr">
        <is>
          <t>Magic Origins (ORI)</t>
        </is>
      </c>
      <c r="I1910" s="11" t="inlineStr">
        <is>
          <t>Não</t>
        </is>
      </c>
      <c r="J1910" s="11" t="n">
        <v>2015</v>
      </c>
      <c r="K1910" s="10" t="n">
        <v>46024</v>
      </c>
      <c r="L1910" s="11" t="n">
        <v>1</v>
      </c>
      <c r="M1910" s="8">
        <f>L1910*G1910</f>
        <v/>
      </c>
      <c r="P1910" s="9" t="n"/>
    </row>
    <row r="1911">
      <c r="A1911" s="11" t="inlineStr">
        <is>
          <t>Befriending the Moths // Imperial Moth / Confraternizar com as Mariposas // Mariposa Imperial</t>
        </is>
      </c>
      <c r="B1911" s="11" t="inlineStr">
        <is>
          <t>Enchantment — Saga // Enchantment Creature — Insect / Encantamento — Saga</t>
        </is>
      </c>
      <c r="C1911" s="11" t="inlineStr">
        <is>
          <t>Common / Comum</t>
        </is>
      </c>
      <c r="D1911" s="11"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1911" s="11" t="inlineStr">
        <is>
          <t>{3}{W}</t>
        </is>
      </c>
      <c r="F1911" s="11" t="inlineStr">
        <is>
          <t>Branco</t>
        </is>
      </c>
      <c r="G1911" s="8" t="n">
        <v>0.06</v>
      </c>
      <c r="H1911" s="11" t="inlineStr">
        <is>
          <t>Kamigawa: Neon Dynasty (NEO)</t>
        </is>
      </c>
      <c r="I1911" s="11" t="inlineStr">
        <is>
          <t>Não</t>
        </is>
      </c>
      <c r="J1911" s="11" t="n">
        <v>2022</v>
      </c>
      <c r="K1911" s="10" t="n">
        <v>46114</v>
      </c>
      <c r="L1911" s="11" t="n">
        <v>1</v>
      </c>
      <c r="M1911" s="8">
        <f>L1911*G1911</f>
        <v/>
      </c>
      <c r="P1911" s="9" t="n"/>
    </row>
    <row r="1912">
      <c r="A1912" s="11" t="inlineStr">
        <is>
          <t>Era of Enlightenment // Hand of Enlightenment / Era da Iluminação // Mão da Iluminação</t>
        </is>
      </c>
      <c r="B1912" s="11" t="inlineStr">
        <is>
          <t>Enchantment — Saga // Enchantment Creature — Human Monk / Encantamento — Saga</t>
        </is>
      </c>
      <c r="C1912" s="11" t="inlineStr">
        <is>
          <t>Common / Comum</t>
        </is>
      </c>
      <c r="D1912" s="11"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1912" s="11" t="inlineStr">
        <is>
          <t>{1}{W}</t>
        </is>
      </c>
      <c r="F1912" s="11" t="inlineStr">
        <is>
          <t>Branco</t>
        </is>
      </c>
      <c r="G1912" s="8" t="n">
        <v>0.06</v>
      </c>
      <c r="H1912" s="11" t="inlineStr">
        <is>
          <t>Kamigawa: Neon Dynasty (NEO)</t>
        </is>
      </c>
      <c r="I1912" s="11" t="inlineStr">
        <is>
          <t>Não</t>
        </is>
      </c>
      <c r="J1912" s="11" t="n">
        <v>2022</v>
      </c>
      <c r="K1912" s="10" t="n">
        <v>46055</v>
      </c>
      <c r="L1912" s="11" t="n">
        <v>1</v>
      </c>
      <c r="M1912" s="8">
        <f>L1912*G1912</f>
        <v/>
      </c>
      <c r="P1912" s="9" t="n"/>
    </row>
    <row r="1913">
      <c r="A1913" s="11" t="inlineStr">
        <is>
          <t>Intercessor's Arrest / Prisão do Intercessor</t>
        </is>
      </c>
      <c r="B1913" s="11" t="inlineStr">
        <is>
          <t>Enchantment — Aura / Encantamento — Aura</t>
        </is>
      </c>
      <c r="C1913" s="11" t="inlineStr">
        <is>
          <t>Common / Comum</t>
        </is>
      </c>
      <c r="D1913" s="11"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1913" s="11" t="inlineStr">
        <is>
          <t>{2}{W}</t>
        </is>
      </c>
      <c r="F1913" s="11" t="inlineStr">
        <is>
          <t>Branco</t>
        </is>
      </c>
      <c r="G1913" s="8" t="n">
        <v>0.1</v>
      </c>
      <c r="H1913" s="11" t="inlineStr">
        <is>
          <t>Kamigawa: Neon Dynasty (NEO)</t>
        </is>
      </c>
      <c r="I1913" s="11" t="inlineStr">
        <is>
          <t>Não</t>
        </is>
      </c>
      <c r="J1913" s="11" t="n">
        <v>2022</v>
      </c>
      <c r="L1913" s="11" t="n">
        <v>1</v>
      </c>
      <c r="M1913" s="8">
        <f>L1913*G1913</f>
        <v/>
      </c>
      <c r="P1913" s="9" t="n"/>
    </row>
    <row r="1914">
      <c r="A1914" s="11" t="inlineStr">
        <is>
          <t>Destroy Evil / Destruir o Mal</t>
        </is>
      </c>
      <c r="B1914" s="11" t="inlineStr">
        <is>
          <t>Instant / Mágica Instantânea</t>
        </is>
      </c>
      <c r="C1914" s="11" t="inlineStr">
        <is>
          <t>Common / Comum</t>
        </is>
      </c>
      <c r="D1914" s="11" t="inlineStr">
        <is>
          <t>Choose one — • Destroy target creature with toughness 4 or greater. • Destroy target enchantment. / Escolha um — • Destrua a criatura alvo com resistência igual ou superior a 4. • Destrua o encantamento alvo.</t>
        </is>
      </c>
      <c r="E1914" s="11" t="inlineStr">
        <is>
          <t>{1}{W}</t>
        </is>
      </c>
      <c r="F1914" s="11" t="inlineStr">
        <is>
          <t>Branco</t>
        </is>
      </c>
      <c r="G1914" s="8" t="n">
        <v>1.08</v>
      </c>
      <c r="H1914" s="11" t="inlineStr">
        <is>
          <t>Dominaria United (DMU)</t>
        </is>
      </c>
      <c r="I1914" s="11" t="inlineStr">
        <is>
          <t>Não</t>
        </is>
      </c>
      <c r="J1914" s="11" t="n">
        <v>2022</v>
      </c>
      <c r="L1914" s="11" t="n">
        <v>1</v>
      </c>
      <c r="M1914" s="8">
        <f>L1914*G1914</f>
        <v/>
      </c>
      <c r="P1914" s="9" t="n"/>
    </row>
    <row r="1915">
      <c r="A1915" s="11" t="inlineStr">
        <is>
          <t>Regent's Authority / Autoridade da Regente</t>
        </is>
      </c>
      <c r="B1915" s="11" t="inlineStr">
        <is>
          <t>Instant / Mágica Instantânea</t>
        </is>
      </c>
      <c r="C1915" s="11" t="inlineStr">
        <is>
          <t>Common / Comum</t>
        </is>
      </c>
      <c r="D1915" s="11"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1915" s="11" t="inlineStr">
        <is>
          <t>{W}</t>
        </is>
      </c>
      <c r="F1915" s="11" t="inlineStr">
        <is>
          <t>Branco</t>
        </is>
      </c>
      <c r="G1915" s="8" t="n">
        <v>0.06</v>
      </c>
      <c r="H1915" s="11" t="inlineStr">
        <is>
          <t>Kamigawa: Neon Dynasty (NEO)</t>
        </is>
      </c>
      <c r="I1915" s="11" t="inlineStr">
        <is>
          <t>Não</t>
        </is>
      </c>
      <c r="J1915" s="11" t="n">
        <v>2022</v>
      </c>
      <c r="L1915" s="11" t="n">
        <v>1</v>
      </c>
      <c r="M1915" s="8">
        <f>L1915*G1915</f>
        <v/>
      </c>
      <c r="P1915" s="9" t="n"/>
    </row>
    <row r="1916">
      <c r="A1916" s="11" t="inlineStr">
        <is>
          <t>Eiganjo Exemplar / Exemplar de Eiganjo</t>
        </is>
      </c>
      <c r="B1916" s="11" t="inlineStr">
        <is>
          <t>Enchantment Creature — Human Samurai / Criatura Encantamento — Humano Samurai</t>
        </is>
      </c>
      <c r="C1916" s="11" t="inlineStr">
        <is>
          <t>Common / Comum</t>
        </is>
      </c>
      <c r="D1916" s="11" t="inlineStr">
        <is>
          <t>Whenever a Samurai or Warrior you control attacks alone, it gets +1/+1 until end of turn. / Toda vez que um Samurai ou Guerreiro que você controla ataca sozinho, ele recebe +1/+1 até o final do turno.</t>
        </is>
      </c>
      <c r="E1916" s="11" t="inlineStr">
        <is>
          <t>{1}{W}</t>
        </is>
      </c>
      <c r="F1916" s="11" t="inlineStr">
        <is>
          <t>Branco</t>
        </is>
      </c>
      <c r="G1916" s="8" t="n">
        <v>0.06</v>
      </c>
      <c r="H1916" s="11" t="inlineStr">
        <is>
          <t>Kamigawa: Neon Dynasty (NEO)</t>
        </is>
      </c>
      <c r="I1916" s="11" t="inlineStr">
        <is>
          <t>Não</t>
        </is>
      </c>
      <c r="J1916" s="11" t="n">
        <v>2022</v>
      </c>
      <c r="K1916" s="10" t="n">
        <v>46024</v>
      </c>
      <c r="L1916" s="11" t="n">
        <v>1</v>
      </c>
      <c r="M1916" s="8">
        <f>L1916*G1916</f>
        <v/>
      </c>
      <c r="P1916" s="9" t="n"/>
    </row>
    <row r="1917">
      <c r="A1917" s="11" t="inlineStr">
        <is>
          <t>White Lotus Hideout</t>
        </is>
      </c>
      <c r="B1917" s="11" t="inlineStr">
        <is>
          <t>Land</t>
        </is>
      </c>
      <c r="C1917" s="11" t="inlineStr">
        <is>
          <t>Uncommon / Incomum</t>
        </is>
      </c>
      <c r="D1917" s="11" t="inlineStr">
        <is>
          <t>{T}: Add {C}. {T}: Add one mana of any color. Spend this mana only to cast a Lesson or Shrine spell. {1}, {T}: Add one mana of any color.</t>
        </is>
      </c>
      <c r="F1917" s="11" t="inlineStr">
        <is>
          <t>Incolor</t>
        </is>
      </c>
      <c r="G1917" s="8" t="n">
        <v>0.24</v>
      </c>
      <c r="H1917" s="11" t="inlineStr">
        <is>
          <t>Avatar: The Last Airbender (TLA)</t>
        </is>
      </c>
      <c r="I1917" s="11" t="inlineStr">
        <is>
          <t>Não</t>
        </is>
      </c>
      <c r="J1917" s="11" t="n">
        <v>2025</v>
      </c>
      <c r="L1917" s="11" t="n">
        <v>1</v>
      </c>
      <c r="M1917" s="8">
        <f>L1917*G1917</f>
        <v/>
      </c>
      <c r="P1917" s="9" t="n"/>
    </row>
    <row r="1918">
      <c r="A1918" s="11" t="inlineStr">
        <is>
          <t>Abandoned Air Temple</t>
        </is>
      </c>
      <c r="B1918" s="11" t="inlineStr">
        <is>
          <t>Land</t>
        </is>
      </c>
      <c r="C1918" s="11" t="inlineStr">
        <is>
          <t>Rare / Rara</t>
        </is>
      </c>
      <c r="D1918" s="11" t="inlineStr">
        <is>
          <t>This land enters tapped unless you control a basic land. {T}: Add {W}. {3}{W}, {T}: Put a +1/+1 counter on each creature you control.</t>
        </is>
      </c>
      <c r="F1918" s="11" t="inlineStr">
        <is>
          <t>Branco</t>
        </is>
      </c>
      <c r="G1918" s="8" t="n">
        <v>40</v>
      </c>
      <c r="H1918" s="11" t="inlineStr">
        <is>
          <t>Avatar: The Last Airbender (TLA)</t>
        </is>
      </c>
      <c r="I1918" s="11" t="inlineStr">
        <is>
          <t>Não</t>
        </is>
      </c>
      <c r="J1918" s="11" t="n">
        <v>2025</v>
      </c>
      <c r="L1918" s="11" t="n">
        <v>1</v>
      </c>
      <c r="M1918" s="8">
        <f>L1918*G1918</f>
        <v/>
      </c>
      <c r="P1918" s="9" t="n"/>
    </row>
    <row r="1919">
      <c r="A1919" s="11" t="inlineStr">
        <is>
          <t>Boiling Rock Prison</t>
        </is>
      </c>
      <c r="B1919" s="11" t="inlineStr">
        <is>
          <t>Land</t>
        </is>
      </c>
      <c r="C1919" s="11" t="inlineStr">
        <is>
          <t>Common / Comum</t>
        </is>
      </c>
      <c r="D1919" s="11" t="inlineStr">
        <is>
          <t>This land enters tapped. {T}: Add {B} or {R}. {4}, {T}, Sacrifice this land: Draw a card.</t>
        </is>
      </c>
      <c r="F1919" s="11" t="inlineStr">
        <is>
          <t>Preto, Vermelho</t>
        </is>
      </c>
      <c r="G1919" s="8" t="n">
        <v>0.14</v>
      </c>
      <c r="H1919" s="11" t="inlineStr">
        <is>
          <t>Avatar: The Last Airbender (TLA)</t>
        </is>
      </c>
      <c r="I1919" s="11" t="inlineStr">
        <is>
          <t>Não</t>
        </is>
      </c>
      <c r="J1919" s="11" t="n">
        <v>2025</v>
      </c>
      <c r="L1919" s="11" t="n">
        <v>1</v>
      </c>
      <c r="M1919" s="8">
        <f>L1919*G1919</f>
        <v/>
      </c>
      <c r="P1919" s="9" t="n"/>
    </row>
    <row r="1920">
      <c r="A1920" s="11" t="inlineStr">
        <is>
          <t>Sun-Blessed Peak</t>
        </is>
      </c>
      <c r="B1920" s="11" t="inlineStr">
        <is>
          <t>Land</t>
        </is>
      </c>
      <c r="C1920" s="11" t="inlineStr">
        <is>
          <t>Common / Comum</t>
        </is>
      </c>
      <c r="D1920" s="11" t="inlineStr">
        <is>
          <t>This land enters tapped. {T}: Add {R} or {W}. {4}, {T}, Sacrifice this land: Draw a card.</t>
        </is>
      </c>
      <c r="F1920" s="11" t="inlineStr">
        <is>
          <t>Vermelho, Branco</t>
        </is>
      </c>
      <c r="G1920" s="8" t="n">
        <v>0.15</v>
      </c>
      <c r="H1920" s="11" t="inlineStr">
        <is>
          <t>Avatar: The Last Airbender (TLA)</t>
        </is>
      </c>
      <c r="I1920" s="11" t="inlineStr">
        <is>
          <t>Não</t>
        </is>
      </c>
      <c r="J1920" s="11" t="n">
        <v>2025</v>
      </c>
      <c r="L1920" s="11" t="n">
        <v>1</v>
      </c>
      <c r="M1920" s="8">
        <f>L1920*G1920</f>
        <v/>
      </c>
      <c r="P1920" s="9" t="n"/>
    </row>
    <row r="1921">
      <c r="A1921" s="11" t="inlineStr">
        <is>
          <t>Kyoshi Village</t>
        </is>
      </c>
      <c r="B1921" s="11" t="inlineStr">
        <is>
          <t>Land</t>
        </is>
      </c>
      <c r="C1921" s="11" t="inlineStr">
        <is>
          <t>Common / Comum</t>
        </is>
      </c>
      <c r="D1921" s="11" t="inlineStr">
        <is>
          <t>This land enters tapped. {T}: Add {G} or {W}. {4}, {T}, Sacrifice this land: Draw a card.</t>
        </is>
      </c>
      <c r="F1921" s="11" t="inlineStr">
        <is>
          <t>Verde, Branco</t>
        </is>
      </c>
      <c r="G1921" s="8" t="n">
        <v>0.1</v>
      </c>
      <c r="H1921" s="11" t="inlineStr">
        <is>
          <t>Avatar: The Last Airbender (TLA)</t>
        </is>
      </c>
      <c r="I1921" s="11" t="inlineStr">
        <is>
          <t>Não</t>
        </is>
      </c>
      <c r="J1921" s="11" t="n">
        <v>2025</v>
      </c>
      <c r="L1921" s="11" t="n">
        <v>1</v>
      </c>
      <c r="M1921" s="8">
        <f>L1921*G1921</f>
        <v/>
      </c>
      <c r="P1921" s="9" t="n"/>
    </row>
    <row r="1922">
      <c r="A1922" s="11" t="inlineStr">
        <is>
          <t>North Pole Gates</t>
        </is>
      </c>
      <c r="B1922" s="11" t="inlineStr">
        <is>
          <t>Land</t>
        </is>
      </c>
      <c r="C1922" s="11" t="inlineStr">
        <is>
          <t>Common / Comum</t>
        </is>
      </c>
      <c r="D1922" s="11" t="inlineStr">
        <is>
          <t>This land enters tapped. {T}: Add {W} or {U}. {4}, {T}, Sacrifice this land: Draw a card.</t>
        </is>
      </c>
      <c r="F1922" s="11" t="inlineStr">
        <is>
          <t>Azul, Branco</t>
        </is>
      </c>
      <c r="G1922" s="8" t="n">
        <v>0.27</v>
      </c>
      <c r="H1922" s="11" t="inlineStr">
        <is>
          <t>Avatar: The Last Airbender (TLA)</t>
        </is>
      </c>
      <c r="I1922" s="11" t="inlineStr">
        <is>
          <t>Sim</t>
        </is>
      </c>
      <c r="J1922" s="11" t="n">
        <v>2025</v>
      </c>
      <c r="L1922" s="11" t="n">
        <v>1</v>
      </c>
      <c r="M1922" s="8">
        <f>L1922*G1922</f>
        <v/>
      </c>
      <c r="P1922" s="9" t="n"/>
    </row>
    <row r="1923">
      <c r="A1923" s="11" t="inlineStr">
        <is>
          <t>Trusty Boomerang</t>
        </is>
      </c>
      <c r="B1923" s="11" t="inlineStr">
        <is>
          <t>Artifact — Equipment</t>
        </is>
      </c>
      <c r="C1923" s="11" t="inlineStr">
        <is>
          <t>Uncommon / Incomum</t>
        </is>
      </c>
      <c r="D1923" s="11" t="inlineStr">
        <is>
          <t>Equipped creature has "{1}, {T}: Tap target creature. Return Trusty Boomerang to its owner's hand." Equip {1} ({1}: Attach to target creature you control. Equip only as a sorcery.)</t>
        </is>
      </c>
      <c r="E1923" s="11" t="inlineStr">
        <is>
          <t>{1}</t>
        </is>
      </c>
      <c r="F1923" s="11" t="inlineStr">
        <is>
          <t>Incolor</t>
        </is>
      </c>
      <c r="G1923" s="8" t="n">
        <v>0.1</v>
      </c>
      <c r="H1923" s="11" t="inlineStr">
        <is>
          <t>Avatar: The Last Airbender (TLA)</t>
        </is>
      </c>
      <c r="I1923" s="11" t="inlineStr">
        <is>
          <t>Não</t>
        </is>
      </c>
      <c r="J1923" s="11" t="n">
        <v>2025</v>
      </c>
      <c r="L1923" s="11" t="n">
        <v>1</v>
      </c>
      <c r="M1923" s="8">
        <f>L1923*G1923</f>
        <v/>
      </c>
      <c r="P1923" s="9" t="n"/>
    </row>
    <row r="1924">
      <c r="A1924" s="11" t="inlineStr">
        <is>
          <t>Bender's Waterskin</t>
        </is>
      </c>
      <c r="B1924" s="11" t="inlineStr">
        <is>
          <t>Artifact</t>
        </is>
      </c>
      <c r="C1924" s="11" t="inlineStr">
        <is>
          <t>Common / Comum</t>
        </is>
      </c>
      <c r="D1924" s="11" t="inlineStr">
        <is>
          <t>Untap this artifact during each other player's untap step. {T}: Add one mana of any color.</t>
        </is>
      </c>
      <c r="E1924" s="11" t="inlineStr">
        <is>
          <t>{3}</t>
        </is>
      </c>
      <c r="F1924" s="11" t="inlineStr">
        <is>
          <t>Incolor</t>
        </is>
      </c>
      <c r="G1924" s="8" t="n">
        <v>0.49</v>
      </c>
      <c r="H1924" s="11" t="inlineStr">
        <is>
          <t>Avatar: The Last Airbender (TLA)</t>
        </is>
      </c>
      <c r="I1924" s="11" t="inlineStr">
        <is>
          <t>Não</t>
        </is>
      </c>
      <c r="J1924" s="11" t="n">
        <v>2025</v>
      </c>
      <c r="L1924" s="11" t="n">
        <v>2</v>
      </c>
      <c r="M1924" s="8">
        <f>L1924*G1924</f>
        <v/>
      </c>
      <c r="P1924" s="9" t="n"/>
    </row>
    <row r="1925">
      <c r="A1925" s="11" t="inlineStr">
        <is>
          <t>Kyoshi Battle Fan</t>
        </is>
      </c>
      <c r="B1925" s="11" t="inlineStr">
        <is>
          <t>Artifact — Equipment</t>
        </is>
      </c>
      <c r="C1925" s="11" t="inlineStr">
        <is>
          <t>Common / Comum</t>
        </is>
      </c>
      <c r="D1925" s="11" t="inlineStr">
        <is>
          <t>When this Equipment enters, create a 1/1 white Ally creature token, then attach this Equipment to it. Equipped creature gets +1/+0. Equip {2} ({2}: Attach to target creature you control. Equip only as a sorcery.)</t>
        </is>
      </c>
      <c r="E1925" s="11" t="inlineStr">
        <is>
          <t>{2}</t>
        </is>
      </c>
      <c r="F1925" s="11" t="inlineStr">
        <is>
          <t>Incolor</t>
        </is>
      </c>
      <c r="G1925" s="8" t="n">
        <v>0.04</v>
      </c>
      <c r="H1925" s="11" t="inlineStr">
        <is>
          <t>Avatar: The Last Airbender (TLA)</t>
        </is>
      </c>
      <c r="I1925" s="11" t="inlineStr">
        <is>
          <t>Não</t>
        </is>
      </c>
      <c r="J1925" s="11" t="n">
        <v>2025</v>
      </c>
      <c r="L1925" s="11" t="n">
        <v>2</v>
      </c>
      <c r="M1925" s="8">
        <f>L1925*G1925</f>
        <v/>
      </c>
      <c r="P1925" s="9" t="n"/>
    </row>
    <row r="1926">
      <c r="A1926" s="11" t="inlineStr">
        <is>
          <t>Aang's Journey</t>
        </is>
      </c>
      <c r="B1926" s="11" t="inlineStr">
        <is>
          <t>Sorcery — Lesson</t>
        </is>
      </c>
      <c r="C1926" s="11" t="inlineStr">
        <is>
          <t>Common / Comum</t>
        </is>
      </c>
      <c r="D1926" s="11"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6" s="11" t="inlineStr">
        <is>
          <t>{2}</t>
        </is>
      </c>
      <c r="F1926" s="11" t="inlineStr">
        <is>
          <t>Incolor</t>
        </is>
      </c>
      <c r="G1926" s="8" t="n">
        <v>0.17</v>
      </c>
      <c r="H1926" s="11" t="inlineStr">
        <is>
          <t>Avatar: The Last Airbender (TLA)</t>
        </is>
      </c>
      <c r="I1926" s="11" t="inlineStr">
        <is>
          <t>Não</t>
        </is>
      </c>
      <c r="J1926" s="11" t="n">
        <v>2025</v>
      </c>
      <c r="L1926" s="11" t="n">
        <v>1</v>
      </c>
      <c r="M1926" s="8">
        <f>L1926*G1926</f>
        <v/>
      </c>
      <c r="P1926" s="9" t="n"/>
    </row>
    <row r="1927">
      <c r="A1927" s="11" t="inlineStr">
        <is>
          <t>Aang's Journey</t>
        </is>
      </c>
      <c r="B1927" s="11" t="inlineStr">
        <is>
          <t>Sorcery — Lesson</t>
        </is>
      </c>
      <c r="C1927" s="11" t="inlineStr">
        <is>
          <t>Common / Comum</t>
        </is>
      </c>
      <c r="D1927" s="11"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7" s="11" t="inlineStr">
        <is>
          <t>{2}</t>
        </is>
      </c>
      <c r="F1927" s="11" t="inlineStr">
        <is>
          <t>Incolor</t>
        </is>
      </c>
      <c r="G1927" s="8" t="n">
        <v>0.4</v>
      </c>
      <c r="H1927" s="11" t="inlineStr">
        <is>
          <t>Avatar: The Last Airbender (TLA)</t>
        </is>
      </c>
      <c r="I1927" s="11" t="inlineStr">
        <is>
          <t>Sim</t>
        </is>
      </c>
      <c r="J1927" s="11" t="n">
        <v>2025</v>
      </c>
      <c r="L1927" s="11" t="n">
        <v>1</v>
      </c>
      <c r="M1927" s="8">
        <f>L1927*G1927</f>
        <v/>
      </c>
      <c r="P1927" s="9" t="n"/>
    </row>
    <row r="1928">
      <c r="A1928" s="11" t="inlineStr">
        <is>
          <t>Energybending</t>
        </is>
      </c>
      <c r="B1928" s="11" t="inlineStr">
        <is>
          <t>Instant — Lesson</t>
        </is>
      </c>
      <c r="C1928" s="11" t="inlineStr">
        <is>
          <t>Uncommon / Incomum</t>
        </is>
      </c>
      <c r="D1928" s="11" t="inlineStr">
        <is>
          <t>Lands you control gain all basic land types until end of turn. Draw a card.</t>
        </is>
      </c>
      <c r="E1928" s="11" t="inlineStr">
        <is>
          <t>{2}</t>
        </is>
      </c>
      <c r="F1928" s="11" t="inlineStr">
        <is>
          <t>Incolor</t>
        </is>
      </c>
      <c r="G1928" s="8" t="n">
        <v>0.47</v>
      </c>
      <c r="H1928" s="11" t="inlineStr">
        <is>
          <t>Avatar: The Last Airbender (TLA)</t>
        </is>
      </c>
      <c r="I1928" s="11" t="inlineStr">
        <is>
          <t>Sim</t>
        </is>
      </c>
      <c r="J1928" s="11" t="n">
        <v>2025</v>
      </c>
      <c r="L1928" s="11" t="n">
        <v>1</v>
      </c>
      <c r="M1928" s="8">
        <f>L1928*G1928</f>
        <v/>
      </c>
      <c r="P1928" s="9" t="n"/>
    </row>
    <row r="1929">
      <c r="A1929" s="11" t="inlineStr">
        <is>
          <t>Meteor Sword</t>
        </is>
      </c>
      <c r="B1929" s="11" t="inlineStr">
        <is>
          <t>Artifact — Equipment</t>
        </is>
      </c>
      <c r="C1929" s="11" t="inlineStr">
        <is>
          <t>Uncommon / Incomum</t>
        </is>
      </c>
      <c r="D1929" s="11" t="inlineStr">
        <is>
          <t>When this Equipment enters, destroy target permanent. Equipped creature gets +3/+3. Equip {3} ({3}: Attach to target creature you control. Equip only as a sorcery.)</t>
        </is>
      </c>
      <c r="E1929" s="11" t="inlineStr">
        <is>
          <t>{7}</t>
        </is>
      </c>
      <c r="F1929" s="11" t="inlineStr">
        <is>
          <t>Incolor</t>
        </is>
      </c>
      <c r="G1929" s="8" t="n">
        <v>0.1</v>
      </c>
      <c r="H1929" s="11" t="inlineStr">
        <is>
          <t>Avatar: The Last Airbender (TLA)</t>
        </is>
      </c>
      <c r="I1929" s="11" t="inlineStr">
        <is>
          <t>Não</t>
        </is>
      </c>
      <c r="J1929" s="11" t="n">
        <v>2025</v>
      </c>
      <c r="L1929" s="11" t="n">
        <v>1</v>
      </c>
      <c r="M1929" s="8">
        <f>L1929*G1929</f>
        <v/>
      </c>
      <c r="P1929" s="9" t="n"/>
    </row>
    <row r="1930">
      <c r="A1930" s="11" t="inlineStr">
        <is>
          <t>Fire Nation Warship</t>
        </is>
      </c>
      <c r="B1930" s="11" t="inlineStr">
        <is>
          <t>Artifact — Vehicle</t>
        </is>
      </c>
      <c r="C1930" s="11" t="inlineStr">
        <is>
          <t>Uncommon / Incomum</t>
        </is>
      </c>
      <c r="D1930" s="11" t="inlineStr">
        <is>
          <t>Reach When this Vehicle dies, create a Clue token. (It's an artifact with "{2}, Sacrifice this token: Draw a card.") Crew 2 (Tap any number of creatures you control with total power 2 or more: This Vehicle becomes an artifact creature until end of turn.)</t>
        </is>
      </c>
      <c r="E1930" s="11" t="inlineStr">
        <is>
          <t>{3}</t>
        </is>
      </c>
      <c r="F1930" s="11" t="inlineStr">
        <is>
          <t>Incolor</t>
        </is>
      </c>
      <c r="G1930" s="8" t="n">
        <v>0.06</v>
      </c>
      <c r="H1930" s="11" t="inlineStr">
        <is>
          <t>Avatar: The Last Airbender (TLA)</t>
        </is>
      </c>
      <c r="I1930" s="11" t="inlineStr">
        <is>
          <t>Não</t>
        </is>
      </c>
      <c r="J1930" s="11" t="n">
        <v>2025</v>
      </c>
      <c r="K1930" s="10" t="n">
        <v>46116</v>
      </c>
      <c r="L1930" s="11" t="n">
        <v>1</v>
      </c>
      <c r="M1930" s="8">
        <f>L1930*G1930</f>
        <v/>
      </c>
      <c r="P1930" s="9" t="n"/>
    </row>
    <row r="1931">
      <c r="A1931" s="11" t="inlineStr">
        <is>
          <t>Fire Navy Trebuchet</t>
        </is>
      </c>
      <c r="B1931" s="11" t="inlineStr">
        <is>
          <t>Artifact Creature — Wall</t>
        </is>
      </c>
      <c r="C1931" s="11" t="inlineStr">
        <is>
          <t>Uncommon / Incomum</t>
        </is>
      </c>
      <c r="D1931" s="11" t="inlineStr">
        <is>
          <t>Defender, reach Whenever you attack, create a 2/1 colorless Construct artifact creature token with flying named Ballistic Boulder that's tapped and attacking. Sacrifice that token at the beginning of the next end step.</t>
        </is>
      </c>
      <c r="E1931" s="11" t="inlineStr">
        <is>
          <t>{2}{B}</t>
        </is>
      </c>
      <c r="F1931" s="11" t="inlineStr">
        <is>
          <t>Preto</t>
        </is>
      </c>
      <c r="G1931" s="8" t="n">
        <v>0.4</v>
      </c>
      <c r="H1931" s="11" t="inlineStr">
        <is>
          <t>Avatar: The Last Airbender (TLA)</t>
        </is>
      </c>
      <c r="I1931" s="11" t="inlineStr">
        <is>
          <t>Sim</t>
        </is>
      </c>
      <c r="J1931" s="11" t="n">
        <v>2025</v>
      </c>
      <c r="K1931" s="11" t="inlineStr">
        <is>
          <t>0/4</t>
        </is>
      </c>
      <c r="L1931" s="11" t="n">
        <v>1</v>
      </c>
      <c r="M1931" s="8">
        <f>L1931*G1931</f>
        <v/>
      </c>
      <c r="P1931" s="9" t="n"/>
    </row>
    <row r="1932">
      <c r="A1932" s="11" t="inlineStr">
        <is>
          <t>Airbending Lesson</t>
        </is>
      </c>
      <c r="B1932" s="11" t="inlineStr">
        <is>
          <t>Instant — Lesson</t>
        </is>
      </c>
      <c r="C1932" s="11" t="inlineStr">
        <is>
          <t>Common / Comum</t>
        </is>
      </c>
      <c r="D1932" s="11" t="inlineStr">
        <is>
          <t>Airbend target nonland permanent. (Exile it. While it's exiled, its owner may cast it for {2} rather than its mana cost.) Draw a card.</t>
        </is>
      </c>
      <c r="E1932" s="11" t="inlineStr">
        <is>
          <t>{2}{W}</t>
        </is>
      </c>
      <c r="F1932" s="11" t="inlineStr">
        <is>
          <t>Branco</t>
        </is>
      </c>
      <c r="G1932" s="8" t="n">
        <v>0.1</v>
      </c>
      <c r="H1932" s="11" t="inlineStr">
        <is>
          <t>Avatar: The Last Airbender (TLA)</t>
        </is>
      </c>
      <c r="I1932" s="11" t="inlineStr">
        <is>
          <t>Não</t>
        </is>
      </c>
      <c r="J1932" s="11" t="n">
        <v>2025</v>
      </c>
      <c r="L1932" s="11" t="n">
        <v>3</v>
      </c>
      <c r="M1932" s="8">
        <f>L1932*G1932</f>
        <v/>
      </c>
      <c r="P1932" s="9" t="n"/>
    </row>
    <row r="1933">
      <c r="A1933" s="11" t="inlineStr">
        <is>
          <t>Rabaroo Troop</t>
        </is>
      </c>
      <c r="B1933" s="11" t="inlineStr">
        <is>
          <t>Creature — Rabbit Kangaroo</t>
        </is>
      </c>
      <c r="C1933" s="11" t="inlineStr">
        <is>
          <t>Common / Comum</t>
        </is>
      </c>
      <c r="D1933" s="11" t="inlineStr">
        <is>
          <t>Landfall — Whenever a land you control enters, this creature gains flying until end of turn and you gain 1 life. Plainscycling {2} ({2}, Discard this card: Search your library for a Plains card, reveal it, put it into your hand, then shuffle.)</t>
        </is>
      </c>
      <c r="E1933" s="11" t="inlineStr">
        <is>
          <t>{3}{W}{W}</t>
        </is>
      </c>
      <c r="F1933" s="11" t="inlineStr">
        <is>
          <t>Branco</t>
        </is>
      </c>
      <c r="G1933" s="8" t="n">
        <v>0.03</v>
      </c>
      <c r="H1933" s="11" t="inlineStr">
        <is>
          <t>Avatar: The Last Airbender (TLA)</t>
        </is>
      </c>
      <c r="I1933" s="11" t="inlineStr">
        <is>
          <t>Não</t>
        </is>
      </c>
      <c r="J1933" s="11" t="n">
        <v>2025</v>
      </c>
      <c r="K1933" s="10" t="n">
        <v>46145</v>
      </c>
      <c r="L1933" s="11" t="n">
        <v>3</v>
      </c>
      <c r="M1933" s="8">
        <f>L1933*G1933</f>
        <v/>
      </c>
      <c r="P1933" s="9" t="n"/>
    </row>
    <row r="1934">
      <c r="A1934" s="11" t="inlineStr">
        <is>
          <t>Curious Farm Animals</t>
        </is>
      </c>
      <c r="B1934" s="11" t="inlineStr">
        <is>
          <t>Creature — Boar Elk Bird Ox</t>
        </is>
      </c>
      <c r="C1934" s="11" t="inlineStr">
        <is>
          <t>Common / Comum</t>
        </is>
      </c>
      <c r="D1934" s="11" t="inlineStr">
        <is>
          <t>When this creature dies, you gain 3 life. {2}, Sacrifice this creature: Destroy up to one target artifact or enchantment.</t>
        </is>
      </c>
      <c r="E1934" s="11" t="inlineStr">
        <is>
          <t>{W}</t>
        </is>
      </c>
      <c r="F1934" s="11" t="inlineStr">
        <is>
          <t>Branco</t>
        </is>
      </c>
      <c r="G1934" s="8" t="n">
        <v>0.04</v>
      </c>
      <c r="H1934" s="11" t="inlineStr">
        <is>
          <t>Avatar: The Last Airbender (TLA)</t>
        </is>
      </c>
      <c r="I1934" s="11" t="inlineStr">
        <is>
          <t>Não</t>
        </is>
      </c>
      <c r="J1934" s="11" t="n">
        <v>2025</v>
      </c>
      <c r="K1934" s="10" t="n">
        <v>46023</v>
      </c>
      <c r="L1934" s="11" t="n">
        <v>5</v>
      </c>
      <c r="M1934" s="8">
        <f>L1934*G1934</f>
        <v/>
      </c>
      <c r="P1934" s="9" t="n"/>
    </row>
    <row r="1935">
      <c r="A1935" s="11" t="inlineStr">
        <is>
          <t>Avatar Enthusiasts</t>
        </is>
      </c>
      <c r="B1935" s="11" t="inlineStr">
        <is>
          <t>Creature — Human Peasant Ally</t>
        </is>
      </c>
      <c r="C1935" s="11" t="inlineStr">
        <is>
          <t>Common / Comum</t>
        </is>
      </c>
      <c r="D1935" s="11" t="inlineStr">
        <is>
          <t>Whenever another Ally you control enters, put a +1/+1 counter on this creature.</t>
        </is>
      </c>
      <c r="E1935" s="11" t="inlineStr">
        <is>
          <t>{2}{W}</t>
        </is>
      </c>
      <c r="F1935" s="11" t="inlineStr">
        <is>
          <t>Branco</t>
        </is>
      </c>
      <c r="G1935" s="8" t="n">
        <v>0.05</v>
      </c>
      <c r="H1935" s="11" t="inlineStr">
        <is>
          <t>Avatar: The Last Airbender (TLA)</t>
        </is>
      </c>
      <c r="I1935" s="11" t="inlineStr">
        <is>
          <t>Não</t>
        </is>
      </c>
      <c r="J1935" s="11" t="n">
        <v>2025</v>
      </c>
      <c r="K1935" s="10" t="n">
        <v>46055</v>
      </c>
      <c r="L1935" s="11" t="n">
        <v>3</v>
      </c>
      <c r="M1935" s="8">
        <f>L1935*G1935</f>
        <v/>
      </c>
      <c r="P1935" s="9" t="n"/>
    </row>
    <row r="1936">
      <c r="A1936" s="11" t="inlineStr">
        <is>
          <t>Enter the Avatar State</t>
        </is>
      </c>
      <c r="B1936" s="11" t="inlineStr">
        <is>
          <t>Instant — Lesson</t>
        </is>
      </c>
      <c r="C1936" s="11" t="inlineStr">
        <is>
          <t>Uncommon / Incomum</t>
        </is>
      </c>
      <c r="D1936" s="11" t="inlineStr">
        <is>
          <t>Until end of turn, target creature you control becomes an Avatar in addition to its other types and gains flying, first strike, lifelink, and hexproof. (A creature with hexproof can't be the target of spells or abilities your opponents control.)</t>
        </is>
      </c>
      <c r="E1936" s="11" t="inlineStr">
        <is>
          <t>{W}</t>
        </is>
      </c>
      <c r="F1936" s="11" t="inlineStr">
        <is>
          <t>Branco</t>
        </is>
      </c>
      <c r="G1936" s="8" t="n">
        <v>0.25</v>
      </c>
      <c r="H1936" s="11" t="inlineStr">
        <is>
          <t>Avatar: The Last Airbender (TLA)</t>
        </is>
      </c>
      <c r="I1936" s="11" t="inlineStr">
        <is>
          <t>Não</t>
        </is>
      </c>
      <c r="J1936" s="11" t="n">
        <v>2025</v>
      </c>
      <c r="L1936" s="11" t="n">
        <v>1</v>
      </c>
      <c r="M1936" s="8">
        <f>L1936*G1936</f>
        <v/>
      </c>
      <c r="P1936" s="9" t="n"/>
    </row>
    <row r="1937">
      <c r="A1937" s="11" t="inlineStr">
        <is>
          <t>Path to Redemption</t>
        </is>
      </c>
      <c r="B1937" s="11" t="inlineStr">
        <is>
          <t>Enchantment — Aura</t>
        </is>
      </c>
      <c r="C1937" s="11" t="inlineStr">
        <is>
          <t>Common / Comum</t>
        </is>
      </c>
      <c r="D1937" s="11" t="inlineStr">
        <is>
          <t>Enchant creature Enchanted creature can't attack or block. {5}, Sacrifice this Aura: Exile enchanted creature. Create a 1/1 white Ally creature token. Activate only during your turn.</t>
        </is>
      </c>
      <c r="E1937" s="11" t="inlineStr">
        <is>
          <t>{1}{W}</t>
        </is>
      </c>
      <c r="F1937" s="11" t="inlineStr">
        <is>
          <t>Branco</t>
        </is>
      </c>
      <c r="G1937" s="8" t="n">
        <v>0.05</v>
      </c>
      <c r="H1937" s="11" t="inlineStr">
        <is>
          <t>Avatar: The Last Airbender (TLA)</t>
        </is>
      </c>
      <c r="I1937" s="11" t="inlineStr">
        <is>
          <t>Não</t>
        </is>
      </c>
      <c r="J1937" s="11" t="n">
        <v>2025</v>
      </c>
      <c r="L1937" s="11" t="n">
        <v>1</v>
      </c>
      <c r="M1937" s="8">
        <f>L1937*G1937</f>
        <v/>
      </c>
      <c r="P1937" s="9" t="n"/>
    </row>
    <row r="1938">
      <c r="A1938" s="11" t="inlineStr">
        <is>
          <t>Water Tribe Rallier</t>
        </is>
      </c>
      <c r="B1938" s="11" t="inlineStr">
        <is>
          <t>Creature — Human Soldier Ally</t>
        </is>
      </c>
      <c r="C1938" s="11" t="inlineStr">
        <is>
          <t>Uncommon / Incomum</t>
        </is>
      </c>
      <c r="D1938" s="11"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1938" s="11" t="inlineStr">
        <is>
          <t>{1}{W}</t>
        </is>
      </c>
      <c r="F1938" s="11" t="inlineStr">
        <is>
          <t>Branco</t>
        </is>
      </c>
      <c r="G1938" s="8" t="n">
        <v>0.15</v>
      </c>
      <c r="H1938" s="11" t="inlineStr">
        <is>
          <t>Avatar: The Last Airbender (TLA)</t>
        </is>
      </c>
      <c r="I1938" s="11" t="inlineStr">
        <is>
          <t>Não</t>
        </is>
      </c>
      <c r="J1938" s="11" t="n">
        <v>2025</v>
      </c>
      <c r="K1938" s="10" t="n">
        <v>46055</v>
      </c>
      <c r="L1938" s="11" t="n">
        <v>1</v>
      </c>
      <c r="M1938" s="8">
        <f>L1938*G1938</f>
        <v/>
      </c>
      <c r="P1938" s="9" t="n"/>
    </row>
    <row r="1939">
      <c r="A1939" s="11" t="inlineStr">
        <is>
          <t>Glider Staff</t>
        </is>
      </c>
      <c r="B1939" s="11" t="inlineStr">
        <is>
          <t>Artifact — Equipment</t>
        </is>
      </c>
      <c r="C1939" s="11" t="inlineStr">
        <is>
          <t>Uncommon / Incomum</t>
        </is>
      </c>
      <c r="D1939" s="11" t="inlineStr">
        <is>
          <t>When this Equipment enters, airbend up to one target creature. (Exile it. While it's exiled, its owner may cast it for {2} rather than its mana cost.) Equipped creature gets +1/+1 and has flying. Equip {2}</t>
        </is>
      </c>
      <c r="E1939" s="11" t="inlineStr">
        <is>
          <t>{2}{W}</t>
        </is>
      </c>
      <c r="F1939" s="11" t="inlineStr">
        <is>
          <t>Branco</t>
        </is>
      </c>
      <c r="G1939" s="8" t="n">
        <v>0.15</v>
      </c>
      <c r="H1939" s="11" t="inlineStr">
        <is>
          <t>Avatar: The Last Airbender (TLA)</t>
        </is>
      </c>
      <c r="I1939" s="11" t="inlineStr">
        <is>
          <t>Não</t>
        </is>
      </c>
      <c r="J1939" s="11" t="n">
        <v>2025</v>
      </c>
      <c r="L1939" s="11" t="n">
        <v>1</v>
      </c>
      <c r="M1939" s="8">
        <f>L1939*G1939</f>
        <v/>
      </c>
      <c r="P1939" s="9" t="n"/>
    </row>
    <row r="1940">
      <c r="A1940" s="11" t="inlineStr">
        <is>
          <t>Momo, Friendly Flier</t>
        </is>
      </c>
      <c r="B1940" s="11" t="inlineStr">
        <is>
          <t>Legendary Creature — Lemur Bat Ally</t>
        </is>
      </c>
      <c r="C1940" s="11" t="inlineStr">
        <is>
          <t>Rare / Rara</t>
        </is>
      </c>
      <c r="D1940" s="11" t="inlineStr">
        <is>
          <t>Flying The first non-Lemur creature spell with flying you cast during each of your turns costs {1} less to cast. Whenever another creature you control with flying enters, Momo gets +1/+1 until end of turn.</t>
        </is>
      </c>
      <c r="E1940" s="11" t="inlineStr">
        <is>
          <t>{W}</t>
        </is>
      </c>
      <c r="F1940" s="11" t="inlineStr">
        <is>
          <t>Branco</t>
        </is>
      </c>
      <c r="G1940" s="8" t="n">
        <v>2</v>
      </c>
      <c r="H1940" s="11" t="inlineStr">
        <is>
          <t>Avatar: The Last Airbender (TLA)</t>
        </is>
      </c>
      <c r="I1940" s="11" t="inlineStr">
        <is>
          <t>Não</t>
        </is>
      </c>
      <c r="J1940" s="11" t="n">
        <v>2025</v>
      </c>
      <c r="K1940" s="10" t="n">
        <v>46023</v>
      </c>
      <c r="L1940" s="11" t="n">
        <v>1</v>
      </c>
      <c r="M1940" s="8">
        <f>L1940*G1940</f>
        <v/>
      </c>
      <c r="P1940" s="9" t="n"/>
    </row>
    <row r="1941">
      <c r="A1941" s="11" t="inlineStr">
        <is>
          <t>Momo, Friendly Flier</t>
        </is>
      </c>
      <c r="B1941" s="11" t="inlineStr">
        <is>
          <t>Legendary Creature — Lemur Bat Ally</t>
        </is>
      </c>
      <c r="C1941" s="11" t="inlineStr">
        <is>
          <t>Rare / Rara</t>
        </is>
      </c>
      <c r="D1941" s="11" t="inlineStr">
        <is>
          <t>Flying The first non-Lemur creature spell with flying you cast during each of your turns costs {1} less to cast. Whenever another creature you control with flying enters, Momo gets +1/+1 until end of turn.</t>
        </is>
      </c>
      <c r="E1941" s="11" t="inlineStr">
        <is>
          <t>{W}</t>
        </is>
      </c>
      <c r="F1941" s="11" t="inlineStr">
        <is>
          <t>Branco</t>
        </is>
      </c>
      <c r="G1941" s="8" t="n">
        <v>6.89</v>
      </c>
      <c r="H1941" s="11" t="inlineStr">
        <is>
          <t>Avatar: The Last Airbender (TLA) PR</t>
        </is>
      </c>
      <c r="I1941" s="11" t="inlineStr">
        <is>
          <t>Sim</t>
        </is>
      </c>
      <c r="J1941" s="11" t="n">
        <v>2025</v>
      </c>
      <c r="K1941" s="10" t="n">
        <v>46023</v>
      </c>
      <c r="L1941" s="11" t="n">
        <v>1</v>
      </c>
      <c r="M1941" s="8">
        <f>L1941*G1941</f>
        <v/>
      </c>
      <c r="P1941" s="9" t="n"/>
    </row>
    <row r="1942">
      <c r="A1942" s="11" t="inlineStr">
        <is>
          <t>Master Piandao</t>
        </is>
      </c>
      <c r="B1942" s="11" t="inlineStr">
        <is>
          <t>Legendary Creature — Human Warrior Ally</t>
        </is>
      </c>
      <c r="C1942" s="11" t="inlineStr">
        <is>
          <t>Uncommon / Incomum</t>
        </is>
      </c>
      <c r="D1942" s="11" t="inlineStr">
        <is>
          <t>First strike Whenever Master Piandao attacks, look at the top four cards of your library. You may reveal an Ally, Equipment, or Lesson card from among them and put it into your hand. Put the rest on the bottom of your library in a random order.</t>
        </is>
      </c>
      <c r="E1942" s="11" t="inlineStr">
        <is>
          <t>{4}{W}</t>
        </is>
      </c>
      <c r="F1942" s="11" t="inlineStr">
        <is>
          <t>Branco</t>
        </is>
      </c>
      <c r="G1942" s="8" t="n">
        <v>0.15</v>
      </c>
      <c r="H1942" s="11" t="inlineStr">
        <is>
          <t>Avatar: The Last Airbender (TLA)</t>
        </is>
      </c>
      <c r="I1942" s="11" t="inlineStr">
        <is>
          <t>Não</t>
        </is>
      </c>
      <c r="J1942" s="11" t="n">
        <v>2025</v>
      </c>
      <c r="K1942" s="10" t="n">
        <v>46116</v>
      </c>
      <c r="L1942" s="11" t="n">
        <v>1</v>
      </c>
      <c r="M1942" s="8">
        <f>L1942*G1942</f>
        <v/>
      </c>
      <c r="P1942" s="9" t="n"/>
    </row>
    <row r="1943">
      <c r="A1943" s="11" t="inlineStr">
        <is>
          <t>Aang, the Last Airbender</t>
        </is>
      </c>
      <c r="B1943" s="11" t="inlineStr">
        <is>
          <t>Legendary Creature — Human Avatar Ally</t>
        </is>
      </c>
      <c r="C1943" s="11" t="inlineStr">
        <is>
          <t>Uncommon / Incomum</t>
        </is>
      </c>
      <c r="D1943" s="11" t="inlineStr">
        <is>
          <t>Flying When Aang enters, airbend up to one other target nonland permanent. (Exile it. While it's exiled, its owner may cast it for {2} rather than its mana cost.) Whenever you cast a Lesson spell, Aang gains lifelink until end of turn.</t>
        </is>
      </c>
      <c r="E1943" s="11" t="inlineStr">
        <is>
          <t>{3}{W}</t>
        </is>
      </c>
      <c r="F1943" s="11" t="inlineStr">
        <is>
          <t>Branco</t>
        </is>
      </c>
      <c r="G1943" s="8" t="n">
        <v>0.15</v>
      </c>
      <c r="H1943" s="11" t="inlineStr">
        <is>
          <t>Avatar: The Last Airbender (TLA)</t>
        </is>
      </c>
      <c r="I1943" s="11" t="inlineStr">
        <is>
          <t>Não</t>
        </is>
      </c>
      <c r="J1943" s="11" t="n">
        <v>2025</v>
      </c>
      <c r="K1943" s="10" t="n">
        <v>46056</v>
      </c>
      <c r="L1943" s="11" t="n">
        <v>1</v>
      </c>
      <c r="M1943" s="8">
        <f>L1943*G1943</f>
        <v/>
      </c>
      <c r="P1943" s="9" t="n"/>
    </row>
    <row r="1944">
      <c r="A1944" s="11" t="inlineStr">
        <is>
          <t>Jeong Jeong's Deserters</t>
        </is>
      </c>
      <c r="B1944" s="11" t="inlineStr">
        <is>
          <t>Creature — Human Rebel Ally</t>
        </is>
      </c>
      <c r="C1944" s="11" t="inlineStr">
        <is>
          <t>Common / Comum</t>
        </is>
      </c>
      <c r="D1944" s="11" t="inlineStr">
        <is>
          <t>When this creature enters, put a +1/+1 counter on target creature.</t>
        </is>
      </c>
      <c r="E1944" s="11" t="inlineStr">
        <is>
          <t>{1}{W}</t>
        </is>
      </c>
      <c r="F1944" s="11" t="inlineStr">
        <is>
          <t>Branco</t>
        </is>
      </c>
      <c r="G1944" s="8" t="n">
        <v>0.07000000000000001</v>
      </c>
      <c r="H1944" s="11" t="inlineStr">
        <is>
          <t>Avatar: The Last Airbender (TLA)</t>
        </is>
      </c>
      <c r="I1944" s="11" t="inlineStr">
        <is>
          <t>Não</t>
        </is>
      </c>
      <c r="J1944" s="11" t="n">
        <v>2025</v>
      </c>
      <c r="K1944" s="10" t="n">
        <v>46054</v>
      </c>
      <c r="L1944" s="11" t="n">
        <v>2</v>
      </c>
      <c r="M1944" s="8">
        <f>L1944*G1944</f>
        <v/>
      </c>
      <c r="P1944" s="9" t="n"/>
    </row>
    <row r="1945">
      <c r="A1945" s="11" t="inlineStr">
        <is>
          <t>Kyoshi Warriors</t>
        </is>
      </c>
      <c r="B1945" s="11" t="inlineStr">
        <is>
          <t>Creature — Human Warrior Ally</t>
        </is>
      </c>
      <c r="C1945" s="11" t="inlineStr">
        <is>
          <t>Common / Comum</t>
        </is>
      </c>
      <c r="D1945" s="11" t="inlineStr">
        <is>
          <t>When this creature enters, create a 1/1 white Ally creature token.</t>
        </is>
      </c>
      <c r="E1945" s="11" t="inlineStr">
        <is>
          <t>{3}{W}</t>
        </is>
      </c>
      <c r="F1945" s="11" t="inlineStr">
        <is>
          <t>Branco</t>
        </is>
      </c>
      <c r="G1945" s="8" t="n">
        <v>0.08</v>
      </c>
      <c r="H1945" s="11" t="inlineStr">
        <is>
          <t>Avatar: The Last Airbender (TLA)</t>
        </is>
      </c>
      <c r="I1945" s="11" t="inlineStr">
        <is>
          <t>Não</t>
        </is>
      </c>
      <c r="J1945" s="11" t="n">
        <v>2025</v>
      </c>
      <c r="K1945" s="10" t="n">
        <v>46084</v>
      </c>
      <c r="L1945" s="11" t="n">
        <v>1</v>
      </c>
      <c r="M1945" s="8">
        <f>L1945*G1945</f>
        <v/>
      </c>
      <c r="P1945" s="9" t="n"/>
    </row>
    <row r="1946">
      <c r="A1946" s="11" t="inlineStr">
        <is>
          <t>Water Tribe Captain</t>
        </is>
      </c>
      <c r="B1946" s="11" t="inlineStr">
        <is>
          <t>Creature — Human Soldier Ally</t>
        </is>
      </c>
      <c r="C1946" s="11" t="inlineStr">
        <is>
          <t>Common / Comum</t>
        </is>
      </c>
      <c r="D1946" s="11" t="inlineStr">
        <is>
          <t>{5}: Creatures you control get +1/+1 until end of turn.</t>
        </is>
      </c>
      <c r="E1946" s="11" t="inlineStr">
        <is>
          <t>{2}{W}</t>
        </is>
      </c>
      <c r="F1946" s="11" t="inlineStr">
        <is>
          <t>Branco</t>
        </is>
      </c>
      <c r="G1946" s="8" t="n">
        <v>0.1</v>
      </c>
      <c r="H1946" s="11" t="inlineStr">
        <is>
          <t>Avatar: The Last Airbender (TLA)</t>
        </is>
      </c>
      <c r="I1946" s="11" t="inlineStr">
        <is>
          <t>Não</t>
        </is>
      </c>
      <c r="J1946" s="11" t="n">
        <v>2025</v>
      </c>
      <c r="K1946" s="10" t="n">
        <v>46084</v>
      </c>
      <c r="L1946" s="11" t="n">
        <v>1</v>
      </c>
      <c r="M1946" s="8">
        <f>L1946*G1946</f>
        <v/>
      </c>
      <c r="P1946" s="9" t="n"/>
    </row>
    <row r="1947">
      <c r="A1947" s="11" t="inlineStr">
        <is>
          <t>Yip Yip!</t>
        </is>
      </c>
      <c r="B1947" s="11" t="inlineStr">
        <is>
          <t>Instant — Lesson</t>
        </is>
      </c>
      <c r="C1947" s="11" t="inlineStr">
        <is>
          <t>Common / Comum</t>
        </is>
      </c>
      <c r="D1947" s="11" t="inlineStr">
        <is>
          <t>Target creature you control gets +2/+2 until end of turn. If that creature is an Ally, it also gains flying until end of turn.</t>
        </is>
      </c>
      <c r="E1947" s="11" t="inlineStr">
        <is>
          <t>{W}</t>
        </is>
      </c>
      <c r="F1947" s="11" t="inlineStr">
        <is>
          <t>Branco</t>
        </is>
      </c>
      <c r="G1947" s="8" t="n">
        <v>0.06</v>
      </c>
      <c r="H1947" s="11" t="inlineStr">
        <is>
          <t>Avatar: The Last Airbender (TLA)</t>
        </is>
      </c>
      <c r="I1947" s="11" t="inlineStr">
        <is>
          <t>Não</t>
        </is>
      </c>
      <c r="J1947" s="11" t="n">
        <v>2025</v>
      </c>
      <c r="L1947" s="11" t="n">
        <v>1</v>
      </c>
      <c r="M1947" s="8">
        <f>L1947*G1947</f>
        <v/>
      </c>
      <c r="P1947" s="9" t="n"/>
    </row>
    <row r="1948">
      <c r="A1948" s="11" t="inlineStr">
        <is>
          <t>Fancy Footwork</t>
        </is>
      </c>
      <c r="B1948" s="11" t="inlineStr">
        <is>
          <t>Instant — Lesson</t>
        </is>
      </c>
      <c r="C1948" s="11" t="inlineStr">
        <is>
          <t>Uncommon / Incomum</t>
        </is>
      </c>
      <c r="D1948" s="11" t="inlineStr">
        <is>
          <t>Untap one or two target creatures. They each get +2/+2 until end of turn.</t>
        </is>
      </c>
      <c r="E1948" s="11" t="inlineStr">
        <is>
          <t>{2}{W}</t>
        </is>
      </c>
      <c r="F1948" s="11" t="inlineStr">
        <is>
          <t>Branco</t>
        </is>
      </c>
      <c r="G1948" s="8" t="n">
        <v>0.1</v>
      </c>
      <c r="H1948" s="11" t="inlineStr">
        <is>
          <t>Avatar: The Last Airbender (TLA)</t>
        </is>
      </c>
      <c r="I1948" s="11" t="inlineStr">
        <is>
          <t>Não</t>
        </is>
      </c>
      <c r="J1948" s="11" t="n">
        <v>2025</v>
      </c>
      <c r="L1948" s="11" t="n">
        <v>1</v>
      </c>
      <c r="M1948" s="8">
        <f>L1948*G1948</f>
        <v/>
      </c>
      <c r="P1948" s="9" t="n"/>
    </row>
    <row r="1949">
      <c r="A1949" s="11" t="inlineStr">
        <is>
          <t>Airbender's Reversal</t>
        </is>
      </c>
      <c r="B1949" s="11" t="inlineStr">
        <is>
          <t>Instant — Lesson</t>
        </is>
      </c>
      <c r="C1949" s="11" t="inlineStr">
        <is>
          <t>Uncommon / Incomum</t>
        </is>
      </c>
      <c r="D1949" s="11" t="inlineStr">
        <is>
          <t>Choose one — • Destroy target attacking creature. • Airbend target creature you control. (Exile it. While it's exiled, its owner may cast it for {2} rather than its mana cost.)</t>
        </is>
      </c>
      <c r="E1949" s="11" t="inlineStr">
        <is>
          <t>{1}{W}</t>
        </is>
      </c>
      <c r="F1949" s="11" t="inlineStr">
        <is>
          <t>Branco</t>
        </is>
      </c>
      <c r="G1949" s="8" t="n">
        <v>0.22</v>
      </c>
      <c r="H1949" s="11" t="inlineStr">
        <is>
          <t>Avatar: The Last Airbender (TLA)</t>
        </is>
      </c>
      <c r="I1949" s="11" t="inlineStr">
        <is>
          <t>Não</t>
        </is>
      </c>
      <c r="J1949" s="11" t="n">
        <v>2025</v>
      </c>
      <c r="L1949" s="11" t="n">
        <v>1</v>
      </c>
      <c r="M1949" s="8">
        <f>L1949*G1949</f>
        <v/>
      </c>
      <c r="P1949" s="9" t="n"/>
    </row>
    <row r="1950">
      <c r="A1950" s="11" t="inlineStr">
        <is>
          <t>Invasion Reinforcements</t>
        </is>
      </c>
      <c r="B1950" s="11" t="inlineStr">
        <is>
          <t>Creature — Human Warrior Ally</t>
        </is>
      </c>
      <c r="C1950" s="11" t="inlineStr">
        <is>
          <t>Uncommon / Incomum</t>
        </is>
      </c>
      <c r="D1950" s="11" t="inlineStr">
        <is>
          <t>Flash When this creature enters, create a 1/1 white Ally creature token.</t>
        </is>
      </c>
      <c r="E1950" s="11" t="inlineStr">
        <is>
          <t>{1}{W}</t>
        </is>
      </c>
      <c r="F1950" s="11" t="inlineStr">
        <is>
          <t>Branco</t>
        </is>
      </c>
      <c r="G1950" s="8" t="n">
        <v>0.2</v>
      </c>
      <c r="H1950" s="11" t="inlineStr">
        <is>
          <t>Avatar: The Last Airbender (TLA)</t>
        </is>
      </c>
      <c r="I1950" s="11" t="inlineStr">
        <is>
          <t>Não</t>
        </is>
      </c>
      <c r="J1950" s="11" t="n">
        <v>2025</v>
      </c>
      <c r="K1950" s="10" t="n">
        <v>46023</v>
      </c>
      <c r="L1950" s="11" t="n">
        <v>1</v>
      </c>
      <c r="M1950" s="8">
        <f>L1950*G1950</f>
        <v/>
      </c>
      <c r="P1950" s="9" t="n"/>
    </row>
    <row r="1951">
      <c r="A1951" s="11" t="inlineStr">
        <is>
          <t>Razor Rings</t>
        </is>
      </c>
      <c r="B1951" s="11" t="inlineStr">
        <is>
          <t>Instant</t>
        </is>
      </c>
      <c r="C1951" s="11" t="inlineStr">
        <is>
          <t>Common / Comum</t>
        </is>
      </c>
      <c r="D1951" s="11" t="inlineStr">
        <is>
          <t>Razor Rings deals 4 damage to target attacking or blocking creature. You gain life equal to the excess damage dealt this way.</t>
        </is>
      </c>
      <c r="E1951" s="11" t="inlineStr">
        <is>
          <t>{1}{W}</t>
        </is>
      </c>
      <c r="F1951" s="11" t="inlineStr">
        <is>
          <t>Branco</t>
        </is>
      </c>
      <c r="G1951" s="8" t="n">
        <v>0.05</v>
      </c>
      <c r="H1951" s="11" t="inlineStr">
        <is>
          <t>Avatar: The Last Airbender (TLA)</t>
        </is>
      </c>
      <c r="I1951" s="11" t="inlineStr">
        <is>
          <t>Não</t>
        </is>
      </c>
      <c r="J1951" s="11" t="n">
        <v>2025</v>
      </c>
      <c r="L1951" s="11" t="n">
        <v>4</v>
      </c>
      <c r="M1951" s="8">
        <f>L1951*G1951</f>
        <v/>
      </c>
      <c r="P1951" s="9" t="n"/>
    </row>
    <row r="1952">
      <c r="A1952" s="11" t="inlineStr">
        <is>
          <t>Sokka, Lateral Strategist</t>
        </is>
      </c>
      <c r="B1952" s="11" t="inlineStr">
        <is>
          <t>Legendary Creature — Human Warrior Ally</t>
        </is>
      </c>
      <c r="C1952" s="11" t="inlineStr">
        <is>
          <t>Uncommon / Incomum</t>
        </is>
      </c>
      <c r="D1952" s="11" t="inlineStr">
        <is>
          <t>Vigilance Whenever Sokka and at least one other creature attack, draw a card.</t>
        </is>
      </c>
      <c r="E1952" s="11" t="inlineStr">
        <is>
          <t>{1}{W/U}{W/U}</t>
        </is>
      </c>
      <c r="F1952" s="11" t="inlineStr">
        <is>
          <t>Azul, Branco</t>
        </is>
      </c>
      <c r="G1952" s="8" t="n">
        <v>0.54</v>
      </c>
      <c r="H1952" s="11" t="inlineStr">
        <is>
          <t>Avatar: The Last Airbender (TLA)</t>
        </is>
      </c>
      <c r="I1952" s="11" t="inlineStr">
        <is>
          <t>Sim</t>
        </is>
      </c>
      <c r="J1952" s="11" t="n">
        <v>2025</v>
      </c>
      <c r="K1952" s="10" t="n">
        <v>46114</v>
      </c>
      <c r="L1952" s="11" t="n">
        <v>1</v>
      </c>
      <c r="M1952" s="8">
        <f>L1952*G1952</f>
        <v/>
      </c>
      <c r="P1952" s="9" t="n"/>
    </row>
    <row r="1953">
      <c r="A1953" s="11" t="inlineStr">
        <is>
          <t>Cat-Owl</t>
        </is>
      </c>
      <c r="B1953" s="11" t="inlineStr">
        <is>
          <t>Creature — Cat Bird</t>
        </is>
      </c>
      <c r="C1953" s="11" t="inlineStr">
        <is>
          <t>Common / Comum</t>
        </is>
      </c>
      <c r="D1953" s="11" t="inlineStr">
        <is>
          <t>Flying Whenever this creature attacks, untap target artifact or creature.</t>
        </is>
      </c>
      <c r="E1953" s="11" t="inlineStr">
        <is>
          <t>{3}{W/U}</t>
        </is>
      </c>
      <c r="F1953" s="11" t="inlineStr">
        <is>
          <t>Azul, Branco</t>
        </is>
      </c>
      <c r="G1953" s="8" t="n">
        <v>0.05</v>
      </c>
      <c r="H1953" s="11" t="inlineStr">
        <is>
          <t>Avatar: The Last Airbender (TLA)</t>
        </is>
      </c>
      <c r="I1953" s="11" t="inlineStr">
        <is>
          <t>Não</t>
        </is>
      </c>
      <c r="J1953" s="11" t="n">
        <v>2025</v>
      </c>
      <c r="K1953" s="10" t="n">
        <v>46084</v>
      </c>
      <c r="L1953" s="11" t="n">
        <v>1</v>
      </c>
      <c r="M1953" s="8">
        <f>L1953*G1953</f>
        <v/>
      </c>
      <c r="P1953" s="9" t="n"/>
    </row>
    <row r="1954">
      <c r="A1954" s="11" t="inlineStr">
        <is>
          <t>Earth Village Ruffians</t>
        </is>
      </c>
      <c r="B1954" s="11" t="inlineStr">
        <is>
          <t>Creature — Human Soldier Rogue</t>
        </is>
      </c>
      <c r="C1954" s="11" t="inlineStr">
        <is>
          <t>Common / Comum</t>
        </is>
      </c>
      <c r="D1954" s="11" t="inlineStr">
        <is>
          <t>When this creature dies, earthbend 2. (Target land you control becomes a 0/0 creature with haste that's still a land. Put two +1/+1 counters on it. When it dies or is exiled, return it to the battlefield tapped.)</t>
        </is>
      </c>
      <c r="E1954" s="11" t="inlineStr">
        <is>
          <t>{2}{B/G}</t>
        </is>
      </c>
      <c r="F1954" s="11" t="inlineStr">
        <is>
          <t>Preto, Verde</t>
        </is>
      </c>
      <c r="G1954" s="8" t="n">
        <v>0.05</v>
      </c>
      <c r="H1954" s="11" t="inlineStr">
        <is>
          <t>Avatar: The Last Airbender (TLA)</t>
        </is>
      </c>
      <c r="I1954" s="11" t="inlineStr">
        <is>
          <t>Não</t>
        </is>
      </c>
      <c r="J1954" s="11" t="n">
        <v>2025</v>
      </c>
      <c r="K1954" s="10" t="n">
        <v>46025</v>
      </c>
      <c r="L1954" s="11" t="n">
        <v>5</v>
      </c>
      <c r="M1954" s="8">
        <f>L1954*G1954</f>
        <v/>
      </c>
      <c r="P1954" s="9" t="n"/>
    </row>
    <row r="1955">
      <c r="A1955" s="11" t="inlineStr">
        <is>
          <t>Earth Village Ruffians</t>
        </is>
      </c>
      <c r="B1955" s="11" t="inlineStr">
        <is>
          <t>Creature — Human Soldier Rogue</t>
        </is>
      </c>
      <c r="C1955" s="11" t="inlineStr">
        <is>
          <t>Common / Comum</t>
        </is>
      </c>
      <c r="D1955" s="11" t="inlineStr">
        <is>
          <t>When this creature dies, earthbend 2. (Target land you control becomes a 0/0 creature with haste that's still a land. Put two +1/+1 counters on it. When it dies or is exiled, return it to the battlefield tapped.)</t>
        </is>
      </c>
      <c r="E1955" s="11" t="inlineStr">
        <is>
          <t>{2}{B/G}</t>
        </is>
      </c>
      <c r="F1955" s="11" t="inlineStr">
        <is>
          <t>Preto, Verde</t>
        </is>
      </c>
      <c r="G1955" s="8" t="n">
        <v>0.25</v>
      </c>
      <c r="H1955" s="11" t="inlineStr">
        <is>
          <t>Avatar: The Last Airbender (TLA)</t>
        </is>
      </c>
      <c r="I1955" s="11" t="inlineStr">
        <is>
          <t>Sim</t>
        </is>
      </c>
      <c r="J1955" s="11" t="n">
        <v>2025</v>
      </c>
      <c r="K1955" s="10" t="n">
        <v>46025</v>
      </c>
      <c r="L1955" s="11" t="n">
        <v>1</v>
      </c>
      <c r="M1955" s="8">
        <f>L1955*G1955</f>
        <v/>
      </c>
      <c r="P1955" s="9" t="n"/>
    </row>
    <row r="1956">
      <c r="A1956" s="11" t="inlineStr">
        <is>
          <t>Long Feng, Grand Secretariat</t>
        </is>
      </c>
      <c r="B1956" s="11" t="inlineStr">
        <is>
          <t>Legendary Creature — Human Advisor</t>
        </is>
      </c>
      <c r="C1956" s="11" t="inlineStr">
        <is>
          <t>Uncommon / Incomum</t>
        </is>
      </c>
      <c r="D1956" s="11" t="inlineStr">
        <is>
          <t>Whenever another creature you control or a land you control is put into a graveyard from the battlefield, put a +1/+1 counter on target creature you control.</t>
        </is>
      </c>
      <c r="E1956" s="11" t="inlineStr">
        <is>
          <t>{1}{B/G}{B/G}</t>
        </is>
      </c>
      <c r="F1956" s="11" t="inlineStr">
        <is>
          <t>Preto, Verde</t>
        </is>
      </c>
      <c r="G1956" s="8" t="n">
        <v>0.15</v>
      </c>
      <c r="H1956" s="11" t="inlineStr">
        <is>
          <t>Avatar: The Last Airbender (TLA)</t>
        </is>
      </c>
      <c r="I1956" s="11" t="inlineStr">
        <is>
          <t>Não</t>
        </is>
      </c>
      <c r="J1956" s="11" t="n">
        <v>2025</v>
      </c>
      <c r="K1956" s="10" t="n">
        <v>46083</v>
      </c>
      <c r="L1956" s="11" t="n">
        <v>1</v>
      </c>
      <c r="M1956" s="8">
        <f>L1956*G1956</f>
        <v/>
      </c>
      <c r="P1956" s="9" t="n"/>
    </row>
    <row r="1957">
      <c r="A1957" s="11" t="inlineStr">
        <is>
          <t>Katara, the Fearless</t>
        </is>
      </c>
      <c r="B1957" s="11" t="inlineStr">
        <is>
          <t>Legendary Creature — Human Warrior Ally</t>
        </is>
      </c>
      <c r="C1957" s="11" t="inlineStr">
        <is>
          <t>Rare / Rara</t>
        </is>
      </c>
      <c r="D1957" s="11" t="inlineStr">
        <is>
          <t>If a triggered ability of an Ally you control triggers, that ability triggers an additional time.</t>
        </is>
      </c>
      <c r="E1957" s="11" t="inlineStr">
        <is>
          <t>{G}{W}{U}</t>
        </is>
      </c>
      <c r="F1957" s="11" t="inlineStr">
        <is>
          <t>Verde, Azul, Branco</t>
        </is>
      </c>
      <c r="G1957" s="8" t="n">
        <v>2.38</v>
      </c>
      <c r="H1957" s="11" t="inlineStr">
        <is>
          <t>Avatar: The Last Airbender (TLA)</t>
        </is>
      </c>
      <c r="I1957" s="11" t="inlineStr">
        <is>
          <t>Não</t>
        </is>
      </c>
      <c r="J1957" s="11" t="n">
        <v>2025</v>
      </c>
      <c r="K1957" s="10" t="n">
        <v>46084</v>
      </c>
      <c r="L1957" s="11" t="n">
        <v>1</v>
      </c>
      <c r="M1957" s="8">
        <f>L1957*G1957</f>
        <v/>
      </c>
      <c r="P1957" s="9" t="n"/>
    </row>
    <row r="1958">
      <c r="A1958" s="11" t="inlineStr">
        <is>
          <t>Aang, at the Crossroads // Aang, Destined Savior</t>
        </is>
      </c>
      <c r="B1958" s="11" t="inlineStr">
        <is>
          <t>Legendary Creature — Human Avatar Ally // Legendary Creature — Avatar Ally</t>
        </is>
      </c>
      <c r="C1958" s="11" t="inlineStr">
        <is>
          <t>Rare / Rara</t>
        </is>
      </c>
      <c r="D1958" s="11"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1958" s="11" t="inlineStr">
        <is>
          <t>{2}{G}{W}{U}</t>
        </is>
      </c>
      <c r="F1958" s="11" t="inlineStr">
        <is>
          <t>Verde, Azul, Branco</t>
        </is>
      </c>
      <c r="G1958" s="8" t="n">
        <v>4.5</v>
      </c>
      <c r="H1958" s="11" t="inlineStr">
        <is>
          <t>Avatar: The Last Airbender (TLA)</t>
        </is>
      </c>
      <c r="I1958" s="11" t="inlineStr">
        <is>
          <t>Não</t>
        </is>
      </c>
      <c r="J1958" s="11" t="n">
        <v>2025</v>
      </c>
      <c r="K1958" s="10" t="n">
        <v>46084</v>
      </c>
      <c r="L1958" s="11" t="n">
        <v>1</v>
      </c>
      <c r="M1958" s="8">
        <f>L1958*G1958</f>
        <v/>
      </c>
      <c r="P1958" s="9" t="n"/>
    </row>
    <row r="1959">
      <c r="A1959" s="11" t="inlineStr">
        <is>
          <t>Iroh, Grand Lotus</t>
        </is>
      </c>
      <c r="B1959" s="11" t="inlineStr">
        <is>
          <t>Legendary Creature — Human Noble Ally</t>
        </is>
      </c>
      <c r="C1959" s="11" t="inlineStr">
        <is>
          <t>Rare / Rara</t>
        </is>
      </c>
      <c r="D1959" s="11"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1959" s="11" t="inlineStr">
        <is>
          <t>{3}{G}{U}{R}</t>
        </is>
      </c>
      <c r="F1959" s="11" t="inlineStr">
        <is>
          <t>Verde, Vermelho, Azul</t>
        </is>
      </c>
      <c r="G1959" s="8" t="n">
        <v>1.19</v>
      </c>
      <c r="H1959" s="11" t="inlineStr">
        <is>
          <t>Avatar: The Last Airbender (TLA)</t>
        </is>
      </c>
      <c r="I1959" s="11" t="inlineStr">
        <is>
          <t>Não</t>
        </is>
      </c>
      <c r="J1959" s="11" t="n">
        <v>2025</v>
      </c>
      <c r="K1959" s="10" t="n">
        <v>46147</v>
      </c>
      <c r="L1959" s="11" t="n">
        <v>1</v>
      </c>
      <c r="M1959" s="8">
        <f>L1959*G1959</f>
        <v/>
      </c>
      <c r="P1959" s="9" t="n"/>
    </row>
    <row r="1960">
      <c r="A1960" s="11" t="inlineStr">
        <is>
          <t>Toph, Hardheaded Teacher</t>
        </is>
      </c>
      <c r="B1960" s="11" t="inlineStr">
        <is>
          <t>Legendary Creature — Human Warrior Ally</t>
        </is>
      </c>
      <c r="C1960" s="11" t="inlineStr">
        <is>
          <t>Rare / Rara</t>
        </is>
      </c>
      <c r="D1960" s="11"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1960" s="11" t="inlineStr">
        <is>
          <t>{2}{R}{G}</t>
        </is>
      </c>
      <c r="F1960" s="11" t="inlineStr">
        <is>
          <t>Verde, Vermelho</t>
        </is>
      </c>
      <c r="G1960" s="8" t="n">
        <v>0.99</v>
      </c>
      <c r="H1960" s="11" t="inlineStr">
        <is>
          <t>Avatar: The Last Airbender (TLA)</t>
        </is>
      </c>
      <c r="I1960" s="11" t="inlineStr">
        <is>
          <t>Não</t>
        </is>
      </c>
      <c r="J1960" s="11" t="n">
        <v>2025</v>
      </c>
      <c r="K1960" s="10" t="n">
        <v>46115</v>
      </c>
      <c r="L1960" s="11" t="n">
        <v>1</v>
      </c>
      <c r="M1960" s="8">
        <f>L1960*G1960</f>
        <v/>
      </c>
      <c r="P1960" s="9" t="n"/>
    </row>
    <row r="1961">
      <c r="A1961" s="11" t="inlineStr">
        <is>
          <t>Earth Rumble</t>
        </is>
      </c>
      <c r="B1961" s="11" t="inlineStr">
        <is>
          <t>Sorcery</t>
        </is>
      </c>
      <c r="C1961" s="11" t="inlineStr">
        <is>
          <t>Uncommon / Incomum</t>
        </is>
      </c>
      <c r="D1961" s="11"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1961" s="11" t="inlineStr">
        <is>
          <t>{3}{G}</t>
        </is>
      </c>
      <c r="F1961" s="11" t="inlineStr">
        <is>
          <t>Verde</t>
        </is>
      </c>
      <c r="G1961" s="8" t="n">
        <v>0.03</v>
      </c>
      <c r="H1961" s="11" t="inlineStr">
        <is>
          <t>Avatar: The Last Airbender (TLA)</t>
        </is>
      </c>
      <c r="I1961" s="11" t="inlineStr">
        <is>
          <t>Não</t>
        </is>
      </c>
      <c r="J1961" s="11" t="n">
        <v>2025</v>
      </c>
      <c r="L1961" s="11" t="n">
        <v>2</v>
      </c>
      <c r="M1961" s="8">
        <f>L1961*G1961</f>
        <v/>
      </c>
      <c r="P1961" s="9" t="n"/>
    </row>
    <row r="1962">
      <c r="A1962" s="11" t="inlineStr">
        <is>
          <t>Wandering Musicians</t>
        </is>
      </c>
      <c r="B1962" s="11" t="inlineStr">
        <is>
          <t>Creature — Human Bard Ally</t>
        </is>
      </c>
      <c r="C1962" s="11" t="inlineStr">
        <is>
          <t>Common / Comum</t>
        </is>
      </c>
      <c r="D1962" s="11" t="inlineStr">
        <is>
          <t>Whenever this creature attacks, creatures you control get +1/+0 until end of turn.</t>
        </is>
      </c>
      <c r="E1962" s="11" t="inlineStr">
        <is>
          <t>{3}{R/W}</t>
        </is>
      </c>
      <c r="F1962" s="11" t="inlineStr">
        <is>
          <t>Vermelho, Branco</t>
        </is>
      </c>
      <c r="G1962" s="8" t="n">
        <v>0.06</v>
      </c>
      <c r="H1962" s="11" t="inlineStr">
        <is>
          <t>Avatar: The Last Airbender (TLA)</t>
        </is>
      </c>
      <c r="I1962" s="11" t="inlineStr">
        <is>
          <t>Não</t>
        </is>
      </c>
      <c r="J1962" s="11" t="n">
        <v>2025</v>
      </c>
      <c r="K1962" s="10" t="n">
        <v>46144</v>
      </c>
      <c r="L1962" s="11" t="n">
        <v>1</v>
      </c>
      <c r="M1962" s="8">
        <f>L1962*G1962</f>
        <v/>
      </c>
      <c r="P1962" s="9" t="n"/>
    </row>
    <row r="1963">
      <c r="A1963" s="11" t="inlineStr">
        <is>
          <t>Jet, Freedom Fighter</t>
        </is>
      </c>
      <c r="B1963" s="11" t="inlineStr">
        <is>
          <t>Legendary Creature — Human Rebel Ally</t>
        </is>
      </c>
      <c r="C1963" s="11" t="inlineStr">
        <is>
          <t>Uncommon / Incomum</t>
        </is>
      </c>
      <c r="D1963" s="11" t="inlineStr">
        <is>
          <t>When Jet enters, he deals damage equal to the number of creatures you control to target creature an opponent controls. When Jet dies, put a +1/+1 counter on each of up to two target creatures.</t>
        </is>
      </c>
      <c r="E1963" s="11" t="inlineStr">
        <is>
          <t>{2}{R/W}{R/W}{R/W}</t>
        </is>
      </c>
      <c r="F1963" s="11" t="inlineStr">
        <is>
          <t>Vermelho, Branco</t>
        </is>
      </c>
      <c r="G1963" s="8" t="n">
        <v>0.15</v>
      </c>
      <c r="H1963" s="11" t="inlineStr">
        <is>
          <t>Avatar: The Last Airbender (TLA)</t>
        </is>
      </c>
      <c r="I1963" s="11" t="inlineStr">
        <is>
          <t>Não</t>
        </is>
      </c>
      <c r="J1963" s="11" t="n">
        <v>2025</v>
      </c>
      <c r="K1963" s="10" t="n">
        <v>46025</v>
      </c>
      <c r="L1963" s="11" t="n">
        <v>1</v>
      </c>
      <c r="M1963" s="8">
        <f>L1963*G1963</f>
        <v/>
      </c>
      <c r="P1963" s="9" t="n"/>
    </row>
    <row r="1964">
      <c r="A1964" s="11" t="inlineStr">
        <is>
          <t>Sun Warriors</t>
        </is>
      </c>
      <c r="B1964" s="11" t="inlineStr">
        <is>
          <t>Creature — Human Warrior Ally</t>
        </is>
      </c>
      <c r="C1964" s="11" t="inlineStr">
        <is>
          <t>Uncommon / Incomum</t>
        </is>
      </c>
      <c r="D1964" s="11" t="inlineStr">
        <is>
          <t>Firebending X, where X is the number of creatures you control. (Whenever this creature attacks, add X {R}. This mana lasts until end of combat.) {5}: Create a 1/1 white Ally creature token.</t>
        </is>
      </c>
      <c r="E1964" s="11" t="inlineStr">
        <is>
          <t>{2}{R}{W}</t>
        </is>
      </c>
      <c r="F1964" s="11" t="inlineStr">
        <is>
          <t>Vermelho, Branco</t>
        </is>
      </c>
      <c r="G1964" s="8" t="n">
        <v>0.15</v>
      </c>
      <c r="H1964" s="11" t="inlineStr">
        <is>
          <t>Avatar: The Last Airbender (TLA)</t>
        </is>
      </c>
      <c r="I1964" s="11" t="inlineStr">
        <is>
          <t>Não</t>
        </is>
      </c>
      <c r="J1964" s="11" t="n">
        <v>2025</v>
      </c>
      <c r="K1964" s="10" t="n">
        <v>46145</v>
      </c>
      <c r="L1964" s="11" t="n">
        <v>1</v>
      </c>
      <c r="M1964" s="8">
        <f>L1964*G1964</f>
        <v/>
      </c>
      <c r="P1964" s="9" t="n"/>
    </row>
    <row r="1965">
      <c r="A1965" s="11" t="inlineStr">
        <is>
          <t>Dragonfly Swarm</t>
        </is>
      </c>
      <c r="B1965" s="11" t="inlineStr">
        <is>
          <t>Creature — Dragon Insect</t>
        </is>
      </c>
      <c r="C1965" s="11" t="inlineStr">
        <is>
          <t>Uncommon / Incomum</t>
        </is>
      </c>
      <c r="D1965" s="11"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1965" s="11" t="inlineStr">
        <is>
          <t>{1}{U}{R}</t>
        </is>
      </c>
      <c r="F1965" s="11" t="inlineStr">
        <is>
          <t>Vermelho, Azul</t>
        </is>
      </c>
      <c r="G1965" s="8" t="n">
        <v>0.24</v>
      </c>
      <c r="H1965" s="11" t="inlineStr">
        <is>
          <t>Avatar: The Last Airbender (TLA)</t>
        </is>
      </c>
      <c r="I1965" s="11" t="inlineStr">
        <is>
          <t>Não</t>
        </is>
      </c>
      <c r="J1965" s="11" t="n">
        <v>2025</v>
      </c>
      <c r="K1965" s="11" t="inlineStr">
        <is>
          <t>*/3</t>
        </is>
      </c>
      <c r="L1965" s="11" t="n">
        <v>1</v>
      </c>
      <c r="M1965" s="8">
        <f>L1965*G1965</f>
        <v/>
      </c>
      <c r="P1965" s="9" t="n"/>
    </row>
    <row r="1966">
      <c r="A1966" s="11" t="inlineStr">
        <is>
          <t>Sokka, Bold Boomeranger</t>
        </is>
      </c>
      <c r="B1966" s="11" t="inlineStr">
        <is>
          <t>Legendary Creature — Human Warrior Ally</t>
        </is>
      </c>
      <c r="C1966" s="11" t="inlineStr">
        <is>
          <t>Rare / Rara</t>
        </is>
      </c>
      <c r="D1966" s="11" t="inlineStr">
        <is>
          <t>When Sokka enters, discard up to two cards, then draw that many cards. Whenever you cast an artifact or Lesson spell, put a +1/+1 counter on Sokka.</t>
        </is>
      </c>
      <c r="E1966" s="11" t="inlineStr">
        <is>
          <t>{U}{R}</t>
        </is>
      </c>
      <c r="F1966" s="11" t="inlineStr">
        <is>
          <t>Vermelho, Azul</t>
        </is>
      </c>
      <c r="G1966" s="8" t="n">
        <v>1.69</v>
      </c>
      <c r="H1966" s="11" t="inlineStr">
        <is>
          <t>Avatar: The Last Airbender (TLA)</t>
        </is>
      </c>
      <c r="I1966" s="11" t="inlineStr">
        <is>
          <t>Não</t>
        </is>
      </c>
      <c r="J1966" s="11" t="n">
        <v>2025</v>
      </c>
      <c r="K1966" s="10" t="n">
        <v>46023</v>
      </c>
      <c r="L1966" s="11" t="n">
        <v>1</v>
      </c>
      <c r="M1966" s="8">
        <f>L1966*G1966</f>
        <v/>
      </c>
      <c r="P1966" s="9" t="n"/>
    </row>
    <row r="1967">
      <c r="A1967" s="11" t="inlineStr">
        <is>
          <t>Professor Zei, Anthropologist</t>
        </is>
      </c>
      <c r="B1967" s="11" t="inlineStr">
        <is>
          <t>Legendary Creature — Human Advisor Ally</t>
        </is>
      </c>
      <c r="C1967" s="11" t="inlineStr">
        <is>
          <t>Uncommon / Incomum</t>
        </is>
      </c>
      <c r="D1967" s="11" t="inlineStr">
        <is>
          <t>{T}, Discard a card: Draw a card. {1}, {T}, Sacrifice Professor Zei: Return target instant or sorcery card from your graveyard to your hand. Activate only during your turn.</t>
        </is>
      </c>
      <c r="E1967" s="11" t="inlineStr">
        <is>
          <t>{U/R}{U/R}</t>
        </is>
      </c>
      <c r="F1967" s="11" t="inlineStr">
        <is>
          <t>Vermelho, Azul</t>
        </is>
      </c>
      <c r="G1967" s="8" t="n">
        <v>0.17</v>
      </c>
      <c r="H1967" s="11" t="inlineStr">
        <is>
          <t>Avatar: The Last Airbender (TLA)</t>
        </is>
      </c>
      <c r="I1967" s="11" t="inlineStr">
        <is>
          <t>Não</t>
        </is>
      </c>
      <c r="J1967" s="11" t="n">
        <v>2025</v>
      </c>
      <c r="K1967" s="11" t="inlineStr">
        <is>
          <t>0/3</t>
        </is>
      </c>
      <c r="L1967" s="11" t="n">
        <v>1</v>
      </c>
      <c r="M1967" s="8">
        <f>L1967*G1967</f>
        <v/>
      </c>
      <c r="P1967" s="9" t="n"/>
    </row>
    <row r="1968">
      <c r="A1968" s="11" t="inlineStr">
        <is>
          <t>Abandon Attachments</t>
        </is>
      </c>
      <c r="B1968" s="11" t="inlineStr">
        <is>
          <t>Instant — Lesson</t>
        </is>
      </c>
      <c r="C1968" s="11" t="inlineStr">
        <is>
          <t>Common / Comum</t>
        </is>
      </c>
      <c r="D1968" s="11" t="inlineStr">
        <is>
          <t>You may discard a card. If you do, draw two cards.</t>
        </is>
      </c>
      <c r="E1968" s="11" t="inlineStr">
        <is>
          <t>{1}{U/R}</t>
        </is>
      </c>
      <c r="F1968" s="11" t="inlineStr">
        <is>
          <t>Vermelho, Azul</t>
        </is>
      </c>
      <c r="G1968" s="8" t="n">
        <v>6.27</v>
      </c>
      <c r="H1968" s="11" t="inlineStr">
        <is>
          <t>Avatar: The Last Airbender (TLA)</t>
        </is>
      </c>
      <c r="I1968" s="11" t="inlineStr">
        <is>
          <t>Não</t>
        </is>
      </c>
      <c r="J1968" s="11" t="n">
        <v>2025</v>
      </c>
      <c r="L1968" s="11" t="n">
        <v>2</v>
      </c>
      <c r="M1968" s="8">
        <f>L1968*G1968</f>
        <v/>
      </c>
      <c r="P1968" s="9" t="n"/>
    </row>
    <row r="1969">
      <c r="A1969" s="11" t="inlineStr">
        <is>
          <t>Suki, Kyoshi Warrior</t>
        </is>
      </c>
      <c r="B1969" s="11" t="inlineStr">
        <is>
          <t>Legendary Creature — Human Warrior Ally</t>
        </is>
      </c>
      <c r="C1969" s="11" t="inlineStr">
        <is>
          <t>Uncommon / Incomum</t>
        </is>
      </c>
      <c r="D1969" s="11" t="inlineStr">
        <is>
          <t>Suki's power is equal to the number of creatures you control. Whenever Suki attacks, create a 1/1 white Ally creature token that's tapped and attacking.</t>
        </is>
      </c>
      <c r="E1969" s="11" t="inlineStr">
        <is>
          <t>{2}{G/W}{G/W}</t>
        </is>
      </c>
      <c r="F1969" s="11" t="inlineStr">
        <is>
          <t>Verde, Branco</t>
        </is>
      </c>
      <c r="G1969" s="8" t="n">
        <v>0.15</v>
      </c>
      <c r="H1969" s="11" t="inlineStr">
        <is>
          <t>Avatar: The Last Airbender (TLA)</t>
        </is>
      </c>
      <c r="I1969" s="11" t="inlineStr">
        <is>
          <t>Não</t>
        </is>
      </c>
      <c r="J1969" s="11" t="n">
        <v>2025</v>
      </c>
      <c r="K1969" s="11" t="inlineStr">
        <is>
          <t>*/4</t>
        </is>
      </c>
      <c r="L1969" s="11" t="n">
        <v>2</v>
      </c>
      <c r="M1969" s="8">
        <f>L1969*G1969</f>
        <v/>
      </c>
      <c r="P1969" s="9" t="n"/>
    </row>
    <row r="1970">
      <c r="A1970" s="11" t="inlineStr">
        <is>
          <t>Earth Kingdom Soldier</t>
        </is>
      </c>
      <c r="B1970" s="11" t="inlineStr">
        <is>
          <t>Creature — Human Soldier</t>
        </is>
      </c>
      <c r="C1970" s="11" t="inlineStr">
        <is>
          <t>Common / Comum</t>
        </is>
      </c>
      <c r="D1970" s="11" t="inlineStr">
        <is>
          <t>Vigilance When this creature enters, put a +1/+1 counter on each of up to two target creatures you control.</t>
        </is>
      </c>
      <c r="E1970" s="11" t="inlineStr">
        <is>
          <t>{4}{G/W}</t>
        </is>
      </c>
      <c r="F1970" s="11" t="inlineStr">
        <is>
          <t>Verde, Branco</t>
        </is>
      </c>
      <c r="G1970" s="8" t="n">
        <v>0.04</v>
      </c>
      <c r="H1970" s="11" t="inlineStr">
        <is>
          <t>Avatar: The Last Airbender (TLA)</t>
        </is>
      </c>
      <c r="I1970" s="11" t="inlineStr">
        <is>
          <t>Não</t>
        </is>
      </c>
      <c r="J1970" s="11" t="n">
        <v>2025</v>
      </c>
      <c r="K1970" s="10" t="n">
        <v>46115</v>
      </c>
      <c r="L1970" s="11" t="n">
        <v>3</v>
      </c>
      <c r="M1970" s="8">
        <f>L1970*G1970</f>
        <v/>
      </c>
      <c r="P1970" s="9" t="n"/>
    </row>
    <row r="1971">
      <c r="A1971" s="11" t="inlineStr">
        <is>
          <t>White Lotus Reinforcements</t>
        </is>
      </c>
      <c r="B1971" s="11" t="inlineStr">
        <is>
          <t>Creature — Human Soldier Ally</t>
        </is>
      </c>
      <c r="C1971" s="11" t="inlineStr">
        <is>
          <t>Uncommon / Incomum</t>
        </is>
      </c>
      <c r="D1971" s="11" t="inlineStr">
        <is>
          <t>Vigilance Other Allies you control get +1/+1.</t>
        </is>
      </c>
      <c r="E1971" s="11" t="inlineStr">
        <is>
          <t>{1}{G}{W}</t>
        </is>
      </c>
      <c r="F1971" s="11" t="inlineStr">
        <is>
          <t>Verde, Branco</t>
        </is>
      </c>
      <c r="G1971" s="8" t="n">
        <v>0.15</v>
      </c>
      <c r="H1971" s="11" t="inlineStr">
        <is>
          <t>Avatar: The Last Airbender (TLA)</t>
        </is>
      </c>
      <c r="I1971" s="11" t="inlineStr">
        <is>
          <t>Não</t>
        </is>
      </c>
      <c r="J1971" s="11" t="n">
        <v>2025</v>
      </c>
      <c r="K1971" s="10" t="n">
        <v>46083</v>
      </c>
      <c r="L1971" s="11" t="n">
        <v>1</v>
      </c>
      <c r="M1971" s="8">
        <f>L1971*G1971</f>
        <v/>
      </c>
      <c r="P1971" s="9" t="n"/>
    </row>
    <row r="1972">
      <c r="A1972" s="11" t="inlineStr">
        <is>
          <t>Azula, Cunning Usurper</t>
        </is>
      </c>
      <c r="B1972" s="11" t="inlineStr">
        <is>
          <t>Legendary Creature — Human Noble Rogue</t>
        </is>
      </c>
      <c r="C1972" s="11" t="inlineStr">
        <is>
          <t>Rare / Rara</t>
        </is>
      </c>
      <c r="D1972" s="11"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1972" s="11" t="inlineStr">
        <is>
          <t>{2}{U}{B}{B}</t>
        </is>
      </c>
      <c r="F1972" s="11" t="inlineStr">
        <is>
          <t>Preto, Azul</t>
        </is>
      </c>
      <c r="G1972" s="8" t="n">
        <v>2.5</v>
      </c>
      <c r="H1972" s="11" t="inlineStr">
        <is>
          <t>Avatar: The Last Airbender (TLA)</t>
        </is>
      </c>
      <c r="I1972" s="11" t="inlineStr">
        <is>
          <t>Sim</t>
        </is>
      </c>
      <c r="J1972" s="11" t="n">
        <v>2025</v>
      </c>
      <c r="K1972" s="10" t="n">
        <v>46116</v>
      </c>
      <c r="L1972" s="11" t="n">
        <v>1</v>
      </c>
      <c r="M1972" s="8">
        <f>L1972*G1972</f>
        <v/>
      </c>
      <c r="P1972" s="9" t="n"/>
    </row>
    <row r="1973">
      <c r="A1973" s="11" t="inlineStr">
        <is>
          <t>Hama, the Bloodbender</t>
        </is>
      </c>
      <c r="B1973" s="11" t="inlineStr">
        <is>
          <t>Legendary Creature — Human Warlock</t>
        </is>
      </c>
      <c r="C1973" s="11" t="inlineStr">
        <is>
          <t>Uncommon / Incomum</t>
        </is>
      </c>
      <c r="D1973" s="11"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1973" s="11" t="inlineStr">
        <is>
          <t>{2}{U/B}{U/B}{U/B}</t>
        </is>
      </c>
      <c r="F1973" s="11" t="inlineStr">
        <is>
          <t>Preto, Azul</t>
        </is>
      </c>
      <c r="G1973" s="8" t="n">
        <v>0.25</v>
      </c>
      <c r="H1973" s="11" t="inlineStr">
        <is>
          <t>Avatar: The Last Airbender (TLA)</t>
        </is>
      </c>
      <c r="I1973" s="11" t="inlineStr">
        <is>
          <t>Sim</t>
        </is>
      </c>
      <c r="J1973" s="11" t="n">
        <v>2025</v>
      </c>
      <c r="K1973" s="10" t="n">
        <v>46084</v>
      </c>
      <c r="L1973" s="11" t="n">
        <v>1</v>
      </c>
      <c r="M1973" s="8">
        <f>L1973*G1973</f>
        <v/>
      </c>
      <c r="P1973" s="9" t="n"/>
    </row>
    <row r="1974">
      <c r="A1974" s="11" t="inlineStr">
        <is>
          <t>Messenger Hawk</t>
        </is>
      </c>
      <c r="B1974" s="11" t="inlineStr">
        <is>
          <t>Creature — Bird Scout</t>
        </is>
      </c>
      <c r="C1974" s="11" t="inlineStr">
        <is>
          <t>Common / Comum</t>
        </is>
      </c>
      <c r="D1974" s="11" t="inlineStr">
        <is>
          <t>Flying When this creature enters, create a Clue token. (It's an artifact with "{2}, Sacrifice this token: Draw a card.") This creature gets +2/+0 as long as you've drawn two or more cards this turn.</t>
        </is>
      </c>
      <c r="E1974" s="11" t="inlineStr">
        <is>
          <t>{2}{U/B}</t>
        </is>
      </c>
      <c r="F1974" s="11" t="inlineStr">
        <is>
          <t>Preto, Azul</t>
        </is>
      </c>
      <c r="G1974" s="8" t="n">
        <v>0.04</v>
      </c>
      <c r="H1974" s="11" t="inlineStr">
        <is>
          <t>Avatar: The Last Airbender (TLA)</t>
        </is>
      </c>
      <c r="I1974" s="11" t="inlineStr">
        <is>
          <t>Não</t>
        </is>
      </c>
      <c r="J1974" s="11" t="n">
        <v>2025</v>
      </c>
      <c r="K1974" s="10" t="n">
        <v>46054</v>
      </c>
      <c r="L1974" s="11" t="n">
        <v>3</v>
      </c>
      <c r="M1974" s="8">
        <f>L1974*G1974</f>
        <v/>
      </c>
      <c r="P1974" s="9" t="n"/>
    </row>
    <row r="1975">
      <c r="A1975" s="11" t="inlineStr">
        <is>
          <t>Platypus-Bear</t>
        </is>
      </c>
      <c r="B1975" s="11" t="inlineStr">
        <is>
          <t>Creature — Platypus Bear</t>
        </is>
      </c>
      <c r="C1975" s="11" t="inlineStr">
        <is>
          <t>Common / Comum</t>
        </is>
      </c>
      <c r="D1975" s="11" t="inlineStr">
        <is>
          <t>Defender When this creature enters, mill two cards. (Put the top two cards of your library into your graveyard.) As long as there is a Lesson card in your graveyard, this creature can attack as though it didn't have defender.</t>
        </is>
      </c>
      <c r="E1975" s="11" t="inlineStr">
        <is>
          <t>{1}{G/U}</t>
        </is>
      </c>
      <c r="F1975" s="11" t="inlineStr">
        <is>
          <t>Verde, Azul</t>
        </is>
      </c>
      <c r="G1975" s="8" t="n">
        <v>0.05</v>
      </c>
      <c r="H1975" s="11" t="inlineStr">
        <is>
          <t>Avatar: The Last Airbender (TLA)</t>
        </is>
      </c>
      <c r="I1975" s="11" t="inlineStr">
        <is>
          <t>Não</t>
        </is>
      </c>
      <c r="J1975" s="11" t="n">
        <v>2025</v>
      </c>
      <c r="K1975" s="10" t="n">
        <v>46083</v>
      </c>
      <c r="L1975" s="11" t="n">
        <v>3</v>
      </c>
      <c r="M1975" s="8">
        <f>L1975*G1975</f>
        <v/>
      </c>
      <c r="P1975" s="9" t="n"/>
    </row>
    <row r="1976">
      <c r="A1976" s="11" t="inlineStr">
        <is>
          <t>Hermitic Herbalist</t>
        </is>
      </c>
      <c r="B1976" s="11" t="inlineStr">
        <is>
          <t>Creature — Human Druid Ally</t>
        </is>
      </c>
      <c r="C1976" s="11" t="inlineStr">
        <is>
          <t>Uncommon / Incomum</t>
        </is>
      </c>
      <c r="D1976" s="11" t="inlineStr">
        <is>
          <t>{T}: Add one mana of any color. {T}: Add two mana in any combination of colors. Spend this mana only to cast Lesson spells.</t>
        </is>
      </c>
      <c r="E1976" s="11" t="inlineStr">
        <is>
          <t>{G}{U}</t>
        </is>
      </c>
      <c r="F1976" s="11" t="inlineStr">
        <is>
          <t>Verde, Azul</t>
        </is>
      </c>
      <c r="G1976" s="8" t="n">
        <v>0.24</v>
      </c>
      <c r="H1976" s="11" t="inlineStr">
        <is>
          <t>Avatar: The Last Airbender (TLA)</t>
        </is>
      </c>
      <c r="I1976" s="11" t="inlineStr">
        <is>
          <t>Não</t>
        </is>
      </c>
      <c r="J1976" s="11" t="n">
        <v>2025</v>
      </c>
      <c r="K1976" s="10" t="n">
        <v>46083</v>
      </c>
      <c r="L1976" s="11" t="n">
        <v>1</v>
      </c>
      <c r="M1976" s="8">
        <f>L1976*G1976</f>
        <v/>
      </c>
      <c r="P1976" s="9" t="n"/>
    </row>
    <row r="1977">
      <c r="A1977" s="11" t="inlineStr">
        <is>
          <t>Vindictive Warden</t>
        </is>
      </c>
      <c r="B1977" s="11" t="inlineStr">
        <is>
          <t>Creature — Human Soldier</t>
        </is>
      </c>
      <c r="C1977" s="11" t="inlineStr">
        <is>
          <t>Common / Comum</t>
        </is>
      </c>
      <c r="D1977" s="11" t="inlineStr">
        <is>
          <t>Menace (This creature can't be blocked except by two or more creatures.) Firebending 1 (Whenever this creature attacks, add {R}. This mana lasts until end of combat.) {3}: This creature deals 1 damage to each opponent.</t>
        </is>
      </c>
      <c r="E1977" s="11" t="inlineStr">
        <is>
          <t>{2}{B/R}</t>
        </is>
      </c>
      <c r="F1977" s="11" t="inlineStr">
        <is>
          <t>Preto, Vermelho</t>
        </is>
      </c>
      <c r="G1977" s="8" t="n">
        <v>0.05</v>
      </c>
      <c r="H1977" s="11" t="inlineStr">
        <is>
          <t>Avatar: The Last Airbender (TLA)</t>
        </is>
      </c>
      <c r="I1977" s="11" t="inlineStr">
        <is>
          <t>Não</t>
        </is>
      </c>
      <c r="J1977" s="11" t="n">
        <v>2025</v>
      </c>
      <c r="K1977" s="10" t="n">
        <v>46083</v>
      </c>
      <c r="L1977" s="11" t="n">
        <v>5</v>
      </c>
      <c r="M1977" s="8">
        <f>L1977*G1977</f>
        <v/>
      </c>
      <c r="P1977" s="9" t="n"/>
    </row>
    <row r="1978">
      <c r="A1978" s="11" t="inlineStr">
        <is>
          <t>Hei Bai, Spirit of Balance</t>
        </is>
      </c>
      <c r="B1978" s="11" t="inlineStr">
        <is>
          <t>Legendary Creature — Bear Spirit</t>
        </is>
      </c>
      <c r="C1978" s="11" t="inlineStr">
        <is>
          <t>Uncommon / Incomum</t>
        </is>
      </c>
      <c r="D1978" s="11" t="inlineStr">
        <is>
          <t>Whenever Hei Bai enters or attacks, you may sacrifice another creature or artifact. If you do, put two +1/+1 counters on Hei Bai. When Hei Bai leaves the battlefield, put its counters on target creature you control.</t>
        </is>
      </c>
      <c r="E1978" s="11" t="inlineStr">
        <is>
          <t>{2}{W/B}{W/B}</t>
        </is>
      </c>
      <c r="F1978" s="11" t="inlineStr">
        <is>
          <t>Preto, Branco</t>
        </is>
      </c>
      <c r="G1978" s="8" t="n">
        <v>0.15</v>
      </c>
      <c r="H1978" s="11" t="inlineStr">
        <is>
          <t>Avatar: The Last Airbender (TLA)</t>
        </is>
      </c>
      <c r="I1978" s="11" t="inlineStr">
        <is>
          <t>Não</t>
        </is>
      </c>
      <c r="J1978" s="11" t="n">
        <v>2025</v>
      </c>
      <c r="K1978" s="10" t="n">
        <v>46084</v>
      </c>
      <c r="L1978" s="11" t="n">
        <v>1</v>
      </c>
      <c r="M1978" s="8">
        <f>L1978*G1978</f>
        <v/>
      </c>
      <c r="P1978" s="9" t="n"/>
    </row>
    <row r="1979">
      <c r="A1979" s="11" t="inlineStr">
        <is>
          <t>Zuko, Conflicted</t>
        </is>
      </c>
      <c r="B1979" s="11" t="inlineStr">
        <is>
          <t>Legendary Creature — Human Rogue</t>
        </is>
      </c>
      <c r="C1979" s="11" t="inlineStr">
        <is>
          <t>Rare / Rara</t>
        </is>
      </c>
      <c r="D1979" s="11" t="inlineStr">
        <is>
          <t>At the beginning of your first main phase, choose one that hasn't been chosen and you lose 2 life — • Draw a card. • Put a +1/+1 counter on Zuko. • Add {R}. • Exile Zuko, then return him to the battlefield under an opponent's control.</t>
        </is>
      </c>
      <c r="E1979" s="11" t="inlineStr">
        <is>
          <t>{B}{R}</t>
        </is>
      </c>
      <c r="F1979" s="11" t="inlineStr">
        <is>
          <t>Preto, Vermelho</t>
        </is>
      </c>
      <c r="G1979" s="8" t="n">
        <v>0.99</v>
      </c>
      <c r="H1979" s="11" t="inlineStr">
        <is>
          <t>Avatar: The Last Airbender (TLA)</t>
        </is>
      </c>
      <c r="I1979" s="11" t="inlineStr">
        <is>
          <t>Não</t>
        </is>
      </c>
      <c r="J1979" s="11" t="n">
        <v>2025</v>
      </c>
      <c r="K1979" s="10" t="n">
        <v>46083</v>
      </c>
      <c r="L1979" s="11" t="n">
        <v>1</v>
      </c>
      <c r="M1979" s="8">
        <f>L1979*G1979</f>
        <v/>
      </c>
      <c r="P1979" s="9" t="n"/>
    </row>
    <row r="1980">
      <c r="A1980" s="11" t="inlineStr">
        <is>
          <t>Azula Always Lies</t>
        </is>
      </c>
      <c r="B1980" s="11" t="inlineStr">
        <is>
          <t>Instant — Lesson</t>
        </is>
      </c>
      <c r="C1980" s="11" t="inlineStr">
        <is>
          <t>Common / Comum</t>
        </is>
      </c>
      <c r="D1980" s="11" t="inlineStr">
        <is>
          <t>Choose one or both — • Target creature gets -1/-1 until end of turn. • Put a +1/+1 counter on target creature.</t>
        </is>
      </c>
      <c r="E1980" s="11" t="inlineStr">
        <is>
          <t>{1}{B}</t>
        </is>
      </c>
      <c r="F1980" s="11" t="inlineStr">
        <is>
          <t>Preto</t>
        </is>
      </c>
      <c r="G1980" s="8" t="n">
        <v>0.04</v>
      </c>
      <c r="H1980" s="11" t="inlineStr">
        <is>
          <t>Avatar: The Last Airbender (TLA)</t>
        </is>
      </c>
      <c r="I1980" s="11" t="inlineStr">
        <is>
          <t>Não</t>
        </is>
      </c>
      <c r="J1980" s="11" t="n">
        <v>2025</v>
      </c>
      <c r="L1980" s="11" t="n">
        <v>1</v>
      </c>
      <c r="M1980" s="8">
        <f>L1980*G1980</f>
        <v/>
      </c>
      <c r="P1980" s="9" t="n"/>
    </row>
    <row r="1981">
      <c r="A1981" s="11" t="inlineStr">
        <is>
          <t>Foggy Swamp Hunters</t>
        </is>
      </c>
      <c r="B1981" s="11" t="inlineStr">
        <is>
          <t>Creature — Human Ranger Ally</t>
        </is>
      </c>
      <c r="C1981" s="11" t="inlineStr">
        <is>
          <t>Common / Comum</t>
        </is>
      </c>
      <c r="D1981" s="11" t="inlineStr">
        <is>
          <t>As long as you've drawn two or more cards this turn, this creature has lifelink and menace. (It can't be blocked except by two or more creatures.)</t>
        </is>
      </c>
      <c r="E1981" s="11" t="inlineStr">
        <is>
          <t>{3}{B}</t>
        </is>
      </c>
      <c r="F1981" s="11" t="inlineStr">
        <is>
          <t>Preto</t>
        </is>
      </c>
      <c r="G1981" s="8" t="n">
        <v>0.06</v>
      </c>
      <c r="H1981" s="11" t="inlineStr">
        <is>
          <t>Avatar: The Last Airbender (TLA)</t>
        </is>
      </c>
      <c r="I1981" s="11" t="inlineStr">
        <is>
          <t>Não</t>
        </is>
      </c>
      <c r="J1981" s="11" t="n">
        <v>2025</v>
      </c>
      <c r="K1981" s="10" t="n">
        <v>46115</v>
      </c>
      <c r="L1981" s="11" t="n">
        <v>2</v>
      </c>
      <c r="M1981" s="8">
        <f>L1981*G1981</f>
        <v/>
      </c>
      <c r="P1981" s="9" t="n"/>
    </row>
    <row r="1982">
      <c r="A1982" s="11" t="inlineStr">
        <is>
          <t>Tundra Tank</t>
        </is>
      </c>
      <c r="B1982" s="11" t="inlineStr">
        <is>
          <t>Artifact — Vehicle</t>
        </is>
      </c>
      <c r="C1982" s="11" t="inlineStr">
        <is>
          <t>Uncommon / Incomum</t>
        </is>
      </c>
      <c r="D1982" s="11"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1982" s="11" t="inlineStr">
        <is>
          <t>{2}{B}</t>
        </is>
      </c>
      <c r="F1982" s="11" t="inlineStr">
        <is>
          <t>Preto</t>
        </is>
      </c>
      <c r="G1982" s="8" t="n">
        <v>0.15</v>
      </c>
      <c r="H1982" s="11" t="inlineStr">
        <is>
          <t>Avatar: The Last Airbender (TLA)</t>
        </is>
      </c>
      <c r="I1982" s="11" t="inlineStr">
        <is>
          <t>Não</t>
        </is>
      </c>
      <c r="J1982" s="11" t="n">
        <v>2025</v>
      </c>
      <c r="K1982" s="10" t="n">
        <v>46116</v>
      </c>
      <c r="L1982" s="11" t="n">
        <v>1</v>
      </c>
      <c r="M1982" s="8">
        <f>L1982*G1982</f>
        <v/>
      </c>
      <c r="P1982" s="9" t="n"/>
    </row>
    <row r="1983">
      <c r="A1983" s="11" t="inlineStr">
        <is>
          <t>Wolfbat</t>
        </is>
      </c>
      <c r="B1983" s="11" t="inlineStr">
        <is>
          <t>Creature — Wolf Bat</t>
        </is>
      </c>
      <c r="C1983" s="11" t="inlineStr">
        <is>
          <t>Uncommon / Incomum</t>
        </is>
      </c>
      <c r="D1983" s="11" t="inlineStr">
        <is>
          <t>Flying Whenever you draw your second card each turn, you may pay {B}. If you do, return this card from your graveyard to the battlefield with a finality counter on it. (If a creature with a finality counter on it would die, exile it instead.)</t>
        </is>
      </c>
      <c r="E1983" s="11" t="inlineStr">
        <is>
          <t>{2}{B}</t>
        </is>
      </c>
      <c r="F1983" s="11" t="inlineStr">
        <is>
          <t>Preto</t>
        </is>
      </c>
      <c r="G1983" s="8" t="n">
        <v>0.09</v>
      </c>
      <c r="H1983" s="11" t="inlineStr">
        <is>
          <t>Avatar: The Last Airbender (TLA)</t>
        </is>
      </c>
      <c r="I1983" s="11" t="inlineStr">
        <is>
          <t>Não</t>
        </is>
      </c>
      <c r="J1983" s="11" t="n">
        <v>2025</v>
      </c>
      <c r="K1983" s="10" t="n">
        <v>46055</v>
      </c>
      <c r="L1983" s="11" t="n">
        <v>1</v>
      </c>
      <c r="M1983" s="8">
        <f>L1983*G1983</f>
        <v/>
      </c>
      <c r="P1983" s="9" t="n"/>
    </row>
    <row r="1984">
      <c r="A1984" s="11" t="inlineStr">
        <is>
          <t>Buzzard-Wasp Colony</t>
        </is>
      </c>
      <c r="B1984" s="11" t="inlineStr">
        <is>
          <t>Creature — Bird Insect</t>
        </is>
      </c>
      <c r="C1984" s="11" t="inlineStr">
        <is>
          <t>Uncommon / Incomum</t>
        </is>
      </c>
      <c r="D1984" s="11" t="inlineStr">
        <is>
          <t>Flying When this creature enters, you may sacrifice an artifact or creature. If you do, draw a card. Whenever another creature you control dies, if it had counters on it, put its counters on this creature.</t>
        </is>
      </c>
      <c r="E1984" s="11" t="inlineStr">
        <is>
          <t>{3}{B}</t>
        </is>
      </c>
      <c r="F1984" s="11" t="inlineStr">
        <is>
          <t>Preto</t>
        </is>
      </c>
      <c r="G1984" s="8" t="n">
        <v>0.13</v>
      </c>
      <c r="H1984" s="11" t="inlineStr">
        <is>
          <t>Avatar: The Last Airbender (TLA)</t>
        </is>
      </c>
      <c r="I1984" s="11" t="inlineStr">
        <is>
          <t>Não</t>
        </is>
      </c>
      <c r="J1984" s="11" t="n">
        <v>2025</v>
      </c>
      <c r="K1984" s="10" t="n">
        <v>46055</v>
      </c>
      <c r="L1984" s="11" t="n">
        <v>1</v>
      </c>
      <c r="M1984" s="8">
        <f>L1984*G1984</f>
        <v/>
      </c>
      <c r="P1984" s="9" t="n"/>
    </row>
    <row r="1985">
      <c r="A1985" s="11" t="inlineStr">
        <is>
          <t>Ruinous Waterbending</t>
        </is>
      </c>
      <c r="B1985" s="11" t="inlineStr">
        <is>
          <t>Sorcery — Lesson</t>
        </is>
      </c>
      <c r="C1985" s="11" t="inlineStr">
        <is>
          <t>Uncommon / Incomum</t>
        </is>
      </c>
      <c r="D1985" s="11"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1985" s="11" t="inlineStr">
        <is>
          <t>{1}{B}{B}</t>
        </is>
      </c>
      <c r="F1985" s="11" t="inlineStr">
        <is>
          <t>Preto</t>
        </is>
      </c>
      <c r="G1985" s="8" t="n">
        <v>0.15</v>
      </c>
      <c r="H1985" s="11" t="inlineStr">
        <is>
          <t>Avatar: The Last Airbender (TLA)</t>
        </is>
      </c>
      <c r="I1985" s="11" t="inlineStr">
        <is>
          <t>Não</t>
        </is>
      </c>
      <c r="J1985" s="11" t="n">
        <v>2025</v>
      </c>
      <c r="L1985" s="11" t="n">
        <v>1</v>
      </c>
      <c r="M1985" s="8">
        <f>L1985*G1985</f>
        <v/>
      </c>
      <c r="P1985" s="9" t="n"/>
    </row>
    <row r="1986">
      <c r="A1986" s="11" t="inlineStr">
        <is>
          <t>Deadly Precision</t>
        </is>
      </c>
      <c r="B1986" s="11" t="inlineStr">
        <is>
          <t>Sorcery</t>
        </is>
      </c>
      <c r="C1986" s="11" t="inlineStr">
        <is>
          <t>Common / Comum</t>
        </is>
      </c>
      <c r="D1986" s="11" t="inlineStr">
        <is>
          <t>As an additional cost to cast this spell, pay {4} or sacrifice an artifact or creature. Destroy target creature.</t>
        </is>
      </c>
      <c r="E1986" s="11" t="inlineStr">
        <is>
          <t>{B}</t>
        </is>
      </c>
      <c r="F1986" s="11" t="inlineStr">
        <is>
          <t>Preto</t>
        </is>
      </c>
      <c r="G1986" s="8" t="n">
        <v>0.06</v>
      </c>
      <c r="H1986" s="11" t="inlineStr">
        <is>
          <t>Avatar: The Last Airbender (TLA)</t>
        </is>
      </c>
      <c r="I1986" s="11" t="inlineStr">
        <is>
          <t>Não</t>
        </is>
      </c>
      <c r="J1986" s="11" t="n">
        <v>2025</v>
      </c>
      <c r="L1986" s="11" t="n">
        <v>2</v>
      </c>
      <c r="M1986" s="8">
        <f>L1986*G1986</f>
        <v/>
      </c>
      <c r="P1986" s="9" t="n"/>
    </row>
    <row r="1987">
      <c r="A1987" s="11" t="inlineStr">
        <is>
          <t>Joo Dee, One of Many</t>
        </is>
      </c>
      <c r="B1987" s="11" t="inlineStr">
        <is>
          <t>Creature — Human Advisor</t>
        </is>
      </c>
      <c r="C1987" s="11" t="inlineStr">
        <is>
          <t>Uncommon / Incomum</t>
        </is>
      </c>
      <c r="D1987" s="11" t="inlineStr">
        <is>
          <t>{B}, {T}: Surveil 1. Create a token that's a copy of this creature, then sacrifice an artifact or creature. Activate only as a sorcery. (To surveil 1, look at the top card of your library. You may put it into your graveyard.)</t>
        </is>
      </c>
      <c r="E1987" s="11" t="inlineStr">
        <is>
          <t>{1}{B}</t>
        </is>
      </c>
      <c r="F1987" s="11" t="inlineStr">
        <is>
          <t>Preto</t>
        </is>
      </c>
      <c r="G1987" s="8" t="n">
        <v>0.09</v>
      </c>
      <c r="H1987" s="11" t="inlineStr">
        <is>
          <t>Avatar: The Last Airbender (TLA)</t>
        </is>
      </c>
      <c r="I1987" s="11" t="inlineStr">
        <is>
          <t>Não</t>
        </is>
      </c>
      <c r="J1987" s="11" t="n">
        <v>2025</v>
      </c>
      <c r="K1987" s="10" t="n">
        <v>46055</v>
      </c>
      <c r="L1987" s="11" t="n">
        <v>1</v>
      </c>
      <c r="M1987" s="8">
        <f>L1987*G1987</f>
        <v/>
      </c>
      <c r="P1987" s="9" t="n"/>
    </row>
    <row r="1988">
      <c r="A1988" s="11" t="inlineStr">
        <is>
          <t>Fire Nation Engineer</t>
        </is>
      </c>
      <c r="B1988" s="11" t="inlineStr">
        <is>
          <t>Creature — Human Artificer</t>
        </is>
      </c>
      <c r="C1988" s="11" t="inlineStr">
        <is>
          <t>Uncommon / Incomum</t>
        </is>
      </c>
      <c r="D1988" s="11" t="inlineStr">
        <is>
          <t>Raid — At the beginning of your end step, if you attacked this turn, put a +1/+1 counter on another target creature or Vehicle you control.</t>
        </is>
      </c>
      <c r="E1988" s="11" t="inlineStr">
        <is>
          <t>{2}{B}</t>
        </is>
      </c>
      <c r="F1988" s="11" t="inlineStr">
        <is>
          <t>Preto</t>
        </is>
      </c>
      <c r="G1988" s="8" t="n">
        <v>0.06</v>
      </c>
      <c r="H1988" s="11" t="inlineStr">
        <is>
          <t>Avatar: The Last Airbender (TLA)</t>
        </is>
      </c>
      <c r="I1988" s="11" t="inlineStr">
        <is>
          <t>Não</t>
        </is>
      </c>
      <c r="J1988" s="11" t="n">
        <v>2025</v>
      </c>
      <c r="K1988" s="10" t="n">
        <v>46083</v>
      </c>
      <c r="L1988" s="11" t="n">
        <v>1</v>
      </c>
      <c r="M1988" s="8">
        <f>L1988*G1988</f>
        <v/>
      </c>
      <c r="P1988" s="9" t="n"/>
    </row>
    <row r="1989">
      <c r="A1989" s="11" t="inlineStr">
        <is>
          <t>Merchant of Many Hats</t>
        </is>
      </c>
      <c r="B1989" s="11" t="inlineStr">
        <is>
          <t>Creature — Human Peasant Ally</t>
        </is>
      </c>
      <c r="C1989" s="11" t="inlineStr">
        <is>
          <t>Common / Comum</t>
        </is>
      </c>
      <c r="D1989" s="11" t="inlineStr">
        <is>
          <t>{2}{B}: Return this card from your graveyard to your hand.</t>
        </is>
      </c>
      <c r="E1989" s="11" t="inlineStr">
        <is>
          <t>{1}{B}</t>
        </is>
      </c>
      <c r="F1989" s="11" t="inlineStr">
        <is>
          <t>Preto</t>
        </is>
      </c>
      <c r="G1989" s="8" t="n">
        <v>0.05</v>
      </c>
      <c r="H1989" s="11" t="inlineStr">
        <is>
          <t>Avatar: The Last Airbender (TLA)</t>
        </is>
      </c>
      <c r="I1989" s="11" t="inlineStr">
        <is>
          <t>Não</t>
        </is>
      </c>
      <c r="J1989" s="11" t="n">
        <v>2025</v>
      </c>
      <c r="K1989" s="10" t="n">
        <v>46055</v>
      </c>
      <c r="L1989" s="11" t="n">
        <v>2</v>
      </c>
      <c r="M1989" s="8">
        <f>L1989*G1989</f>
        <v/>
      </c>
      <c r="P1989" s="9" t="n"/>
    </row>
    <row r="1990">
      <c r="A1990" s="11" t="inlineStr">
        <is>
          <t>Beetle-Headed Merchants</t>
        </is>
      </c>
      <c r="B1990" s="11" t="inlineStr">
        <is>
          <t>Creature — Human Citizen</t>
        </is>
      </c>
      <c r="C1990" s="11" t="inlineStr">
        <is>
          <t>Common / Comum</t>
        </is>
      </c>
      <c r="D1990" s="11" t="inlineStr">
        <is>
          <t>Whenever this creature attacks, you may sacrifice another creature or artifact. If you do, draw a card and put a +1/+1 counter on this creature.</t>
        </is>
      </c>
      <c r="E1990" s="11" t="inlineStr">
        <is>
          <t>{4}{B}</t>
        </is>
      </c>
      <c r="F1990" s="11" t="inlineStr">
        <is>
          <t>Preto</t>
        </is>
      </c>
      <c r="G1990" s="8" t="n">
        <v>0.04</v>
      </c>
      <c r="H1990" s="11" t="inlineStr">
        <is>
          <t>Avatar: The Last Airbender (TLA)</t>
        </is>
      </c>
      <c r="I1990" s="11" t="inlineStr">
        <is>
          <t>Não</t>
        </is>
      </c>
      <c r="J1990" s="11" t="n">
        <v>2025</v>
      </c>
      <c r="K1990" s="10" t="n">
        <v>46117</v>
      </c>
      <c r="L1990" s="11" t="n">
        <v>3</v>
      </c>
      <c r="M1990" s="8">
        <f>L1990*G1990</f>
        <v/>
      </c>
      <c r="P1990" s="9" t="n"/>
    </row>
    <row r="1991">
      <c r="A1991" s="11" t="inlineStr">
        <is>
          <t>Beetle-Headed Merchants</t>
        </is>
      </c>
      <c r="B1991" s="11" t="inlineStr">
        <is>
          <t>Creature — Human Citizen</t>
        </is>
      </c>
      <c r="C1991" s="11" t="inlineStr">
        <is>
          <t>Common / Comum</t>
        </is>
      </c>
      <c r="D1991" s="11" t="inlineStr">
        <is>
          <t>Whenever this creature attacks, you may sacrifice another creature or artifact. If you do, draw a card and put a +1/+1 counter on this creature.</t>
        </is>
      </c>
      <c r="E1991" s="11" t="inlineStr">
        <is>
          <t>{4}{B}</t>
        </is>
      </c>
      <c r="F1991" s="11" t="inlineStr">
        <is>
          <t>Preto</t>
        </is>
      </c>
      <c r="G1991" s="8" t="n">
        <v>0.22</v>
      </c>
      <c r="H1991" s="11" t="inlineStr">
        <is>
          <t>Avatar: The Last Airbender (TLA)</t>
        </is>
      </c>
      <c r="I1991" s="11" t="inlineStr">
        <is>
          <t>Sim</t>
        </is>
      </c>
      <c r="J1991" s="11" t="n">
        <v>2025</v>
      </c>
      <c r="K1991" s="10" t="n">
        <v>46117</v>
      </c>
      <c r="L1991" s="11" t="n">
        <v>1</v>
      </c>
      <c r="M1991" s="8">
        <f>L1991*G1991</f>
        <v/>
      </c>
      <c r="P1991" s="9" t="n"/>
    </row>
    <row r="1992">
      <c r="A1992" s="11" t="inlineStr">
        <is>
          <t>Callous Inspector</t>
        </is>
      </c>
      <c r="B1992" s="11" t="inlineStr">
        <is>
          <t>Creature — Human Soldier</t>
        </is>
      </c>
      <c r="C1992" s="11" t="inlineStr">
        <is>
          <t>Common / Comum</t>
        </is>
      </c>
      <c r="D1992" s="11" t="inlineStr">
        <is>
          <t>Menace (This creature can't be blocked except by two or more creatures.) When this creature dies, it deals 1 damage to you. Create a Clue token. (It's an artifact with "{2}, Sacrifice this token: Draw a card.")</t>
        </is>
      </c>
      <c r="E1992" s="11" t="inlineStr">
        <is>
          <t>{B}</t>
        </is>
      </c>
      <c r="F1992" s="11" t="inlineStr">
        <is>
          <t>Preto</t>
        </is>
      </c>
      <c r="G1992" s="8" t="n">
        <v>0.06</v>
      </c>
      <c r="H1992" s="11" t="inlineStr">
        <is>
          <t>Avatar: The Last Airbender (TLA)</t>
        </is>
      </c>
      <c r="I1992" s="11" t="inlineStr">
        <is>
          <t>Não</t>
        </is>
      </c>
      <c r="J1992" s="11" t="n">
        <v>2025</v>
      </c>
      <c r="K1992" s="10" t="n">
        <v>46023</v>
      </c>
      <c r="L1992" s="11" t="n">
        <v>5</v>
      </c>
      <c r="M1992" s="8">
        <f>L1992*G1992</f>
        <v/>
      </c>
      <c r="P1992" s="9" t="n"/>
    </row>
    <row r="1993">
      <c r="A1993" s="11" t="inlineStr">
        <is>
          <t>Corrupt Court Official / Magistrado Corrupto</t>
        </is>
      </c>
      <c r="B1993" s="11" t="inlineStr">
        <is>
          <t>Creature — Human Advisor / Criatura — Humano Conselheiro</t>
        </is>
      </c>
      <c r="C1993" s="11" t="inlineStr">
        <is>
          <t>Common / Comum</t>
        </is>
      </c>
      <c r="D1993" s="11" t="inlineStr">
        <is>
          <t>When this creature enters, target opponent discards a card. / Quando Magistrado Corrupto entra no campo de batalha, o oponente alvo descarta um card.</t>
        </is>
      </c>
      <c r="E1993" s="11" t="inlineStr">
        <is>
          <t>{1}{B}</t>
        </is>
      </c>
      <c r="F1993" s="11" t="inlineStr">
        <is>
          <t>Preto</t>
        </is>
      </c>
      <c r="G1993" s="8" t="n">
        <v>0.05</v>
      </c>
      <c r="H1993" s="11" t="inlineStr">
        <is>
          <t>Avatar: The Last Airbender (TLA)</t>
        </is>
      </c>
      <c r="I1993" s="11" t="inlineStr">
        <is>
          <t>Não</t>
        </is>
      </c>
      <c r="J1993" s="11" t="n">
        <v>2025</v>
      </c>
      <c r="K1993" s="10" t="n">
        <v>46023</v>
      </c>
      <c r="L1993" s="11" t="n">
        <v>2</v>
      </c>
      <c r="M1993" s="8">
        <f>L1993*G1993</f>
        <v/>
      </c>
      <c r="P1993" s="9" t="n"/>
    </row>
    <row r="1994">
      <c r="A1994" s="11" t="inlineStr">
        <is>
          <t>Canyon Crawler</t>
        </is>
      </c>
      <c r="B1994" s="11" t="inlineStr">
        <is>
          <t>Creature — Spider Beast</t>
        </is>
      </c>
      <c r="C1994" s="11" t="inlineStr">
        <is>
          <t>Common / Comum</t>
        </is>
      </c>
      <c r="D1994" s="11" t="inlineStr">
        <is>
          <t>Deathtouch When this creature enters, create a Food token. (It's an artifact with "{2}, {T}, Sacrifice this token: You gain 3 life.") Swampcycling {2} ({2}, Discard this card: Search your library for a Swamp card, reveal it, put it into your hand, then shuffle.)</t>
        </is>
      </c>
      <c r="E1994" s="11" t="inlineStr">
        <is>
          <t>{4}{B}{B}</t>
        </is>
      </c>
      <c r="F1994" s="11" t="inlineStr">
        <is>
          <t>Preto</t>
        </is>
      </c>
      <c r="G1994" s="8" t="n">
        <v>0.04</v>
      </c>
      <c r="H1994" s="11" t="inlineStr">
        <is>
          <t>Avatar: The Last Airbender (TLA)</t>
        </is>
      </c>
      <c r="I1994" s="11" t="inlineStr">
        <is>
          <t>Não</t>
        </is>
      </c>
      <c r="J1994" s="11" t="n">
        <v>2025</v>
      </c>
      <c r="K1994" s="10" t="n">
        <v>46179</v>
      </c>
      <c r="L1994" s="11" t="n">
        <v>3</v>
      </c>
      <c r="M1994" s="8">
        <f>L1994*G1994</f>
        <v/>
      </c>
      <c r="P1994" s="9" t="n"/>
    </row>
    <row r="1995">
      <c r="A1995" s="11" t="inlineStr">
        <is>
          <t>Swampsnare Trap</t>
        </is>
      </c>
      <c r="B1995" s="11" t="inlineStr">
        <is>
          <t>Enchantment — Aura</t>
        </is>
      </c>
      <c r="C1995" s="11" t="inlineStr">
        <is>
          <t>Common / Comum</t>
        </is>
      </c>
      <c r="D1995" s="11" t="inlineStr">
        <is>
          <t>This spell costs {1} less to cast if it targets a creature with flying. Enchant creature Enchanted creature gets -5/-3.</t>
        </is>
      </c>
      <c r="E1995" s="11" t="inlineStr">
        <is>
          <t>{2}{B}</t>
        </is>
      </c>
      <c r="F1995" s="11" t="inlineStr">
        <is>
          <t>Preto</t>
        </is>
      </c>
      <c r="G1995" s="8" t="n">
        <v>0.05</v>
      </c>
      <c r="H1995" s="11" t="inlineStr">
        <is>
          <t>Avatar: The Last Airbender (TLA)</t>
        </is>
      </c>
      <c r="I1995" s="11" t="inlineStr">
        <is>
          <t>Não</t>
        </is>
      </c>
      <c r="J1995" s="11" t="n">
        <v>2025</v>
      </c>
      <c r="L1995" s="11" t="n">
        <v>4</v>
      </c>
      <c r="M1995" s="8">
        <f>L1995*G1995</f>
        <v/>
      </c>
      <c r="P1995" s="9" t="n"/>
    </row>
    <row r="1996">
      <c r="A1996" s="11" t="inlineStr">
        <is>
          <t>Hog-Monkey</t>
        </is>
      </c>
      <c r="B1996" s="11" t="inlineStr">
        <is>
          <t>Creature — Boar Monkey</t>
        </is>
      </c>
      <c r="C1996" s="11" t="inlineStr">
        <is>
          <t>Common / Comum</t>
        </is>
      </c>
      <c r="D1996" s="11"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1996" s="11" t="inlineStr">
        <is>
          <t>{2}{B}</t>
        </is>
      </c>
      <c r="F1996" s="11" t="inlineStr">
        <is>
          <t>Preto</t>
        </is>
      </c>
      <c r="G1996" s="8" t="n">
        <v>0.05</v>
      </c>
      <c r="H1996" s="11" t="inlineStr">
        <is>
          <t>Avatar: The Last Airbender (TLA)</t>
        </is>
      </c>
      <c r="I1996" s="11" t="inlineStr">
        <is>
          <t>Não</t>
        </is>
      </c>
      <c r="J1996" s="11" t="n">
        <v>2025</v>
      </c>
      <c r="K1996" s="10" t="n">
        <v>46056</v>
      </c>
      <c r="L1996" s="11" t="n">
        <v>3</v>
      </c>
      <c r="M1996" s="8">
        <f>L1996*G1996</f>
        <v/>
      </c>
      <c r="P1996" s="9" t="n"/>
    </row>
    <row r="1997">
      <c r="A1997" s="11" t="inlineStr">
        <is>
          <t>June, Bounty Hunter</t>
        </is>
      </c>
      <c r="B1997" s="11" t="inlineStr">
        <is>
          <t>Legendary Creature — Human Mercenary</t>
        </is>
      </c>
      <c r="C1997" s="11" t="inlineStr">
        <is>
          <t>Uncommon / Incomum</t>
        </is>
      </c>
      <c r="D1997" s="11" t="inlineStr">
        <is>
          <t>June can't be blocked as long as you've drawn two or more cards this turn. {1}, Sacrifice another creature: Create a Clue token. Activate only during your turn. (It's an artifact with "{2}, Sacrifice this token: Draw a card.")</t>
        </is>
      </c>
      <c r="E1997" s="11" t="inlineStr">
        <is>
          <t>{1}{B}</t>
        </is>
      </c>
      <c r="F1997" s="11" t="inlineStr">
        <is>
          <t>Preto</t>
        </is>
      </c>
      <c r="G1997" s="8" t="n">
        <v>0.09</v>
      </c>
      <c r="H1997" s="11" t="inlineStr">
        <is>
          <t>Avatar: The Last Airbender (TLA)</t>
        </is>
      </c>
      <c r="I1997" s="11" t="inlineStr">
        <is>
          <t>Não</t>
        </is>
      </c>
      <c r="J1997" s="11" t="n">
        <v>2025</v>
      </c>
      <c r="K1997" s="10" t="n">
        <v>46055</v>
      </c>
      <c r="L1997" s="11" t="n">
        <v>2</v>
      </c>
      <c r="M1997" s="8">
        <f>L1997*G1997</f>
        <v/>
      </c>
      <c r="P1997" s="9" t="n"/>
    </row>
    <row r="1998">
      <c r="A1998" s="11" t="inlineStr">
        <is>
          <t>Fatal Fissure</t>
        </is>
      </c>
      <c r="B1998" s="11" t="inlineStr">
        <is>
          <t>Instant</t>
        </is>
      </c>
      <c r="C1998" s="11" t="inlineStr">
        <is>
          <t>Uncommon / Incomum</t>
        </is>
      </c>
      <c r="D1998" s="11" t="inlineStr">
        <is>
          <t>Choose target creature. When that creature dies this turn, you earthbend 4. (Target land you control becomes a 0/0 creature with haste that's still a land. Put four +1/+1 counters on it. When it dies or is exiled, return it to the battlefield tapped.)</t>
        </is>
      </c>
      <c r="E1998" s="11" t="inlineStr">
        <is>
          <t>{1}{B}</t>
        </is>
      </c>
      <c r="F1998" s="11" t="inlineStr">
        <is>
          <t>Preto</t>
        </is>
      </c>
      <c r="G1998" s="8" t="n">
        <v>0.07000000000000001</v>
      </c>
      <c r="H1998" s="11" t="inlineStr">
        <is>
          <t>Avatar: The Last Airbender (TLA)</t>
        </is>
      </c>
      <c r="I1998" s="11" t="inlineStr">
        <is>
          <t>Não</t>
        </is>
      </c>
      <c r="J1998" s="11" t="n">
        <v>2025</v>
      </c>
      <c r="L1998" s="11" t="n">
        <v>2</v>
      </c>
      <c r="M1998" s="8">
        <f>L1998*G1998</f>
        <v/>
      </c>
      <c r="P1998" s="9" t="n"/>
    </row>
    <row r="1999">
      <c r="A1999" s="11" t="inlineStr">
        <is>
          <t>Iguana Parrot</t>
        </is>
      </c>
      <c r="B1999" s="11" t="inlineStr">
        <is>
          <t>Creature — Lizard Bird Pirate</t>
        </is>
      </c>
      <c r="C1999" s="11" t="inlineStr">
        <is>
          <t>Common / Comum</t>
        </is>
      </c>
      <c r="D1999" s="11" t="inlineStr">
        <is>
          <t>Flying, vigilance Prowess (Whenever you cast a noncreature spell, this creature gets +1/+1 until end of turn.)</t>
        </is>
      </c>
      <c r="E1999" s="11" t="inlineStr">
        <is>
          <t>{2}{U}</t>
        </is>
      </c>
      <c r="F1999" s="11" t="inlineStr">
        <is>
          <t>Azul</t>
        </is>
      </c>
      <c r="G1999" s="8" t="n">
        <v>0.07000000000000001</v>
      </c>
      <c r="H1999" s="11" t="inlineStr">
        <is>
          <t>Avatar: The Last Airbender (TLA)</t>
        </is>
      </c>
      <c r="I1999" s="11" t="inlineStr">
        <is>
          <t>Não</t>
        </is>
      </c>
      <c r="J1999" s="11" t="n">
        <v>2025</v>
      </c>
      <c r="K1999" s="10" t="n">
        <v>46055</v>
      </c>
      <c r="L1999" s="11" t="n">
        <v>2</v>
      </c>
      <c r="M1999" s="8">
        <f>L1999*G1999</f>
        <v/>
      </c>
      <c r="P1999" s="9" t="n"/>
    </row>
    <row r="2000">
      <c r="A2000" s="11" t="inlineStr">
        <is>
          <t>Knowledge Seeker</t>
        </is>
      </c>
      <c r="B2000" s="11" t="inlineStr">
        <is>
          <t>Creature — Fox Spirit</t>
        </is>
      </c>
      <c r="C2000" s="11" t="inlineStr">
        <is>
          <t>Uncommon / Incomum</t>
        </is>
      </c>
      <c r="D2000" s="11" t="inlineStr">
        <is>
          <t>Vigilance Whenever you draw your second card each turn, put a +1/+1 counter on this creature. When this creature dies, create a Clue token. (It's an artifact with "{2}, Sacrifice this token: Draw a card.")</t>
        </is>
      </c>
      <c r="E2000" s="11" t="inlineStr">
        <is>
          <t>{1}{U}</t>
        </is>
      </c>
      <c r="F2000" s="11" t="inlineStr">
        <is>
          <t>Azul</t>
        </is>
      </c>
      <c r="G2000" s="8" t="n">
        <v>0.15</v>
      </c>
      <c r="H2000" s="11" t="inlineStr">
        <is>
          <t>Avatar: The Last Airbender (TLA)</t>
        </is>
      </c>
      <c r="I2000" s="11" t="inlineStr">
        <is>
          <t>Não</t>
        </is>
      </c>
      <c r="J2000" s="11" t="n">
        <v>2025</v>
      </c>
      <c r="K2000" s="10" t="n">
        <v>46024</v>
      </c>
      <c r="L2000" s="11" t="n">
        <v>1</v>
      </c>
      <c r="M2000" s="8">
        <f>L2000*G2000</f>
        <v/>
      </c>
      <c r="P2000" s="9" t="n"/>
    </row>
    <row r="2001">
      <c r="A2001" s="11" t="inlineStr">
        <is>
          <t>Crashing Wave</t>
        </is>
      </c>
      <c r="B2001" s="11" t="inlineStr">
        <is>
          <t>Sorcery</t>
        </is>
      </c>
      <c r="C2001" s="11" t="inlineStr">
        <is>
          <t>Uncommon / Incomum</t>
        </is>
      </c>
      <c r="D2001" s="11"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2001" s="11" t="inlineStr">
        <is>
          <t>{U}{U}</t>
        </is>
      </c>
      <c r="F2001" s="11" t="inlineStr">
        <is>
          <t>Azul</t>
        </is>
      </c>
      <c r="G2001" s="8" t="n">
        <v>0.2</v>
      </c>
      <c r="H2001" s="11" t="inlineStr">
        <is>
          <t>Avatar: The Last Airbender (TLA)</t>
        </is>
      </c>
      <c r="I2001" s="11" t="inlineStr">
        <is>
          <t>Não</t>
        </is>
      </c>
      <c r="J2001" s="11" t="n">
        <v>2025</v>
      </c>
      <c r="L2001" s="11" t="n">
        <v>1</v>
      </c>
      <c r="M2001" s="8">
        <f>L2001*G2001</f>
        <v/>
      </c>
      <c r="P2001" s="9" t="n"/>
    </row>
    <row r="2002">
      <c r="A2002" s="11" t="inlineStr">
        <is>
          <t>The Spirit Oasis</t>
        </is>
      </c>
      <c r="B2002" s="11" t="inlineStr">
        <is>
          <t>Legendary Enchantment — Shrine</t>
        </is>
      </c>
      <c r="C2002" s="11" t="inlineStr">
        <is>
          <t>Uncommon / Incomum</t>
        </is>
      </c>
      <c r="D2002" s="11" t="inlineStr">
        <is>
          <t>When The Spirit Oasis enters, draw a card for each Shrine you control. Whenever another Shrine you control enters, draw a card.</t>
        </is>
      </c>
      <c r="E2002" s="11" t="inlineStr">
        <is>
          <t>{2}{U}</t>
        </is>
      </c>
      <c r="F2002" s="11" t="inlineStr">
        <is>
          <t>Azul</t>
        </is>
      </c>
      <c r="G2002" s="8" t="n">
        <v>0.2</v>
      </c>
      <c r="H2002" s="11" t="inlineStr">
        <is>
          <t>Avatar: The Last Airbender (TLA)</t>
        </is>
      </c>
      <c r="I2002" s="11" t="inlineStr">
        <is>
          <t>Não</t>
        </is>
      </c>
      <c r="J2002" s="11" t="n">
        <v>2025</v>
      </c>
      <c r="L2002" s="11" t="n">
        <v>1</v>
      </c>
      <c r="M2002" s="8">
        <f>L2002*G2002</f>
        <v/>
      </c>
      <c r="P2002" s="9" t="n"/>
    </row>
    <row r="2003">
      <c r="A2003" s="11" t="inlineStr">
        <is>
          <t>Waterbending Scroll</t>
        </is>
      </c>
      <c r="B2003" s="11" t="inlineStr">
        <is>
          <t>Artifact</t>
        </is>
      </c>
      <c r="C2003" s="11" t="inlineStr">
        <is>
          <t>Uncommon / Incomum</t>
        </is>
      </c>
      <c r="D2003" s="11" t="inlineStr">
        <is>
          <t>{6}, {T}: Draw a card. This ability costs {1} less to activate for each Island you control.</t>
        </is>
      </c>
      <c r="E2003" s="11" t="inlineStr">
        <is>
          <t>{1}{U}</t>
        </is>
      </c>
      <c r="F2003" s="11" t="inlineStr">
        <is>
          <t>Azul</t>
        </is>
      </c>
      <c r="G2003" s="8" t="n">
        <v>0.19</v>
      </c>
      <c r="H2003" s="11" t="inlineStr">
        <is>
          <t>Avatar: The Last Airbender (TLA)</t>
        </is>
      </c>
      <c r="I2003" s="11" t="inlineStr">
        <is>
          <t>Não</t>
        </is>
      </c>
      <c r="J2003" s="11" t="n">
        <v>2025</v>
      </c>
      <c r="L2003" s="11" t="n">
        <v>1</v>
      </c>
      <c r="M2003" s="8">
        <f>L2003*G2003</f>
        <v/>
      </c>
      <c r="P2003" s="9" t="n"/>
    </row>
    <row r="2004">
      <c r="A2004" s="11" t="inlineStr">
        <is>
          <t>Geyser Leaper</t>
        </is>
      </c>
      <c r="B2004" s="11" t="inlineStr">
        <is>
          <t>Creature — Human Warrior Ally</t>
        </is>
      </c>
      <c r="C2004" s="11" t="inlineStr">
        <is>
          <t>Common / Comum</t>
        </is>
      </c>
      <c r="D2004" s="11" t="inlineStr">
        <is>
          <t>Flying Waterbend {4}: Draw a card, then discard a card. (While paying a waterbend cost, you can tap your artifacts and creatures to help. Each one pays for {1}.)</t>
        </is>
      </c>
      <c r="E2004" s="11" t="inlineStr">
        <is>
          <t>{4}{U}</t>
        </is>
      </c>
      <c r="F2004" s="11" t="inlineStr">
        <is>
          <t>Azul</t>
        </is>
      </c>
      <c r="G2004" s="8" t="n">
        <v>0.05</v>
      </c>
      <c r="H2004" s="11" t="inlineStr">
        <is>
          <t>Avatar: The Last Airbender (TLA)</t>
        </is>
      </c>
      <c r="I2004" s="11" t="inlineStr">
        <is>
          <t>Não</t>
        </is>
      </c>
      <c r="J2004" s="11" t="n">
        <v>2025</v>
      </c>
      <c r="K2004" s="10" t="n">
        <v>46085</v>
      </c>
      <c r="L2004" s="11" t="n">
        <v>2</v>
      </c>
      <c r="M2004" s="8">
        <f>L2004*G2004</f>
        <v/>
      </c>
      <c r="P2004" s="9" t="n"/>
    </row>
    <row r="2005">
      <c r="A2005" s="11" t="inlineStr">
        <is>
          <t>Master Pakku</t>
        </is>
      </c>
      <c r="B2005" s="11" t="inlineStr">
        <is>
          <t>Legendary Creature — Human Advisor Ally</t>
        </is>
      </c>
      <c r="C2005" s="11" t="inlineStr">
        <is>
          <t>Uncommon / Incomum</t>
        </is>
      </c>
      <c r="D2005" s="11"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2005" s="11" t="inlineStr">
        <is>
          <t>{1}{U}</t>
        </is>
      </c>
      <c r="F2005" s="11" t="inlineStr">
        <is>
          <t>Azul</t>
        </is>
      </c>
      <c r="G2005" s="8" t="n">
        <v>0.15</v>
      </c>
      <c r="H2005" s="11" t="inlineStr">
        <is>
          <t>Avatar: The Last Airbender (TLA)</t>
        </is>
      </c>
      <c r="I2005" s="11" t="inlineStr">
        <is>
          <t>Não</t>
        </is>
      </c>
      <c r="J2005" s="11" t="n">
        <v>2025</v>
      </c>
      <c r="K2005" s="10" t="n">
        <v>46082</v>
      </c>
      <c r="L2005" s="11" t="n">
        <v>1</v>
      </c>
      <c r="M2005" s="8">
        <f>L2005*G2005</f>
        <v/>
      </c>
      <c r="P2005" s="9" t="n"/>
    </row>
    <row r="2006">
      <c r="A2006" s="11" t="inlineStr">
        <is>
          <t>Ty Lee, Chi Blocker</t>
        </is>
      </c>
      <c r="B2006" s="11" t="inlineStr">
        <is>
          <t>Legendary Creature — Human Performer Ally</t>
        </is>
      </c>
      <c r="C2006" s="11" t="inlineStr">
        <is>
          <t>Rare / Rara</t>
        </is>
      </c>
      <c r="D2006" s="11" t="inlineStr">
        <is>
          <t>Flash Prowess (Whenever you cast a noncreature spell, this creature gets +1/+1 until end of turn.) When Ty Lee enters, tap up to one target creature. It doesn't untap during its controller's untap step for as long as you control Ty Lee.</t>
        </is>
      </c>
      <c r="E2006" s="11" t="inlineStr">
        <is>
          <t>{2}{U}</t>
        </is>
      </c>
      <c r="F2006" s="11" t="inlineStr">
        <is>
          <t>Azul</t>
        </is>
      </c>
      <c r="G2006" s="8" t="n">
        <v>1.2</v>
      </c>
      <c r="H2006" s="11" t="inlineStr">
        <is>
          <t>Avatar: The Last Airbender (TLA)</t>
        </is>
      </c>
      <c r="I2006" s="11" t="inlineStr">
        <is>
          <t>Não</t>
        </is>
      </c>
      <c r="J2006" s="11" t="n">
        <v>2025</v>
      </c>
      <c r="K2006" s="10" t="n">
        <v>46024</v>
      </c>
      <c r="L2006" s="11" t="n">
        <v>1</v>
      </c>
      <c r="M2006" s="8">
        <f>L2006*G2006</f>
        <v/>
      </c>
      <c r="P2006" s="9" t="n"/>
    </row>
    <row r="2007">
      <c r="A2007" s="11" t="inlineStr">
        <is>
          <t>Serpent of the Pass</t>
        </is>
      </c>
      <c r="B2007" s="11" t="inlineStr">
        <is>
          <t>Creature — Serpent</t>
        </is>
      </c>
      <c r="C2007" s="11" t="inlineStr">
        <is>
          <t>Uncommon / Incomum</t>
        </is>
      </c>
      <c r="D2007" s="11" t="inlineStr">
        <is>
          <t>If there are three or more Lesson cards in your graveyard, you may cast this spell as though it had flash. This spell costs {1} less to cast for each noncreature, nonland card in your graveyard.</t>
        </is>
      </c>
      <c r="E2007" s="11" t="inlineStr">
        <is>
          <t>{5}{U}{U}</t>
        </is>
      </c>
      <c r="F2007" s="11" t="inlineStr">
        <is>
          <t>Azul</t>
        </is>
      </c>
      <c r="G2007" s="8" t="n">
        <v>0.15</v>
      </c>
      <c r="H2007" s="11" t="inlineStr">
        <is>
          <t>Avatar: The Last Airbender (TLA)</t>
        </is>
      </c>
      <c r="I2007" s="11" t="inlineStr">
        <is>
          <t>Não</t>
        </is>
      </c>
      <c r="J2007" s="11" t="n">
        <v>2025</v>
      </c>
      <c r="K2007" s="10" t="n">
        <v>46148</v>
      </c>
      <c r="L2007" s="11" t="n">
        <v>1</v>
      </c>
      <c r="M2007" s="8">
        <f>L2007*G2007</f>
        <v/>
      </c>
      <c r="P2007" s="9" t="n"/>
    </row>
    <row r="2008">
      <c r="A2008" s="11" t="inlineStr">
        <is>
          <t>First-Time Flyer</t>
        </is>
      </c>
      <c r="B2008" s="11" t="inlineStr">
        <is>
          <t>Creature — Human Pilot Ally</t>
        </is>
      </c>
      <c r="C2008" s="11" t="inlineStr">
        <is>
          <t>Common / Comum</t>
        </is>
      </c>
      <c r="D2008" s="11" t="inlineStr">
        <is>
          <t>Flying This creature gets +1/+1 as long as there's a Lesson card in your graveyard.</t>
        </is>
      </c>
      <c r="E2008" s="11" t="inlineStr">
        <is>
          <t>{1}{U}</t>
        </is>
      </c>
      <c r="F2008" s="11" t="inlineStr">
        <is>
          <t>Azul</t>
        </is>
      </c>
      <c r="G2008" s="8" t="n">
        <v>0.1</v>
      </c>
      <c r="H2008" s="11" t="inlineStr">
        <is>
          <t>Avatar: The Last Airbender (TLA)</t>
        </is>
      </c>
      <c r="I2008" s="11" t="inlineStr">
        <is>
          <t>Não</t>
        </is>
      </c>
      <c r="J2008" s="11" t="n">
        <v>2025</v>
      </c>
      <c r="K2008" s="10" t="n">
        <v>46054</v>
      </c>
      <c r="L2008" s="11" t="n">
        <v>2</v>
      </c>
      <c r="M2008" s="8">
        <f>L2008*G2008</f>
        <v/>
      </c>
      <c r="P2008" s="9" t="n"/>
    </row>
    <row r="2009">
      <c r="A2009" s="11" t="inlineStr">
        <is>
          <t>It'll Quench Ya!</t>
        </is>
      </c>
      <c r="B2009" s="11" t="inlineStr">
        <is>
          <t>Instant — Lesson</t>
        </is>
      </c>
      <c r="C2009" s="11" t="inlineStr">
        <is>
          <t>Common / Comum</t>
        </is>
      </c>
      <c r="D2009" s="11" t="inlineStr">
        <is>
          <t>Counter target spell unless its controller pays {2}.</t>
        </is>
      </c>
      <c r="E2009" s="11" t="inlineStr">
        <is>
          <t>{1}{U}</t>
        </is>
      </c>
      <c r="F2009" s="11" t="inlineStr">
        <is>
          <t>Azul</t>
        </is>
      </c>
      <c r="G2009" s="8" t="n">
        <v>0.1</v>
      </c>
      <c r="H2009" s="11" t="inlineStr">
        <is>
          <t>Avatar: The Last Airbender (TLA)</t>
        </is>
      </c>
      <c r="I2009" s="11" t="inlineStr">
        <is>
          <t>Não</t>
        </is>
      </c>
      <c r="J2009" s="11" t="n">
        <v>2025</v>
      </c>
      <c r="L2009" s="11" t="n">
        <v>2</v>
      </c>
      <c r="M2009" s="8">
        <f>L2009*G2009</f>
        <v/>
      </c>
      <c r="P2009" s="9" t="n"/>
    </row>
    <row r="2010">
      <c r="A2010" s="11" t="inlineStr">
        <is>
          <t>Octopus Form</t>
        </is>
      </c>
      <c r="B2010" s="11" t="inlineStr">
        <is>
          <t>Instant — Lesson</t>
        </is>
      </c>
      <c r="C2010" s="11" t="inlineStr">
        <is>
          <t>Common / Comum</t>
        </is>
      </c>
      <c r="D2010" s="11" t="inlineStr">
        <is>
          <t>Target creature you control gets +1/+1 and gains hexproof until end of turn. Untap it. (It can't be the target of spells or abilities your opponents control.)</t>
        </is>
      </c>
      <c r="E2010" s="11" t="inlineStr">
        <is>
          <t>{U}</t>
        </is>
      </c>
      <c r="F2010" s="11" t="inlineStr">
        <is>
          <t>Azul</t>
        </is>
      </c>
      <c r="G2010" s="8" t="n">
        <v>0.1</v>
      </c>
      <c r="H2010" s="11" t="inlineStr">
        <is>
          <t>Avatar: The Last Airbender (TLA)</t>
        </is>
      </c>
      <c r="I2010" s="11" t="inlineStr">
        <is>
          <t>Não</t>
        </is>
      </c>
      <c r="J2010" s="11" t="n">
        <v>2025</v>
      </c>
      <c r="L2010" s="11" t="n">
        <v>2</v>
      </c>
      <c r="M2010" s="8">
        <f>L2010*G2010</f>
        <v/>
      </c>
      <c r="P2010" s="9" t="n"/>
    </row>
    <row r="2011">
      <c r="A2011" s="11" t="inlineStr">
        <is>
          <t>Lost Days</t>
        </is>
      </c>
      <c r="B2011" s="11" t="inlineStr">
        <is>
          <t>Instant — Lesson</t>
        </is>
      </c>
      <c r="C2011" s="11" t="inlineStr">
        <is>
          <t>Common / Comum</t>
        </is>
      </c>
      <c r="D2011" s="11" t="inlineStr">
        <is>
          <t>The owner of target creature or enchantment puts it into their library second from the top or on the bottom. You create a Clue token. (It's an artifact with "{2}, Sacrifice this token: Draw a card.")</t>
        </is>
      </c>
      <c r="E2011" s="11" t="inlineStr">
        <is>
          <t>{4}{U}</t>
        </is>
      </c>
      <c r="F2011" s="11" t="inlineStr">
        <is>
          <t>Azul</t>
        </is>
      </c>
      <c r="G2011" s="8" t="n">
        <v>0.1</v>
      </c>
      <c r="H2011" s="11" t="inlineStr">
        <is>
          <t>Avatar: The Last Airbender (TLA)</t>
        </is>
      </c>
      <c r="I2011" s="11" t="inlineStr">
        <is>
          <t>Não</t>
        </is>
      </c>
      <c r="J2011" s="11" t="n">
        <v>2025</v>
      </c>
      <c r="L2011" s="11" t="n">
        <v>2</v>
      </c>
      <c r="M2011" s="8">
        <f>L2011*G2011</f>
        <v/>
      </c>
      <c r="P2011" s="9" t="n"/>
    </row>
    <row r="2012">
      <c r="A2012" s="11" t="inlineStr">
        <is>
          <t>Accumulate Wisdom</t>
        </is>
      </c>
      <c r="B2012" s="11" t="inlineStr">
        <is>
          <t>Instant — Lesson</t>
        </is>
      </c>
      <c r="C2012" s="11" t="inlineStr">
        <is>
          <t>Uncommon / Incomum</t>
        </is>
      </c>
      <c r="D2012" s="11" t="inlineStr">
        <is>
          <t>Look at the top three cards of your library. Put one of those cards into your hand and the rest on the bottom of your library in any order. Put each of those cards into your hand instead if there are three or more Lesson cards in your graveyard.</t>
        </is>
      </c>
      <c r="E2012" s="11" t="inlineStr">
        <is>
          <t>{1}{U}</t>
        </is>
      </c>
      <c r="F2012" s="11" t="inlineStr">
        <is>
          <t>Azul</t>
        </is>
      </c>
      <c r="G2012" s="8" t="n">
        <v>5.7</v>
      </c>
      <c r="H2012" s="11" t="inlineStr">
        <is>
          <t>Avatar: The Last Airbender (TLA)</t>
        </is>
      </c>
      <c r="I2012" s="11" t="inlineStr">
        <is>
          <t>Sim</t>
        </is>
      </c>
      <c r="J2012" s="11" t="n">
        <v>2025</v>
      </c>
      <c r="L2012" s="11" t="n">
        <v>1</v>
      </c>
      <c r="M2012" s="8">
        <f>L2012*G2012</f>
        <v/>
      </c>
      <c r="P2012" s="9" t="n"/>
    </row>
    <row r="2013">
      <c r="A2013" s="11" t="inlineStr">
        <is>
          <t>Rowdy Snowballers</t>
        </is>
      </c>
      <c r="B2013" s="11" t="inlineStr">
        <is>
          <t>Creature — Human Peasant Ally</t>
        </is>
      </c>
      <c r="C2013" s="11" t="inlineStr">
        <is>
          <t>Common / Comum</t>
        </is>
      </c>
      <c r="D2013" s="11" t="inlineStr">
        <is>
          <t>When this creature enters, tap target creature an opponent controls and put a stun counter on it. (If a permanent with a stun counter would become untapped, remove one from it instead.)</t>
        </is>
      </c>
      <c r="E2013" s="11" t="inlineStr">
        <is>
          <t>{2}{U}</t>
        </is>
      </c>
      <c r="F2013" s="11" t="inlineStr">
        <is>
          <t>Azul</t>
        </is>
      </c>
      <c r="G2013" s="8" t="n">
        <v>0.05</v>
      </c>
      <c r="H2013" s="11" t="inlineStr">
        <is>
          <t>Avatar: The Last Airbender (TLA)</t>
        </is>
      </c>
      <c r="I2013" s="11" t="inlineStr">
        <is>
          <t>Não</t>
        </is>
      </c>
      <c r="J2013" s="11" t="n">
        <v>2025</v>
      </c>
      <c r="K2013" s="10" t="n">
        <v>46055</v>
      </c>
      <c r="L2013" s="11" t="n">
        <v>3</v>
      </c>
      <c r="M2013" s="8">
        <f>L2013*G2013</f>
        <v/>
      </c>
      <c r="P2013" s="9" t="n"/>
    </row>
    <row r="2014">
      <c r="A2014" s="11" t="inlineStr">
        <is>
          <t>Katara, Bending Prodigy</t>
        </is>
      </c>
      <c r="B2014" s="11" t="inlineStr">
        <is>
          <t>Legendary Creature — Human Warrior Ally</t>
        </is>
      </c>
      <c r="C2014" s="11" t="inlineStr">
        <is>
          <t>Uncommon / Incomum</t>
        </is>
      </c>
      <c r="D2014" s="11" t="inlineStr">
        <is>
          <t>At the beginning of your end step, if Katara is tapped, put a +1/+1 counter on her. Waterbend {6}: Draw a card. (While paying a waterbend cost, you can tap your artifacts and creatures to help. Each one pays for {1}.)</t>
        </is>
      </c>
      <c r="E2014" s="11" t="inlineStr">
        <is>
          <t>{2}{U}</t>
        </is>
      </c>
      <c r="F2014" s="11" t="inlineStr">
        <is>
          <t>Azul</t>
        </is>
      </c>
      <c r="G2014" s="8" t="n">
        <v>0.2</v>
      </c>
      <c r="H2014" s="11" t="inlineStr">
        <is>
          <t>Avatar: The Last Airbender (TLA)</t>
        </is>
      </c>
      <c r="I2014" s="11" t="inlineStr">
        <is>
          <t>Não</t>
        </is>
      </c>
      <c r="J2014" s="11" t="n">
        <v>2025</v>
      </c>
      <c r="K2014" s="10" t="n">
        <v>46083</v>
      </c>
      <c r="L2014" s="11" t="n">
        <v>1</v>
      </c>
      <c r="M2014" s="8">
        <f>L2014*G2014</f>
        <v/>
      </c>
      <c r="P2014" s="9" t="n"/>
    </row>
    <row r="2015">
      <c r="A2015" s="11" t="inlineStr">
        <is>
          <t>Giant Koi</t>
        </is>
      </c>
      <c r="B2015" s="11" t="inlineStr">
        <is>
          <t>Creature — Fish</t>
        </is>
      </c>
      <c r="C2015" s="11" t="inlineStr">
        <is>
          <t>Common / Comum</t>
        </is>
      </c>
      <c r="D2015" s="11"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2015" s="11" t="inlineStr">
        <is>
          <t>{4}{U}{U}</t>
        </is>
      </c>
      <c r="F2015" s="11" t="inlineStr">
        <is>
          <t>Azul</t>
        </is>
      </c>
      <c r="G2015" s="8" t="n">
        <v>0.05</v>
      </c>
      <c r="H2015" s="11" t="inlineStr">
        <is>
          <t>Avatar: The Last Airbender (TLA)</t>
        </is>
      </c>
      <c r="I2015" s="11" t="inlineStr">
        <is>
          <t>Não</t>
        </is>
      </c>
      <c r="J2015" s="11" t="n">
        <v>2025</v>
      </c>
      <c r="K2015" s="10" t="n">
        <v>46208</v>
      </c>
      <c r="L2015" s="11" t="n">
        <v>3</v>
      </c>
      <c r="M2015" s="8">
        <f>L2015*G2015</f>
        <v/>
      </c>
      <c r="P2015" s="9" t="n"/>
    </row>
    <row r="2016">
      <c r="A2016" s="11" t="inlineStr">
        <is>
          <t>Waterbending Lesson</t>
        </is>
      </c>
      <c r="B2016" s="11" t="inlineStr">
        <is>
          <t>Sorcery — Lesson</t>
        </is>
      </c>
      <c r="C2016" s="11" t="inlineStr">
        <is>
          <t>Common / Comum</t>
        </is>
      </c>
      <c r="D2016" s="11" t="inlineStr">
        <is>
          <t>Draw three cards. Then discard a card unless you waterbend {2}. (While paying a waterbend cost, you can tap your artifacts and creatures to help. Each one pays for {1}.)</t>
        </is>
      </c>
      <c r="E2016" s="11" t="inlineStr">
        <is>
          <t>{3}{U}</t>
        </is>
      </c>
      <c r="F2016" s="11" t="inlineStr">
        <is>
          <t>Azul</t>
        </is>
      </c>
      <c r="G2016" s="8" t="n">
        <v>0.33</v>
      </c>
      <c r="H2016" s="11" t="inlineStr">
        <is>
          <t>Avatar: The Last Airbender (TLA)</t>
        </is>
      </c>
      <c r="I2016" s="11" t="inlineStr">
        <is>
          <t>Sim</t>
        </is>
      </c>
      <c r="J2016" s="11" t="n">
        <v>2025</v>
      </c>
      <c r="L2016" s="11" t="n">
        <v>1</v>
      </c>
      <c r="M2016" s="8">
        <f>L2016*G2016</f>
        <v/>
      </c>
      <c r="P2016" s="9" t="n"/>
    </row>
    <row r="2017">
      <c r="A2017" s="11" t="inlineStr">
        <is>
          <t>Watery Grasp</t>
        </is>
      </c>
      <c r="B2017" s="11" t="inlineStr">
        <is>
          <t>Enchantment — Aura</t>
        </is>
      </c>
      <c r="C2017" s="11" t="inlineStr">
        <is>
          <t>Common / Comum</t>
        </is>
      </c>
      <c r="D2017" s="11" t="inlineStr">
        <is>
          <t>Enchant creature Enchanted creature doesn't untap during its controller's untap step. Waterbend {5}: Enchanted creature's owner shuffles it into their library. (While paying a waterbend cost, you can tap your artifacts and creatures to help. Each one pays for {1}.)</t>
        </is>
      </c>
      <c r="E2017" s="11" t="inlineStr">
        <is>
          <t>{U}</t>
        </is>
      </c>
      <c r="F2017" s="11" t="inlineStr">
        <is>
          <t>Azul</t>
        </is>
      </c>
      <c r="G2017" s="8" t="n">
        <v>0.05</v>
      </c>
      <c r="H2017" s="11" t="inlineStr">
        <is>
          <t>Avatar: The Last Airbender (TLA)</t>
        </is>
      </c>
      <c r="I2017" s="11" t="inlineStr">
        <is>
          <t>Não</t>
        </is>
      </c>
      <c r="J2017" s="11" t="n">
        <v>2025</v>
      </c>
      <c r="L2017" s="11" t="n">
        <v>3</v>
      </c>
      <c r="M2017" s="8">
        <f>L2017*G2017</f>
        <v/>
      </c>
      <c r="P2017" s="9" t="n"/>
    </row>
    <row r="2018">
      <c r="A2018" s="11" t="inlineStr">
        <is>
          <t>Honest Work</t>
        </is>
      </c>
      <c r="B2018" s="11" t="inlineStr">
        <is>
          <t>Enchantment — Aura</t>
        </is>
      </c>
      <c r="C2018" s="11" t="inlineStr">
        <is>
          <t>Uncommon / Incomum</t>
        </is>
      </c>
      <c r="D2018" s="11"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8" s="11" t="inlineStr">
        <is>
          <t>{U}</t>
        </is>
      </c>
      <c r="F2018" s="11" t="inlineStr">
        <is>
          <t>Azul</t>
        </is>
      </c>
      <c r="G2018" s="8" t="n">
        <v>0.2</v>
      </c>
      <c r="H2018" s="11" t="inlineStr">
        <is>
          <t>Avatar: The Last Airbender (TLA)</t>
        </is>
      </c>
      <c r="I2018" s="11" t="inlineStr">
        <is>
          <t>Não</t>
        </is>
      </c>
      <c r="J2018" s="11" t="n">
        <v>2025</v>
      </c>
      <c r="L2018" s="11" t="n">
        <v>1</v>
      </c>
      <c r="M2018" s="8">
        <f>L2018*G2018</f>
        <v/>
      </c>
      <c r="P2018" s="9" t="n"/>
    </row>
    <row r="2019">
      <c r="A2019" s="11" t="inlineStr">
        <is>
          <t>Honest Work</t>
        </is>
      </c>
      <c r="B2019" s="11" t="inlineStr">
        <is>
          <t>Enchantment — Aura</t>
        </is>
      </c>
      <c r="C2019" s="11" t="inlineStr">
        <is>
          <t>Uncommon / Incomum</t>
        </is>
      </c>
      <c r="D2019" s="11"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9" s="11" t="inlineStr">
        <is>
          <t>{U}</t>
        </is>
      </c>
      <c r="F2019" s="11" t="inlineStr">
        <is>
          <t>Azul</t>
        </is>
      </c>
      <c r="G2019" s="8" t="n">
        <v>0.25</v>
      </c>
      <c r="H2019" s="11" t="inlineStr">
        <is>
          <t>Avatar: The Last Airbender (TLA)</t>
        </is>
      </c>
      <c r="I2019" s="11" t="inlineStr">
        <is>
          <t>Sim</t>
        </is>
      </c>
      <c r="J2019" s="11" t="n">
        <v>2025</v>
      </c>
      <c r="L2019" s="11" t="n">
        <v>1</v>
      </c>
      <c r="M2019" s="8">
        <f>L2019*G2019</f>
        <v/>
      </c>
      <c r="P2019" s="9" t="n"/>
    </row>
    <row r="2020">
      <c r="A2020" s="11" t="inlineStr">
        <is>
          <t>Ember Island Production</t>
        </is>
      </c>
      <c r="B2020" s="11" t="inlineStr">
        <is>
          <t>Sorcery</t>
        </is>
      </c>
      <c r="C2020" s="11" t="inlineStr">
        <is>
          <t>Uncommon / Incomum</t>
        </is>
      </c>
      <c r="D2020" s="11"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2020" s="11" t="inlineStr">
        <is>
          <t>{3}{U}{U}</t>
        </is>
      </c>
      <c r="F2020" s="11" t="inlineStr">
        <is>
          <t>Azul</t>
        </is>
      </c>
      <c r="G2020" s="8" t="n">
        <v>0.15</v>
      </c>
      <c r="H2020" s="11" t="inlineStr">
        <is>
          <t>Avatar: The Last Airbender (TLA)</t>
        </is>
      </c>
      <c r="I2020" s="11" t="inlineStr">
        <is>
          <t>Não</t>
        </is>
      </c>
      <c r="J2020" s="11" t="n">
        <v>2025</v>
      </c>
      <c r="L2020" s="11" t="n">
        <v>1</v>
      </c>
      <c r="M2020" s="8">
        <f>L2020*G2020</f>
        <v/>
      </c>
      <c r="P2020" s="9" t="n"/>
    </row>
    <row r="2021">
      <c r="A2021" s="11" t="inlineStr">
        <is>
          <t>North Pole Patrol</t>
        </is>
      </c>
      <c r="B2021" s="11" t="inlineStr">
        <is>
          <t>Creature — Human Soldier Ally</t>
        </is>
      </c>
      <c r="C2021" s="11" t="inlineStr">
        <is>
          <t>Uncommon / Incomum</t>
        </is>
      </c>
      <c r="D2021" s="11" t="inlineStr">
        <is>
          <t>{T}: Untap another target permanent you control. Waterbend {3}, {T}: Tap target creature an opponent controls. (While paying a waterbend cost, you can tap your artifacts and creatures to help. Each one pays for {1}.)</t>
        </is>
      </c>
      <c r="E2021" s="11" t="inlineStr">
        <is>
          <t>{2}{U}</t>
        </is>
      </c>
      <c r="F2021" s="11" t="inlineStr">
        <is>
          <t>Azul</t>
        </is>
      </c>
      <c r="G2021" s="8" t="n">
        <v>0.15</v>
      </c>
      <c r="H2021" s="11" t="inlineStr">
        <is>
          <t>Avatar: The Last Airbender (TLA)</t>
        </is>
      </c>
      <c r="I2021" s="11" t="inlineStr">
        <is>
          <t>Não</t>
        </is>
      </c>
      <c r="J2021" s="11" t="n">
        <v>2025</v>
      </c>
      <c r="K2021" s="10" t="n">
        <v>46083</v>
      </c>
      <c r="L2021" s="11" t="n">
        <v>1</v>
      </c>
      <c r="M2021" s="8">
        <f>L2021*G2021</f>
        <v/>
      </c>
      <c r="P2021" s="9" t="n"/>
    </row>
    <row r="2022">
      <c r="A2022" s="11" t="inlineStr">
        <is>
          <t>Otter-Penguin</t>
        </is>
      </c>
      <c r="B2022" s="11" t="inlineStr">
        <is>
          <t>Creature — Otter Bird</t>
        </is>
      </c>
      <c r="C2022" s="11" t="inlineStr">
        <is>
          <t>Common / Comum</t>
        </is>
      </c>
      <c r="D2022" s="11" t="inlineStr">
        <is>
          <t>Whenever you draw your second card each turn, this creature gets +1/+2 until end of turn and can't be blocked this turn.</t>
        </is>
      </c>
      <c r="E2022" s="11" t="inlineStr">
        <is>
          <t>{1}{U}</t>
        </is>
      </c>
      <c r="F2022" s="11" t="inlineStr">
        <is>
          <t>Azul</t>
        </is>
      </c>
      <c r="G2022" s="8" t="n">
        <v>0.1</v>
      </c>
      <c r="H2022" s="11" t="inlineStr">
        <is>
          <t>Avatar: The Last Airbender (TLA)</t>
        </is>
      </c>
      <c r="I2022" s="11" t="inlineStr">
        <is>
          <t>Não</t>
        </is>
      </c>
      <c r="J2022" s="11" t="n">
        <v>2025</v>
      </c>
      <c r="K2022" s="10" t="n">
        <v>46024</v>
      </c>
      <c r="L2022" s="11" t="n">
        <v>1</v>
      </c>
      <c r="M2022" s="8">
        <f>L2022*G2022</f>
        <v/>
      </c>
      <c r="P2022" s="9" t="n"/>
    </row>
    <row r="2023">
      <c r="A2023" s="11" t="inlineStr">
        <is>
          <t>Firebending Lesson</t>
        </is>
      </c>
      <c r="B2023" s="11" t="inlineStr">
        <is>
          <t>Instant — Lesson</t>
        </is>
      </c>
      <c r="C2023" s="11" t="inlineStr">
        <is>
          <t>Common / Comum</t>
        </is>
      </c>
      <c r="D2023" s="11" t="inlineStr">
        <is>
          <t>Kicker {4} (You may pay an additional {4} as you cast this spell.) Firebending Lesson deals 2 damage to target creature. If this spell was kicked, it deals 5 damage to that creature instead.</t>
        </is>
      </c>
      <c r="E2023" s="11" t="inlineStr">
        <is>
          <t>{R}</t>
        </is>
      </c>
      <c r="F2023" s="11" t="inlineStr">
        <is>
          <t>Vermelho</t>
        </is>
      </c>
      <c r="G2023" s="8" t="n">
        <v>0.2</v>
      </c>
      <c r="H2023" s="11" t="inlineStr">
        <is>
          <t>Avatar: The Last Airbender (TLA)</t>
        </is>
      </c>
      <c r="I2023" s="11" t="inlineStr">
        <is>
          <t>Não</t>
        </is>
      </c>
      <c r="J2023" s="11" t="n">
        <v>2025</v>
      </c>
      <c r="L2023" s="11" t="n">
        <v>1</v>
      </c>
      <c r="M2023" s="8">
        <f>L2023*G2023</f>
        <v/>
      </c>
      <c r="P2023" s="9" t="n"/>
    </row>
    <row r="2024">
      <c r="A2024" s="11" t="inlineStr">
        <is>
          <t>Deserter's Disciple</t>
        </is>
      </c>
      <c r="B2024" s="11" t="inlineStr">
        <is>
          <t>Creature — Human Rebel Ally</t>
        </is>
      </c>
      <c r="C2024" s="11" t="inlineStr">
        <is>
          <t>Common / Comum</t>
        </is>
      </c>
      <c r="D2024" s="11" t="inlineStr">
        <is>
          <t>{T}: Another target creature you control with power 2 or less can't be blocked this turn.</t>
        </is>
      </c>
      <c r="E2024" s="11" t="inlineStr">
        <is>
          <t>{1}{R}</t>
        </is>
      </c>
      <c r="F2024" s="11" t="inlineStr">
        <is>
          <t>Vermelho</t>
        </is>
      </c>
      <c r="G2024" s="8" t="n">
        <v>0.06</v>
      </c>
      <c r="H2024" s="11" t="inlineStr">
        <is>
          <t>Avatar: The Last Airbender (TLA)</t>
        </is>
      </c>
      <c r="I2024" s="11" t="inlineStr">
        <is>
          <t>Não</t>
        </is>
      </c>
      <c r="J2024" s="11" t="n">
        <v>2025</v>
      </c>
      <c r="K2024" s="10" t="n">
        <v>46055</v>
      </c>
      <c r="L2024" s="11" t="n">
        <v>1</v>
      </c>
      <c r="M2024" s="8">
        <f>L2024*G2024</f>
        <v/>
      </c>
      <c r="P2024" s="9" t="n"/>
    </row>
    <row r="2025">
      <c r="A2025" s="11" t="inlineStr">
        <is>
          <t>Yuyan Archers</t>
        </is>
      </c>
      <c r="B2025" s="11" t="inlineStr">
        <is>
          <t>Creature — Human Archer</t>
        </is>
      </c>
      <c r="C2025" s="11" t="inlineStr">
        <is>
          <t>Common / Comum</t>
        </is>
      </c>
      <c r="D2025" s="11" t="inlineStr">
        <is>
          <t>Reach When this creature enters, you may discard a card. If you do, draw a card.</t>
        </is>
      </c>
      <c r="E2025" s="11" t="inlineStr">
        <is>
          <t>{1}{R}</t>
        </is>
      </c>
      <c r="F2025" s="11" t="inlineStr">
        <is>
          <t>Vermelho</t>
        </is>
      </c>
      <c r="G2025" s="8" t="n">
        <v>0.09</v>
      </c>
      <c r="H2025" s="11" t="inlineStr">
        <is>
          <t>Avatar: The Last Airbender (TLA)</t>
        </is>
      </c>
      <c r="I2025" s="11" t="inlineStr">
        <is>
          <t>Não</t>
        </is>
      </c>
      <c r="J2025" s="11" t="n">
        <v>2025</v>
      </c>
      <c r="K2025" s="10" t="n">
        <v>46025</v>
      </c>
      <c r="L2025" s="11" t="n">
        <v>2</v>
      </c>
      <c r="M2025" s="8">
        <f>L2025*G2025</f>
        <v/>
      </c>
      <c r="P2025" s="9" t="n"/>
    </row>
    <row r="2026">
      <c r="A2026" s="11" t="inlineStr">
        <is>
          <t>Mai, Jaded Edge</t>
        </is>
      </c>
      <c r="B2026" s="11" t="inlineStr">
        <is>
          <t>Legendary Creature — Human Noble</t>
        </is>
      </c>
      <c r="C2026" s="11" t="inlineStr">
        <is>
          <t>Uncommon / Incomum</t>
        </is>
      </c>
      <c r="D2026" s="11" t="inlineStr">
        <is>
          <t>Prowess (Whenever you cast a noncreature spell, this creature gets +1/+1 until end of turn.) Exhaust — {3}: Put a double strike counter on Mai. (Activate each exhaust ability only once.)</t>
        </is>
      </c>
      <c r="E2026" s="11" t="inlineStr">
        <is>
          <t>{1}{R}</t>
        </is>
      </c>
      <c r="F2026" s="11" t="inlineStr">
        <is>
          <t>Vermelho</t>
        </is>
      </c>
      <c r="G2026" s="8" t="n">
        <v>0.15</v>
      </c>
      <c r="H2026" s="11" t="inlineStr">
        <is>
          <t>Avatar: The Last Airbender (TLA)</t>
        </is>
      </c>
      <c r="I2026" s="11" t="inlineStr">
        <is>
          <t>Não</t>
        </is>
      </c>
      <c r="J2026" s="11" t="n">
        <v>2025</v>
      </c>
      <c r="K2026" s="10" t="n">
        <v>46082</v>
      </c>
      <c r="L2026" s="11" t="n">
        <v>1</v>
      </c>
      <c r="M2026" s="8">
        <f>L2026*G2026</f>
        <v/>
      </c>
      <c r="P2026" s="9" t="n"/>
    </row>
    <row r="2027">
      <c r="A2027" s="11" t="inlineStr">
        <is>
          <t>Treetop Freedom Fighters</t>
        </is>
      </c>
      <c r="B2027" s="11" t="inlineStr">
        <is>
          <t>Creature — Human Rebel Ally</t>
        </is>
      </c>
      <c r="C2027" s="11" t="inlineStr">
        <is>
          <t>Common / Comum</t>
        </is>
      </c>
      <c r="D2027" s="11" t="inlineStr">
        <is>
          <t>Haste When this creature enters, create a 1/1 white Ally creature token.</t>
        </is>
      </c>
      <c r="E2027" s="11" t="inlineStr">
        <is>
          <t>{2}{R}</t>
        </is>
      </c>
      <c r="F2027" s="11" t="inlineStr">
        <is>
          <t>Vermelho</t>
        </is>
      </c>
      <c r="G2027" s="8" t="n">
        <v>0.05</v>
      </c>
      <c r="H2027" s="11" t="inlineStr">
        <is>
          <t>Avatar: The Last Airbender (TLA)</t>
        </is>
      </c>
      <c r="I2027" s="11" t="inlineStr">
        <is>
          <t>Não</t>
        </is>
      </c>
      <c r="J2027" s="11" t="n">
        <v>2025</v>
      </c>
      <c r="K2027" s="10" t="n">
        <v>46024</v>
      </c>
      <c r="L2027" s="11" t="n">
        <v>2</v>
      </c>
      <c r="M2027" s="8">
        <f>L2027*G2027</f>
        <v/>
      </c>
      <c r="P2027" s="9" t="n"/>
    </row>
    <row r="2028">
      <c r="A2028" s="11" t="inlineStr">
        <is>
          <t>Fire Nation Raider</t>
        </is>
      </c>
      <c r="B2028" s="11" t="inlineStr">
        <is>
          <t>Creature — Human Soldier</t>
        </is>
      </c>
      <c r="C2028" s="11" t="inlineStr">
        <is>
          <t>Common / Comum</t>
        </is>
      </c>
      <c r="D2028" s="11" t="inlineStr">
        <is>
          <t>Raid — When this creature enters, if you attacked this turn, create a Clue token. (It's an artifact with "{2}, Sacrifice this token: Draw a card.")</t>
        </is>
      </c>
      <c r="E2028" s="11" t="inlineStr">
        <is>
          <t>{3}{R}</t>
        </is>
      </c>
      <c r="F2028" s="11" t="inlineStr">
        <is>
          <t>Vermelho</t>
        </is>
      </c>
      <c r="G2028" s="8" t="n">
        <v>0.06</v>
      </c>
      <c r="H2028" s="11" t="inlineStr">
        <is>
          <t>Avatar: The Last Airbender (TLA)</t>
        </is>
      </c>
      <c r="I2028" s="11" t="inlineStr">
        <is>
          <t>Não</t>
        </is>
      </c>
      <c r="J2028" s="11" t="n">
        <v>2025</v>
      </c>
      <c r="K2028" s="10" t="n">
        <v>46057</v>
      </c>
      <c r="L2028" s="11" t="n">
        <v>1</v>
      </c>
      <c r="M2028" s="8">
        <f>L2028*G2028</f>
        <v/>
      </c>
      <c r="P2028" s="9" t="n"/>
    </row>
    <row r="2029">
      <c r="A2029" s="11" t="inlineStr">
        <is>
          <t>War Balloon</t>
        </is>
      </c>
      <c r="B2029" s="11" t="inlineStr">
        <is>
          <t>Artifact — Vehicle</t>
        </is>
      </c>
      <c r="C2029" s="11" t="inlineStr">
        <is>
          <t>Uncommon / Incomum</t>
        </is>
      </c>
      <c r="D2029" s="11"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2029" s="11" t="inlineStr">
        <is>
          <t>{2}{R}</t>
        </is>
      </c>
      <c r="F2029" s="11" t="inlineStr">
        <is>
          <t>Vermelho</t>
        </is>
      </c>
      <c r="G2029" s="8" t="n">
        <v>0.1</v>
      </c>
      <c r="H2029" s="11" t="inlineStr">
        <is>
          <t>Avatar: The Last Airbender (TLA)</t>
        </is>
      </c>
      <c r="I2029" s="11" t="inlineStr">
        <is>
          <t>Não</t>
        </is>
      </c>
      <c r="J2029" s="11" t="n">
        <v>2025</v>
      </c>
      <c r="K2029" s="10" t="n">
        <v>46085</v>
      </c>
      <c r="L2029" s="11" t="n">
        <v>1</v>
      </c>
      <c r="M2029" s="8">
        <f>L2029*G2029</f>
        <v/>
      </c>
      <c r="P2029" s="9" t="n"/>
    </row>
    <row r="2030">
      <c r="A2030" s="11" t="inlineStr">
        <is>
          <t>Zuko, Exiled Prince</t>
        </is>
      </c>
      <c r="B2030" s="11" t="inlineStr">
        <is>
          <t>Legendary Creature — Human Noble</t>
        </is>
      </c>
      <c r="C2030" s="11" t="inlineStr">
        <is>
          <t>Uncommon / Incomum</t>
        </is>
      </c>
      <c r="D2030" s="11" t="inlineStr">
        <is>
          <t>Firebending 3 (Whenever this creature attacks, add {R}{R}{R}. This mana lasts until end of combat.) {3}: Exile the top card of your library. You may play that card this turn.</t>
        </is>
      </c>
      <c r="E2030" s="11" t="inlineStr">
        <is>
          <t>{3}{R}</t>
        </is>
      </c>
      <c r="F2030" s="11" t="inlineStr">
        <is>
          <t>Vermelho</t>
        </is>
      </c>
      <c r="G2030" s="8" t="n">
        <v>0.2</v>
      </c>
      <c r="H2030" s="11" t="inlineStr">
        <is>
          <t>Avatar: The Last Airbender (TLA)</t>
        </is>
      </c>
      <c r="I2030" s="11" t="inlineStr">
        <is>
          <t>Não</t>
        </is>
      </c>
      <c r="J2030" s="11" t="n">
        <v>2025</v>
      </c>
      <c r="K2030" s="10" t="n">
        <v>46085</v>
      </c>
      <c r="L2030" s="11" t="n">
        <v>1</v>
      </c>
      <c r="M2030" s="8">
        <f>L2030*G2030</f>
        <v/>
      </c>
      <c r="P2030" s="9" t="n"/>
    </row>
    <row r="2031">
      <c r="A2031" s="11" t="inlineStr">
        <is>
          <t>Ran and Shaw</t>
        </is>
      </c>
      <c r="B2031" s="11" t="inlineStr">
        <is>
          <t>Legendary Creature — Dragon</t>
        </is>
      </c>
      <c r="C2031" s="11" t="inlineStr">
        <is>
          <t>Rare / Rara</t>
        </is>
      </c>
      <c r="D2031" s="11" t="inlineStr">
        <is>
          <t>Flying, firebending 2 When Ran and Shaw enter, if you cast them and there are three or more Dragon and/or Lesson cards in your graveyard, create a token that's a copy of Ran and Shaw, except it's not legendary. {3}{R}: Dragons you control get +2/+0 until end of turn.</t>
        </is>
      </c>
      <c r="E2031" s="11" t="inlineStr">
        <is>
          <t>{3}{R}{R}</t>
        </is>
      </c>
      <c r="F2031" s="11" t="inlineStr">
        <is>
          <t>Vermelho</t>
        </is>
      </c>
      <c r="G2031" s="8" t="n">
        <v>0.39</v>
      </c>
      <c r="H2031" s="11" t="inlineStr">
        <is>
          <t>Avatar: The Last Airbender (TLA)</t>
        </is>
      </c>
      <c r="I2031" s="11" t="inlineStr">
        <is>
          <t>Não</t>
        </is>
      </c>
      <c r="J2031" s="11" t="n">
        <v>2025</v>
      </c>
      <c r="K2031" s="10" t="n">
        <v>46116</v>
      </c>
      <c r="L2031" s="11" t="n">
        <v>1</v>
      </c>
      <c r="M2031" s="8">
        <f>L2031*G2031</f>
        <v/>
      </c>
      <c r="P2031" s="9" t="n"/>
    </row>
    <row r="2032">
      <c r="A2032" s="11" t="inlineStr">
        <is>
          <t>Solstice Revelations</t>
        </is>
      </c>
      <c r="B2032" s="11" t="inlineStr">
        <is>
          <t>Instant — Lesson</t>
        </is>
      </c>
      <c r="C2032" s="11" t="inlineStr">
        <is>
          <t>Uncommon / Incomum</t>
        </is>
      </c>
      <c r="D2032" s="11"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2032" s="11" t="inlineStr">
        <is>
          <t>{2}{R}</t>
        </is>
      </c>
      <c r="F2032" s="11" t="inlineStr">
        <is>
          <t>Vermelho</t>
        </is>
      </c>
      <c r="G2032" s="8" t="n">
        <v>0.23</v>
      </c>
      <c r="H2032" s="11" t="inlineStr">
        <is>
          <t>Avatar: The Last Airbender (TLA)</t>
        </is>
      </c>
      <c r="I2032" s="11" t="inlineStr">
        <is>
          <t>Não</t>
        </is>
      </c>
      <c r="J2032" s="11" t="n">
        <v>2025</v>
      </c>
      <c r="L2032" s="11" t="n">
        <v>1</v>
      </c>
      <c r="M2032" s="8">
        <f>L2032*G2032</f>
        <v/>
      </c>
      <c r="P2032" s="9" t="n"/>
    </row>
    <row r="2033">
      <c r="A2033" s="11" t="inlineStr">
        <is>
          <t>Jet's Brainwashing</t>
        </is>
      </c>
      <c r="B2033" s="11" t="inlineStr">
        <is>
          <t>Sorcery</t>
        </is>
      </c>
      <c r="C2033" s="11" t="inlineStr">
        <is>
          <t>Uncommon / Incomum</t>
        </is>
      </c>
      <c r="D2033" s="11"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2033" s="11" t="inlineStr">
        <is>
          <t>{R}</t>
        </is>
      </c>
      <c r="F2033" s="11" t="inlineStr">
        <is>
          <t>Vermelho</t>
        </is>
      </c>
      <c r="G2033" s="8" t="n">
        <v>0.15</v>
      </c>
      <c r="H2033" s="11" t="inlineStr">
        <is>
          <t>Avatar: The Last Airbender (TLA)</t>
        </is>
      </c>
      <c r="I2033" s="11" t="inlineStr">
        <is>
          <t>Não</t>
        </is>
      </c>
      <c r="J2033" s="11" t="n">
        <v>2025</v>
      </c>
      <c r="L2033" s="11" t="n">
        <v>1</v>
      </c>
      <c r="M2033" s="8">
        <f>L2033*G2033</f>
        <v/>
      </c>
      <c r="P2033" s="9" t="n"/>
    </row>
    <row r="2034">
      <c r="A2034" s="11" t="inlineStr">
        <is>
          <t>Rough Rhino Cavalry</t>
        </is>
      </c>
      <c r="B2034" s="11" t="inlineStr">
        <is>
          <t>Creature — Human Mercenary</t>
        </is>
      </c>
      <c r="C2034" s="11" t="inlineStr">
        <is>
          <t>Common / Comum</t>
        </is>
      </c>
      <c r="D2034" s="11" t="inlineStr">
        <is>
          <t>Firebending 2 (Whenever this creature attacks, add {R}{R}. This mana lasts until end of combat.) Exhaust — {8}: Put two +1/+1 counters on this creature. It gains trample until end of turn. (Activate each exhaust ability only once.)</t>
        </is>
      </c>
      <c r="E2034" s="11" t="inlineStr">
        <is>
          <t>{4}{R}</t>
        </is>
      </c>
      <c r="F2034" s="11" t="inlineStr">
        <is>
          <t>Vermelho</t>
        </is>
      </c>
      <c r="G2034" s="8" t="n">
        <v>0.03</v>
      </c>
      <c r="H2034" s="11" t="inlineStr">
        <is>
          <t>Avatar: The Last Airbender (TLA)</t>
        </is>
      </c>
      <c r="I2034" s="11" t="inlineStr">
        <is>
          <t>Não</t>
        </is>
      </c>
      <c r="J2034" s="11" t="n">
        <v>2025</v>
      </c>
      <c r="K2034" s="10" t="n">
        <v>46147</v>
      </c>
      <c r="L2034" s="11" t="n">
        <v>2</v>
      </c>
      <c r="M2034" s="8">
        <f>L2034*G2034</f>
        <v/>
      </c>
      <c r="P2034" s="9" t="n"/>
    </row>
    <row r="2035">
      <c r="A2035" s="11" t="inlineStr">
        <is>
          <t>Boar-q-pine</t>
        </is>
      </c>
      <c r="B2035" s="11" t="inlineStr">
        <is>
          <t>Creature — Boar Porcupine</t>
        </is>
      </c>
      <c r="C2035" s="11" t="inlineStr">
        <is>
          <t>Common / Comum</t>
        </is>
      </c>
      <c r="D2035" s="11" t="inlineStr">
        <is>
          <t>Whenever you cast a noncreature spell, put a +1/+1 counter on this creature.</t>
        </is>
      </c>
      <c r="E2035" s="11" t="inlineStr">
        <is>
          <t>{2}{R}</t>
        </is>
      </c>
      <c r="F2035" s="11" t="inlineStr">
        <is>
          <t>Vermelho</t>
        </is>
      </c>
      <c r="G2035" s="8" t="n">
        <v>0.06</v>
      </c>
      <c r="H2035" s="11" t="inlineStr">
        <is>
          <t>Avatar: The Last Airbender (TLA)</t>
        </is>
      </c>
      <c r="I2035" s="11" t="inlineStr">
        <is>
          <t>Não</t>
        </is>
      </c>
      <c r="J2035" s="11" t="n">
        <v>2025</v>
      </c>
      <c r="K2035" s="10" t="n">
        <v>46055</v>
      </c>
      <c r="L2035" s="11" t="n">
        <v>4</v>
      </c>
      <c r="M2035" s="8">
        <f>L2035*G2035</f>
        <v/>
      </c>
      <c r="P2035" s="9" t="n"/>
    </row>
    <row r="2036">
      <c r="A2036" s="11" t="inlineStr">
        <is>
          <t>Fire Nation Cadets</t>
        </is>
      </c>
      <c r="B2036" s="11" t="inlineStr">
        <is>
          <t>Creature — Human Soldier</t>
        </is>
      </c>
      <c r="C2036" s="11" t="inlineStr">
        <is>
          <t>Common / Comum</t>
        </is>
      </c>
      <c r="D2036" s="11" t="inlineStr">
        <is>
          <t>This creature has firebending 2 as long as there's a Lesson card in your graveyard. (Whenever this creature attacks, add {R}{R}. This mana lasts until end of combat.) {2}: This creature gets +1/+0 until end of turn.</t>
        </is>
      </c>
      <c r="E2036" s="11" t="inlineStr">
        <is>
          <t>{R}</t>
        </is>
      </c>
      <c r="F2036" s="11" t="inlineStr">
        <is>
          <t>Vermelho</t>
        </is>
      </c>
      <c r="G2036" s="8" t="n">
        <v>0.09</v>
      </c>
      <c r="H2036" s="11" t="inlineStr">
        <is>
          <t>Avatar: The Last Airbender (TLA)</t>
        </is>
      </c>
      <c r="I2036" s="11" t="inlineStr">
        <is>
          <t>Não</t>
        </is>
      </c>
      <c r="J2036" s="11" t="n">
        <v>2025</v>
      </c>
      <c r="K2036" s="10" t="n">
        <v>46054</v>
      </c>
      <c r="L2036" s="11" t="n">
        <v>4</v>
      </c>
      <c r="M2036" s="8">
        <f>L2036*G2036</f>
        <v/>
      </c>
      <c r="P2036" s="9" t="n"/>
    </row>
    <row r="2037">
      <c r="A2037" s="11" t="inlineStr">
        <is>
          <t>How to Start a Riot</t>
        </is>
      </c>
      <c r="B2037" s="11" t="inlineStr">
        <is>
          <t>Instant — Lesson</t>
        </is>
      </c>
      <c r="C2037" s="11" t="inlineStr">
        <is>
          <t>Common / Comum</t>
        </is>
      </c>
      <c r="D2037" s="11" t="inlineStr">
        <is>
          <t>Target creature gains menace until end of turn. (It can't be blocked except by two or more creatures.) Creatures target player controls get +2/+0 until end of turn.</t>
        </is>
      </c>
      <c r="E2037" s="11" t="inlineStr">
        <is>
          <t>{2}{R}</t>
        </is>
      </c>
      <c r="F2037" s="11" t="inlineStr">
        <is>
          <t>Vermelho</t>
        </is>
      </c>
      <c r="G2037" s="8" t="n">
        <v>0.06</v>
      </c>
      <c r="H2037" s="11" t="inlineStr">
        <is>
          <t>Avatar: The Last Airbender (TLA)</t>
        </is>
      </c>
      <c r="I2037" s="11" t="inlineStr">
        <is>
          <t>Não</t>
        </is>
      </c>
      <c r="J2037" s="11" t="n">
        <v>2025</v>
      </c>
      <c r="L2037" s="11" t="n">
        <v>3</v>
      </c>
      <c r="M2037" s="8">
        <f>L2037*G2037</f>
        <v/>
      </c>
      <c r="P2037" s="9" t="n"/>
    </row>
    <row r="2038">
      <c r="A2038" s="11" t="inlineStr">
        <is>
          <t>Fire Sages</t>
        </is>
      </c>
      <c r="B2038" s="11" t="inlineStr">
        <is>
          <t>Creature — Human Cleric</t>
        </is>
      </c>
      <c r="C2038" s="11" t="inlineStr">
        <is>
          <t>Uncommon / Incomum</t>
        </is>
      </c>
      <c r="D2038" s="11" t="inlineStr">
        <is>
          <t>Firebending 1 (Whenever this creature attacks, add {R}. This mana lasts until end of combat.) {1}{R}{R}: Put a +1/+1 counter on this creature.</t>
        </is>
      </c>
      <c r="E2038" s="11" t="inlineStr">
        <is>
          <t>{1}{R}</t>
        </is>
      </c>
      <c r="F2038" s="11" t="inlineStr">
        <is>
          <t>Vermelho</t>
        </is>
      </c>
      <c r="G2038" s="8" t="n">
        <v>0.15</v>
      </c>
      <c r="H2038" s="11" t="inlineStr">
        <is>
          <t>Avatar: The Last Airbender (TLA)</t>
        </is>
      </c>
      <c r="I2038" s="11" t="inlineStr">
        <is>
          <t>Não</t>
        </is>
      </c>
      <c r="J2038" s="11" t="n">
        <v>2025</v>
      </c>
      <c r="K2038" s="10" t="n">
        <v>46055</v>
      </c>
      <c r="L2038" s="11" t="n">
        <v>1</v>
      </c>
      <c r="M2038" s="8">
        <f>L2038*G2038</f>
        <v/>
      </c>
      <c r="P2038" s="9" t="n"/>
    </row>
    <row r="2039">
      <c r="A2039" s="11" t="inlineStr">
        <is>
          <t>Tiger-Dillo</t>
        </is>
      </c>
      <c r="B2039" s="11" t="inlineStr">
        <is>
          <t>Creature — Cat Armadillo</t>
        </is>
      </c>
      <c r="C2039" s="11" t="inlineStr">
        <is>
          <t>Uncommon / Incomum</t>
        </is>
      </c>
      <c r="D2039" s="11" t="inlineStr">
        <is>
          <t>This creature can't attack or block unless you control another creature with power 4 or greater.</t>
        </is>
      </c>
      <c r="E2039" s="11" t="inlineStr">
        <is>
          <t>{1}{R}</t>
        </is>
      </c>
      <c r="F2039" s="11" t="inlineStr">
        <is>
          <t>Vermelho</t>
        </is>
      </c>
      <c r="G2039" s="8" t="n">
        <v>0.14</v>
      </c>
      <c r="H2039" s="11" t="inlineStr">
        <is>
          <t>Avatar: The Last Airbender (TLA)</t>
        </is>
      </c>
      <c r="I2039" s="11" t="inlineStr">
        <is>
          <t>Não</t>
        </is>
      </c>
      <c r="J2039" s="11" t="n">
        <v>2025</v>
      </c>
      <c r="K2039" s="10" t="n">
        <v>46085</v>
      </c>
      <c r="L2039" s="11" t="n">
        <v>1</v>
      </c>
      <c r="M2039" s="8">
        <f>L2039*G2039</f>
        <v/>
      </c>
      <c r="P2039" s="9" t="n"/>
    </row>
    <row r="2040">
      <c r="A2040" s="11" t="inlineStr">
        <is>
          <t>Tiger-Dillo</t>
        </is>
      </c>
      <c r="B2040" s="11" t="inlineStr">
        <is>
          <t>Creature — Cat Armadillo</t>
        </is>
      </c>
      <c r="C2040" s="11" t="inlineStr">
        <is>
          <t>Uncommon / Incomum</t>
        </is>
      </c>
      <c r="D2040" s="11" t="inlineStr">
        <is>
          <t>This creature can't attack or block unless you control another creature with power 4 or greater.</t>
        </is>
      </c>
      <c r="E2040" s="11" t="inlineStr">
        <is>
          <t>{1}{R}</t>
        </is>
      </c>
      <c r="F2040" s="11" t="inlineStr">
        <is>
          <t>Vermelho</t>
        </is>
      </c>
      <c r="G2040" s="8" t="n">
        <v>0.1</v>
      </c>
      <c r="H2040" s="11" t="inlineStr">
        <is>
          <t>Avatar: The Last Airbender (TLA)</t>
        </is>
      </c>
      <c r="I2040" s="11" t="inlineStr">
        <is>
          <t>Sim</t>
        </is>
      </c>
      <c r="J2040" s="11" t="n">
        <v>2025</v>
      </c>
      <c r="K2040" s="10" t="n">
        <v>46085</v>
      </c>
      <c r="L2040" s="11" t="n">
        <v>1</v>
      </c>
      <c r="M2040" s="8">
        <f>L2040*G2040</f>
        <v/>
      </c>
      <c r="P2040" s="9" t="n"/>
    </row>
    <row r="2041">
      <c r="A2041" s="11" t="inlineStr">
        <is>
          <t>Mongoose Lizard</t>
        </is>
      </c>
      <c r="B2041" s="11" t="inlineStr">
        <is>
          <t>Creature — Mongoose Lizard</t>
        </is>
      </c>
      <c r="C2041" s="11" t="inlineStr">
        <is>
          <t>Common / Comum</t>
        </is>
      </c>
      <c r="D2041" s="11" t="inlineStr">
        <is>
          <t>Menace (This creature can't be blocked except by two or more creatures.) When this creature enters, it deals 1 damage to any target. Mountaincycling {2} ({2}, Discard this card: Search your library for a Mountain card, reveal it, put it into your hand, then shuffle.)</t>
        </is>
      </c>
      <c r="E2041" s="11" t="inlineStr">
        <is>
          <t>{4}{R}{R}</t>
        </is>
      </c>
      <c r="F2041" s="11" t="inlineStr">
        <is>
          <t>Vermelho</t>
        </is>
      </c>
      <c r="G2041" s="8" t="n">
        <v>0.05</v>
      </c>
      <c r="H2041" s="11" t="inlineStr">
        <is>
          <t>Avatar: The Last Airbender (TLA)</t>
        </is>
      </c>
      <c r="I2041" s="11" t="inlineStr">
        <is>
          <t>Não</t>
        </is>
      </c>
      <c r="J2041" s="11" t="n">
        <v>2025</v>
      </c>
      <c r="K2041" s="10" t="n">
        <v>46178</v>
      </c>
      <c r="L2041" s="11" t="n">
        <v>1</v>
      </c>
      <c r="M2041" s="8">
        <f>L2041*G2041</f>
        <v/>
      </c>
      <c r="P2041" s="9" t="n"/>
    </row>
    <row r="2042">
      <c r="A2042" s="11" t="inlineStr">
        <is>
          <t>Ty Lee, Artful Acrobat</t>
        </is>
      </c>
      <c r="B2042" s="11" t="inlineStr">
        <is>
          <t>Legendary Creature — Human Performer</t>
        </is>
      </c>
      <c r="C2042" s="11" t="inlineStr">
        <is>
          <t>Uncommon / Incomum</t>
        </is>
      </c>
      <c r="D2042" s="11" t="inlineStr">
        <is>
          <t>Prowess (Whenever you cast a noncreature spell, this creature gets +1/+1 until end of turn.) Whenever Ty Lee attacks, you may pay {1}. When you do, target creature can't block this turn.</t>
        </is>
      </c>
      <c r="E2042" s="11" t="inlineStr">
        <is>
          <t>{2}{R}</t>
        </is>
      </c>
      <c r="F2042" s="11" t="inlineStr">
        <is>
          <t>Vermelho</t>
        </is>
      </c>
      <c r="G2042" s="8" t="n">
        <v>0.15</v>
      </c>
      <c r="H2042" s="11" t="inlineStr">
        <is>
          <t>Avatar: The Last Airbender (TLA)</t>
        </is>
      </c>
      <c r="I2042" s="11" t="inlineStr">
        <is>
          <t>Não</t>
        </is>
      </c>
      <c r="J2042" s="11" t="n">
        <v>2025</v>
      </c>
      <c r="K2042" s="10" t="n">
        <v>46056</v>
      </c>
      <c r="L2042" s="11" t="n">
        <v>1</v>
      </c>
      <c r="M2042" s="8">
        <f>L2042*G2042</f>
        <v/>
      </c>
      <c r="P2042" s="9" t="n"/>
    </row>
    <row r="2043">
      <c r="A2043" s="11" t="inlineStr">
        <is>
          <t>Price of Freedom</t>
        </is>
      </c>
      <c r="B2043" s="11" t="inlineStr">
        <is>
          <t>Sorcery — Lesson</t>
        </is>
      </c>
      <c r="C2043" s="11" t="inlineStr">
        <is>
          <t>Uncommon / Incomum</t>
        </is>
      </c>
      <c r="D2043" s="11" t="inlineStr">
        <is>
          <t>Destroy target artifact or land an opponent controls. Its controller may search their library for a basic land card, put it onto the battlefield tapped, then shuffle. Draw a card.</t>
        </is>
      </c>
      <c r="E2043" s="11" t="inlineStr">
        <is>
          <t>{1}{R}</t>
        </is>
      </c>
      <c r="F2043" s="11" t="inlineStr">
        <is>
          <t>Vermelho</t>
        </is>
      </c>
      <c r="G2043" s="8" t="n">
        <v>0.25</v>
      </c>
      <c r="H2043" s="11" t="inlineStr">
        <is>
          <t>Avatar: The Last Airbender (TLA)</t>
        </is>
      </c>
      <c r="I2043" s="11" t="inlineStr">
        <is>
          <t>Não</t>
        </is>
      </c>
      <c r="J2043" s="11" t="n">
        <v>2025</v>
      </c>
      <c r="L2043" s="11" t="n">
        <v>1</v>
      </c>
      <c r="M2043" s="8">
        <f>L2043*G2043</f>
        <v/>
      </c>
      <c r="P2043" s="9" t="n"/>
    </row>
    <row r="2044">
      <c r="A2044" s="11" t="inlineStr">
        <is>
          <t>Price of Freedom</t>
        </is>
      </c>
      <c r="B2044" s="11" t="inlineStr">
        <is>
          <t>Sorcery — Lesson</t>
        </is>
      </c>
      <c r="C2044" s="11" t="inlineStr">
        <is>
          <t>Uncommon / Incomum</t>
        </is>
      </c>
      <c r="D2044" s="11" t="inlineStr">
        <is>
          <t>Destroy target artifact or land an opponent controls. Its controller may search their library for a basic land card, put it onto the battlefield tapped, then shuffle. Draw a card.</t>
        </is>
      </c>
      <c r="E2044" s="11" t="inlineStr">
        <is>
          <t>{1}{R}</t>
        </is>
      </c>
      <c r="F2044" s="11" t="inlineStr">
        <is>
          <t>Vermelho</t>
        </is>
      </c>
      <c r="G2044" s="8" t="n">
        <v>2.97</v>
      </c>
      <c r="H2044" s="11" t="inlineStr">
        <is>
          <t>Avatar: The Last Airbender (TLA)</t>
        </is>
      </c>
      <c r="I2044" s="11" t="inlineStr">
        <is>
          <t>Sim</t>
        </is>
      </c>
      <c r="J2044" s="11" t="n">
        <v>2025</v>
      </c>
      <c r="L2044" s="11" t="n">
        <v>1</v>
      </c>
      <c r="M2044" s="8">
        <f>L2044*G2044</f>
        <v/>
      </c>
      <c r="P2044" s="9" t="n"/>
    </row>
    <row r="2045">
      <c r="A2045" s="11" t="inlineStr">
        <is>
          <t>Badgermole</t>
        </is>
      </c>
      <c r="B2045" s="11" t="inlineStr">
        <is>
          <t>Creature — Badger Mole</t>
        </is>
      </c>
      <c r="C2045" s="11" t="inlineStr">
        <is>
          <t>Common / Comum</t>
        </is>
      </c>
      <c r="D2045" s="11" t="inlineStr">
        <is>
          <t>When this creature enters, earthbend 2. (Target land you control becomes a 0/0 creature with haste that's still a land. Put two +1/+1 counters on it. When it dies or is exiled, return it to the battlefield tapped.) Creatures you control with +1/+1 counters on them have trample.</t>
        </is>
      </c>
      <c r="E2045" s="11" t="inlineStr">
        <is>
          <t>{4}{G}</t>
        </is>
      </c>
      <c r="F2045" s="11" t="inlineStr">
        <is>
          <t>Verde</t>
        </is>
      </c>
      <c r="G2045" s="8" t="n">
        <v>0.12</v>
      </c>
      <c r="H2045" s="11" t="inlineStr">
        <is>
          <t>Avatar: The Last Airbender (TLA)</t>
        </is>
      </c>
      <c r="I2045" s="11" t="inlineStr">
        <is>
          <t>Não</t>
        </is>
      </c>
      <c r="J2045" s="11" t="n">
        <v>2025</v>
      </c>
      <c r="K2045" s="10" t="n">
        <v>46116</v>
      </c>
      <c r="L2045" s="11" t="n">
        <v>1</v>
      </c>
      <c r="M2045" s="8">
        <f>L2045*G2045</f>
        <v/>
      </c>
      <c r="P2045" s="9" t="n"/>
    </row>
    <row r="2046">
      <c r="A2046" s="11" t="inlineStr">
        <is>
          <t>Turtle-Duck</t>
        </is>
      </c>
      <c r="B2046" s="11" t="inlineStr">
        <is>
          <t>Creature — Turtle Bird</t>
        </is>
      </c>
      <c r="C2046" s="11" t="inlineStr">
        <is>
          <t>Common / Comum</t>
        </is>
      </c>
      <c r="D2046" s="11" t="inlineStr">
        <is>
          <t>{3}: Until end of turn, this creature has base power 4 and gains trample.</t>
        </is>
      </c>
      <c r="E2046" s="11" t="inlineStr">
        <is>
          <t>{G}</t>
        </is>
      </c>
      <c r="F2046" s="11" t="inlineStr">
        <is>
          <t>Verde</t>
        </is>
      </c>
      <c r="G2046" s="8" t="n">
        <v>0.04</v>
      </c>
      <c r="H2046" s="11" t="inlineStr">
        <is>
          <t>Avatar: The Last Airbender (TLA)</t>
        </is>
      </c>
      <c r="I2046" s="11" t="inlineStr">
        <is>
          <t>Não</t>
        </is>
      </c>
      <c r="J2046" s="11" t="n">
        <v>2025</v>
      </c>
      <c r="K2046" s="11" t="inlineStr">
        <is>
          <t>0/4</t>
        </is>
      </c>
      <c r="L2046" s="11" t="n">
        <v>1</v>
      </c>
      <c r="M2046" s="8">
        <f>L2046*G2046</f>
        <v/>
      </c>
      <c r="P2046" s="9" t="n"/>
    </row>
    <row r="2047">
      <c r="A2047" s="11" t="inlineStr">
        <is>
          <t>Shared Roots</t>
        </is>
      </c>
      <c r="B2047" s="11" t="inlineStr">
        <is>
          <t>Sorcery — Lesson</t>
        </is>
      </c>
      <c r="C2047" s="11" t="inlineStr">
        <is>
          <t>Uncommon / Incomum</t>
        </is>
      </c>
      <c r="D2047" s="11" t="inlineStr">
        <is>
          <t>Search your library for a basic land card, put it onto the battlefield tapped, then shuffle.</t>
        </is>
      </c>
      <c r="E2047" s="11" t="inlineStr">
        <is>
          <t>{1}{G}</t>
        </is>
      </c>
      <c r="F2047" s="11" t="inlineStr">
        <is>
          <t>Verde</t>
        </is>
      </c>
      <c r="G2047" s="8" t="n">
        <v>0.98</v>
      </c>
      <c r="H2047" s="11" t="inlineStr">
        <is>
          <t>Avatar: The Last Airbender (TLA)</t>
        </is>
      </c>
      <c r="I2047" s="11" t="inlineStr">
        <is>
          <t>Não</t>
        </is>
      </c>
      <c r="J2047" s="11" t="n">
        <v>2025</v>
      </c>
      <c r="L2047" s="11" t="n">
        <v>1</v>
      </c>
      <c r="M2047" s="8">
        <f>L2047*G2047</f>
        <v/>
      </c>
      <c r="P2047" s="9" t="n"/>
    </row>
    <row r="2048">
      <c r="A2048" s="11" t="inlineStr">
        <is>
          <t>Cycle of Renewal</t>
        </is>
      </c>
      <c r="B2048" s="11" t="inlineStr">
        <is>
          <t>Instant — Lesson</t>
        </is>
      </c>
      <c r="C2048" s="11" t="inlineStr">
        <is>
          <t>Common / Comum</t>
        </is>
      </c>
      <c r="D2048" s="11" t="inlineStr">
        <is>
          <t>Sacrifice a land. Search your library for up to two basic land cards, put them onto the battlefield tapped, then shuffle.</t>
        </is>
      </c>
      <c r="E2048" s="11" t="inlineStr">
        <is>
          <t>{2}{G}</t>
        </is>
      </c>
      <c r="F2048" s="11" t="inlineStr">
        <is>
          <t>Verde</t>
        </is>
      </c>
      <c r="G2048" s="8" t="n">
        <v>0.13</v>
      </c>
      <c r="H2048" s="11" t="inlineStr">
        <is>
          <t>Avatar: The Last Airbender (TLA)</t>
        </is>
      </c>
      <c r="I2048" s="11" t="inlineStr">
        <is>
          <t>Não</t>
        </is>
      </c>
      <c r="J2048" s="11" t="n">
        <v>2025</v>
      </c>
      <c r="L2048" s="11" t="n">
        <v>1</v>
      </c>
      <c r="M2048" s="8">
        <f>L2048*G2048</f>
        <v/>
      </c>
      <c r="P2048" s="9" t="n"/>
    </row>
    <row r="2049">
      <c r="A2049" s="11" t="inlineStr">
        <is>
          <t>Diligent Zookeeper</t>
        </is>
      </c>
      <c r="B2049" s="11" t="inlineStr">
        <is>
          <t>Creature — Human Citizen Ally</t>
        </is>
      </c>
      <c r="C2049" s="11" t="inlineStr">
        <is>
          <t>Rare / Rara</t>
        </is>
      </c>
      <c r="D2049" s="11" t="inlineStr">
        <is>
          <t>Each non-Human creature you control gets +1/+1 for each of its creature types, to a maximum of 10.</t>
        </is>
      </c>
      <c r="E2049" s="11" t="inlineStr">
        <is>
          <t>{3}{G}</t>
        </is>
      </c>
      <c r="F2049" s="11" t="inlineStr">
        <is>
          <t>Verde</t>
        </is>
      </c>
      <c r="G2049" s="8" t="n">
        <v>0.95</v>
      </c>
      <c r="H2049" s="11" t="inlineStr">
        <is>
          <t>Avatar: The Last Airbender (TLA)</t>
        </is>
      </c>
      <c r="I2049" s="11" t="inlineStr">
        <is>
          <t>Não</t>
        </is>
      </c>
      <c r="J2049" s="11" t="n">
        <v>2025</v>
      </c>
      <c r="K2049" s="10" t="n">
        <v>46116</v>
      </c>
      <c r="L2049" s="11" t="n">
        <v>1</v>
      </c>
      <c r="M2049" s="8">
        <f>L2049*G2049</f>
        <v/>
      </c>
      <c r="P2049" s="9" t="n"/>
    </row>
    <row r="2050">
      <c r="A2050" s="11" t="inlineStr">
        <is>
          <t>Rocky Rebuke</t>
        </is>
      </c>
      <c r="B2050" s="11" t="inlineStr">
        <is>
          <t>Instant</t>
        </is>
      </c>
      <c r="C2050" s="11" t="inlineStr">
        <is>
          <t>Common / Comum</t>
        </is>
      </c>
      <c r="D2050" s="11" t="inlineStr">
        <is>
          <t>Target creature you control deals damage equal to its power to target creature an opponent controls.</t>
        </is>
      </c>
      <c r="E2050" s="11" t="inlineStr">
        <is>
          <t>{1}{G}</t>
        </is>
      </c>
      <c r="F2050" s="11" t="inlineStr">
        <is>
          <t>Verde</t>
        </is>
      </c>
      <c r="G2050" s="8" t="n">
        <v>0.08</v>
      </c>
      <c r="H2050" s="11" t="inlineStr">
        <is>
          <t>Avatar: The Last Airbender (TLA)</t>
        </is>
      </c>
      <c r="I2050" s="11" t="inlineStr">
        <is>
          <t>Não</t>
        </is>
      </c>
      <c r="J2050" s="11" t="n">
        <v>2025</v>
      </c>
      <c r="L2050" s="11" t="n">
        <v>2</v>
      </c>
      <c r="M2050" s="8">
        <f>L2050*G2050</f>
        <v/>
      </c>
      <c r="P2050" s="9" t="n"/>
    </row>
    <row r="2051">
      <c r="A2051" s="11" t="inlineStr">
        <is>
          <t>Ostrich-Horse</t>
        </is>
      </c>
      <c r="B2051" s="11" t="inlineStr">
        <is>
          <t>Creature — Bird Horse</t>
        </is>
      </c>
      <c r="C2051" s="11" t="inlineStr">
        <is>
          <t>Common / Comum</t>
        </is>
      </c>
      <c r="D2051" s="11" t="inlineStr">
        <is>
          <t>When this creature enters, mill three cards. You may put a land card from among them into your hand. If you don't, put a +1/+1 counter on this creature. (To mill three cards, put the top three cards of your library into your graveyard.)</t>
        </is>
      </c>
      <c r="E2051" s="11" t="inlineStr">
        <is>
          <t>{2}{G}</t>
        </is>
      </c>
      <c r="F2051" s="11" t="inlineStr">
        <is>
          <t>Verde</t>
        </is>
      </c>
      <c r="G2051" s="8" t="n">
        <v>0.08</v>
      </c>
      <c r="H2051" s="11" t="inlineStr">
        <is>
          <t>Avatar: The Last Airbender (TLA)</t>
        </is>
      </c>
      <c r="I2051" s="11" t="inlineStr">
        <is>
          <t>Não</t>
        </is>
      </c>
      <c r="J2051" s="11" t="n">
        <v>2025</v>
      </c>
      <c r="K2051" s="10" t="n">
        <v>46025</v>
      </c>
      <c r="L2051" s="11" t="n">
        <v>3</v>
      </c>
      <c r="M2051" s="8">
        <f>L2051*G2051</f>
        <v/>
      </c>
      <c r="P2051" s="9" t="n"/>
    </row>
    <row r="2052">
      <c r="A2052" s="11" t="inlineStr">
        <is>
          <t>Allies at Last</t>
        </is>
      </c>
      <c r="B2052" s="11" t="inlineStr">
        <is>
          <t>Instant</t>
        </is>
      </c>
      <c r="C2052" s="11" t="inlineStr">
        <is>
          <t>Uncommon / Incomum</t>
        </is>
      </c>
      <c r="D2052" s="11" t="inlineStr">
        <is>
          <t>Affinity for Allies (This spell costs {1} less to cast for each Ally you control.) Up to two target creatures you control each deal damage equal to their power to target creature an opponent controls.</t>
        </is>
      </c>
      <c r="E2052" s="11" t="inlineStr">
        <is>
          <t>{2}{G}</t>
        </is>
      </c>
      <c r="F2052" s="11" t="inlineStr">
        <is>
          <t>Verde</t>
        </is>
      </c>
      <c r="G2052" s="8" t="n">
        <v>0.12</v>
      </c>
      <c r="H2052" s="11" t="inlineStr">
        <is>
          <t>Avatar: The Last Airbender (TLA)</t>
        </is>
      </c>
      <c r="I2052" s="11" t="inlineStr">
        <is>
          <t>Não</t>
        </is>
      </c>
      <c r="J2052" s="11" t="n">
        <v>2025</v>
      </c>
      <c r="L2052" s="11" t="n">
        <v>2</v>
      </c>
      <c r="M2052" s="8">
        <f>L2052*G2052</f>
        <v/>
      </c>
      <c r="P2052" s="9" t="n"/>
    </row>
    <row r="2053">
      <c r="A2053" s="11" t="inlineStr">
        <is>
          <t>Toph, the Blind Bandit</t>
        </is>
      </c>
      <c r="B2053" s="11" t="inlineStr">
        <is>
          <t>Legendary Creature — Human Warrior Ally</t>
        </is>
      </c>
      <c r="C2053" s="11" t="inlineStr">
        <is>
          <t>Uncommon / Incomum</t>
        </is>
      </c>
      <c r="D2053" s="11" t="inlineStr">
        <is>
          <t>When Toph enters, earthbend 2. (Target land you control becomes a 0/0 creature with haste that's still a land. Put two +1/+1 counters on it. When it dies or is exiled, return it to the battlefield tapped.) Toph's power is equal to the number of +1/+1 counters on lands you control.</t>
        </is>
      </c>
      <c r="E2053" s="11" t="inlineStr">
        <is>
          <t>{2}{G}</t>
        </is>
      </c>
      <c r="F2053" s="11" t="inlineStr">
        <is>
          <t>Verde</t>
        </is>
      </c>
      <c r="G2053" s="8" t="n">
        <v>0.2</v>
      </c>
      <c r="H2053" s="11" t="inlineStr">
        <is>
          <t>Avatar: The Last Airbender (TLA)</t>
        </is>
      </c>
      <c r="I2053" s="11" t="inlineStr">
        <is>
          <t>Não</t>
        </is>
      </c>
      <c r="J2053" s="11" t="n">
        <v>2025</v>
      </c>
      <c r="K2053" s="11" t="inlineStr">
        <is>
          <t>*/3</t>
        </is>
      </c>
      <c r="L2053" s="11" t="n">
        <v>2</v>
      </c>
      <c r="M2053" s="8">
        <f>L2053*G2053</f>
        <v/>
      </c>
      <c r="P2053" s="9" t="n"/>
    </row>
    <row r="2054">
      <c r="A2054" s="11" t="inlineStr">
        <is>
          <t>Haru, Hidden Talent</t>
        </is>
      </c>
      <c r="B2054" s="11" t="inlineStr">
        <is>
          <t>Legendary Creature — Human Peasant Ally</t>
        </is>
      </c>
      <c r="C2054" s="11" t="inlineStr">
        <is>
          <t>Uncommon / Incomum</t>
        </is>
      </c>
      <c r="D2054" s="11" t="inlineStr">
        <is>
          <t>Whenever another Ally you control enters, earthbend 1. (Target land you control becomes a 0/0 creature with haste that's still a land. Put a +1/+1 counter on it. When it dies or is exiled, return it to the battlefield tapped.)</t>
        </is>
      </c>
      <c r="E2054" s="11" t="inlineStr">
        <is>
          <t>{1}{G}</t>
        </is>
      </c>
      <c r="F2054" s="11" t="inlineStr">
        <is>
          <t>Verde</t>
        </is>
      </c>
      <c r="G2054" s="8" t="n">
        <v>0.15</v>
      </c>
      <c r="H2054" s="11" t="inlineStr">
        <is>
          <t>Avatar: The Last Airbender (TLA)</t>
        </is>
      </c>
      <c r="I2054" s="11" t="inlineStr">
        <is>
          <t>Não</t>
        </is>
      </c>
      <c r="J2054" s="11" t="n">
        <v>2025</v>
      </c>
      <c r="K2054" s="10" t="n">
        <v>46023</v>
      </c>
      <c r="L2054" s="11" t="n">
        <v>1</v>
      </c>
      <c r="M2054" s="8">
        <f>L2054*G2054</f>
        <v/>
      </c>
      <c r="P2054" s="9" t="n"/>
    </row>
    <row r="2055">
      <c r="A2055" s="11" t="inlineStr">
        <is>
          <t>Earthbender Ascension</t>
        </is>
      </c>
      <c r="B2055" s="11" t="inlineStr">
        <is>
          <t>Enchantment</t>
        </is>
      </c>
      <c r="C2055" s="11" t="inlineStr">
        <is>
          <t>Rare / Rara</t>
        </is>
      </c>
      <c r="D2055" s="11" t="inlineStr">
        <is>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is>
      </c>
      <c r="E2055" s="11" t="inlineStr">
        <is>
          <t>{2}{G}</t>
        </is>
      </c>
      <c r="F2055" s="11" t="inlineStr">
        <is>
          <t>Verde</t>
        </is>
      </c>
      <c r="G2055" s="8" t="n">
        <v>19.19</v>
      </c>
      <c r="H2055" s="11" t="inlineStr">
        <is>
          <t>Avatar: The Last Airbender (TLA)</t>
        </is>
      </c>
      <c r="I2055" s="11" t="inlineStr">
        <is>
          <t>Não</t>
        </is>
      </c>
      <c r="J2055" s="11" t="n">
        <v>2025</v>
      </c>
      <c r="L2055" s="11" t="n">
        <v>1</v>
      </c>
      <c r="M2055" s="8">
        <f>L2055*G2055</f>
        <v/>
      </c>
      <c r="P2055" s="9" t="n"/>
    </row>
    <row r="2056">
      <c r="A2056" s="11" t="inlineStr">
        <is>
          <t>Walltop Sentries</t>
        </is>
      </c>
      <c r="B2056" s="11" t="inlineStr">
        <is>
          <t>Creature — Human Soldier Ally</t>
        </is>
      </c>
      <c r="C2056" s="11" t="inlineStr">
        <is>
          <t>Common / Comum</t>
        </is>
      </c>
      <c r="D2056" s="11" t="inlineStr">
        <is>
          <t>Reach, deathtouch When this creature dies, if there's a Lesson card in your graveyard, you gain 2 life.</t>
        </is>
      </c>
      <c r="E2056" s="11" t="inlineStr">
        <is>
          <t>{2}{G}</t>
        </is>
      </c>
      <c r="F2056" s="11" t="inlineStr">
        <is>
          <t>Verde</t>
        </is>
      </c>
      <c r="G2056" s="8" t="n">
        <v>0.04</v>
      </c>
      <c r="H2056" s="11" t="inlineStr">
        <is>
          <t>Avatar: The Last Airbender (TLA)</t>
        </is>
      </c>
      <c r="I2056" s="11" t="inlineStr">
        <is>
          <t>Não</t>
        </is>
      </c>
      <c r="J2056" s="11" t="n">
        <v>2025</v>
      </c>
      <c r="K2056" s="10" t="n">
        <v>46083</v>
      </c>
      <c r="L2056" s="11" t="n">
        <v>3</v>
      </c>
      <c r="M2056" s="8">
        <f>L2056*G2056</f>
        <v/>
      </c>
      <c r="P2056" s="9" t="n"/>
    </row>
    <row r="2057">
      <c r="A2057" s="11" t="inlineStr">
        <is>
          <t>Earth Kingdom General</t>
        </is>
      </c>
      <c r="B2057" s="11" t="inlineStr">
        <is>
          <t>Creature — Human Soldier Ally</t>
        </is>
      </c>
      <c r="C2057" s="11" t="inlineStr">
        <is>
          <t>Uncommon / Incomum</t>
        </is>
      </c>
      <c r="D2057" s="11" t="inlineStr">
        <is>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is>
      </c>
      <c r="E2057" s="11" t="inlineStr">
        <is>
          <t>{3}{G}</t>
        </is>
      </c>
      <c r="F2057" s="11" t="inlineStr">
        <is>
          <t>Verde</t>
        </is>
      </c>
      <c r="G2057" s="8" t="n">
        <v>0.15</v>
      </c>
      <c r="H2057" s="11" t="inlineStr">
        <is>
          <t>Avatar: The Last Airbender (TLA)</t>
        </is>
      </c>
      <c r="I2057" s="11" t="inlineStr">
        <is>
          <t>Não</t>
        </is>
      </c>
      <c r="J2057" s="11" t="n">
        <v>2025</v>
      </c>
      <c r="K2057" s="10" t="n">
        <v>46055</v>
      </c>
      <c r="L2057" s="11" t="n">
        <v>1</v>
      </c>
      <c r="M2057" s="8">
        <f>L2057*G2057</f>
        <v/>
      </c>
      <c r="P2057" s="9" t="n"/>
    </row>
    <row r="2058">
      <c r="A2058" s="11" t="inlineStr">
        <is>
          <t>Unlucky Cabbage Merchant</t>
        </is>
      </c>
      <c r="B2058" s="11" t="inlineStr">
        <is>
          <t>Creature — Human Citizen</t>
        </is>
      </c>
      <c r="C2058" s="11" t="inlineStr">
        <is>
          <t>Uncommon / Incomum</t>
        </is>
      </c>
      <c r="D2058" s="11" t="inlineStr">
        <is>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is>
      </c>
      <c r="E2058" s="11" t="inlineStr">
        <is>
          <t>{1}{G}</t>
        </is>
      </c>
      <c r="F2058" s="11" t="inlineStr">
        <is>
          <t>Verde</t>
        </is>
      </c>
      <c r="G2058" s="8" t="n">
        <v>0.24</v>
      </c>
      <c r="H2058" s="11" t="inlineStr">
        <is>
          <t>Avatar: The Last Airbender (TLA)</t>
        </is>
      </c>
      <c r="I2058" s="11" t="inlineStr">
        <is>
          <t>Não</t>
        </is>
      </c>
      <c r="J2058" s="11" t="n">
        <v>2025</v>
      </c>
      <c r="K2058" s="10" t="n">
        <v>46055</v>
      </c>
      <c r="L2058" s="11" t="n">
        <v>1</v>
      </c>
      <c r="M2058" s="8">
        <f>L2058*G2058</f>
        <v/>
      </c>
      <c r="P2058" s="9" t="n"/>
    </row>
    <row r="2059">
      <c r="A2059" s="11" t="inlineStr">
        <is>
          <t>Saber-Tooth Moose-Lion</t>
        </is>
      </c>
      <c r="B2059" s="11" t="inlineStr">
        <is>
          <t>Creature — Elk Cat</t>
        </is>
      </c>
      <c r="C2059" s="11" t="inlineStr">
        <is>
          <t>Common / Comum</t>
        </is>
      </c>
      <c r="D2059" s="11" t="inlineStr">
        <is>
          <t>Reach Forestcycling {2} ({2}, Discard this card: Search your library for a Forest card, reveal it, put it into your hand, then shuffle.)</t>
        </is>
      </c>
      <c r="E2059" s="11" t="inlineStr">
        <is>
          <t>{4}{G}{G}</t>
        </is>
      </c>
      <c r="F2059" s="11" t="inlineStr">
        <is>
          <t>Verde</t>
        </is>
      </c>
      <c r="G2059" s="8" t="n">
        <v>0.04</v>
      </c>
      <c r="H2059" s="11" t="inlineStr">
        <is>
          <t>Avatar: The Last Airbender (TLA)</t>
        </is>
      </c>
      <c r="I2059" s="11" t="inlineStr">
        <is>
          <t>Não</t>
        </is>
      </c>
      <c r="J2059" s="11" t="n">
        <v>2025</v>
      </c>
      <c r="K2059" s="10" t="n">
        <v>46210</v>
      </c>
      <c r="L2059" s="11" t="n">
        <v>5</v>
      </c>
      <c r="M2059" s="8">
        <f>L2059*G2059</f>
        <v/>
      </c>
      <c r="P2059" s="9" t="n"/>
    </row>
    <row r="2060">
      <c r="A2060" s="11" t="inlineStr">
        <is>
          <t>Saber-Tooth Moose-Lion</t>
        </is>
      </c>
      <c r="B2060" s="11" t="inlineStr">
        <is>
          <t>Creature — Elk Cat</t>
        </is>
      </c>
      <c r="C2060" s="11" t="inlineStr">
        <is>
          <t>Common / Comum</t>
        </is>
      </c>
      <c r="D2060" s="11" t="inlineStr">
        <is>
          <t>Reach Forestcycling {2} ({2}, Discard this card: Search your library for a Forest card, reveal it, put it into your hand, then shuffle.)</t>
        </is>
      </c>
      <c r="E2060" s="11" t="inlineStr">
        <is>
          <t>{4}{G}{G}</t>
        </is>
      </c>
      <c r="F2060" s="11" t="inlineStr">
        <is>
          <t>Verde</t>
        </is>
      </c>
      <c r="G2060" s="8" t="n">
        <v>0.34</v>
      </c>
      <c r="H2060" s="11" t="inlineStr">
        <is>
          <t>Avatar: The Last Airbender (TLA)</t>
        </is>
      </c>
      <c r="I2060" s="11" t="inlineStr">
        <is>
          <t>Sim</t>
        </is>
      </c>
      <c r="J2060" s="11" t="n">
        <v>2025</v>
      </c>
      <c r="K2060" s="10" t="n">
        <v>46210</v>
      </c>
      <c r="L2060" s="11" t="n">
        <v>1</v>
      </c>
      <c r="M2060" s="8">
        <f>L2060*G2060</f>
        <v/>
      </c>
      <c r="P2060" s="9" t="n"/>
    </row>
    <row r="2061">
      <c r="A2061" s="11" t="inlineStr">
        <is>
          <t>Pillar Launch</t>
        </is>
      </c>
      <c r="B2061" s="11" t="inlineStr">
        <is>
          <t>Instant</t>
        </is>
      </c>
      <c r="C2061" s="11" t="inlineStr">
        <is>
          <t>Common / Comum</t>
        </is>
      </c>
      <c r="D2061" s="11" t="inlineStr">
        <is>
          <t>Target creature gets +2/+2 and gains reach until end of turn. Untap it.</t>
        </is>
      </c>
      <c r="E2061" s="11" t="inlineStr">
        <is>
          <t>{G}</t>
        </is>
      </c>
      <c r="F2061" s="11" t="inlineStr">
        <is>
          <t>Verde</t>
        </is>
      </c>
      <c r="G2061" s="8" t="n">
        <v>0.08</v>
      </c>
      <c r="H2061" s="11" t="inlineStr">
        <is>
          <t>Avatar: The Last Airbender (TLA)</t>
        </is>
      </c>
      <c r="I2061" s="11" t="inlineStr">
        <is>
          <t>Não</t>
        </is>
      </c>
      <c r="J2061" s="11" t="n">
        <v>2025</v>
      </c>
      <c r="L2061" s="11" t="n">
        <v>3</v>
      </c>
      <c r="M2061" s="8">
        <f>L2061*G2061</f>
        <v/>
      </c>
      <c r="P2061" s="9" t="n"/>
    </row>
    <row r="2062">
      <c r="A2062" s="11" t="inlineStr">
        <is>
          <t>Pillar Launch</t>
        </is>
      </c>
      <c r="B2062" s="11" t="inlineStr">
        <is>
          <t>Instant</t>
        </is>
      </c>
      <c r="C2062" s="11" t="inlineStr">
        <is>
          <t>Common / Comum</t>
        </is>
      </c>
      <c r="D2062" s="11" t="inlineStr">
        <is>
          <t>Target creature gets +2/+2 and gains reach until end of turn. Untap it.</t>
        </is>
      </c>
      <c r="E2062" s="11" t="inlineStr">
        <is>
          <t>{G}</t>
        </is>
      </c>
      <c r="F2062" s="11" t="inlineStr">
        <is>
          <t>Verde</t>
        </is>
      </c>
      <c r="G2062" s="8" t="n">
        <v>0.25</v>
      </c>
      <c r="H2062" s="11" t="inlineStr">
        <is>
          <t>Avatar: The Last Airbender (TLA)</t>
        </is>
      </c>
      <c r="I2062" s="11" t="inlineStr">
        <is>
          <t>Sim</t>
        </is>
      </c>
      <c r="J2062" s="11" t="n">
        <v>2025</v>
      </c>
      <c r="L2062" s="11" t="n">
        <v>1</v>
      </c>
      <c r="M2062" s="8">
        <f>L2062*G2062</f>
        <v/>
      </c>
      <c r="P2062" s="9" t="n"/>
    </row>
    <row r="2063">
      <c r="A2063" s="11" t="inlineStr">
        <is>
          <t>Foggy Swamp Vinebender</t>
        </is>
      </c>
      <c r="B2063" s="11" t="inlineStr">
        <is>
          <t>Creature — Human Plant Ally</t>
        </is>
      </c>
      <c r="C2063" s="11" t="inlineStr">
        <is>
          <t>Common / Comum</t>
        </is>
      </c>
      <c r="D2063" s="11" t="inlineStr">
        <is>
          <t>This creature can't be blocked by creatures with power 2 or less. Waterbend {5}: Put a +1/+1 counter on this creature. Activate only during your turn. (While paying a waterbend cost, you can tap your artifacts and creatures to help. Each one pays for {1}.)</t>
        </is>
      </c>
      <c r="E2063" s="11" t="inlineStr">
        <is>
          <t>{3}{G}</t>
        </is>
      </c>
      <c r="F2063" s="11" t="inlineStr">
        <is>
          <t>Verde</t>
        </is>
      </c>
      <c r="G2063" s="8" t="n">
        <v>0.06</v>
      </c>
      <c r="H2063" s="11" t="inlineStr">
        <is>
          <t>Avatar: The Last Airbender (TLA)</t>
        </is>
      </c>
      <c r="I2063" s="11" t="inlineStr">
        <is>
          <t>Não</t>
        </is>
      </c>
      <c r="J2063" s="11" t="n">
        <v>2025</v>
      </c>
      <c r="K2063" s="10" t="n">
        <v>46085</v>
      </c>
      <c r="L2063" s="11" t="n">
        <v>3</v>
      </c>
      <c r="M2063" s="8">
        <f>L2063*G2063</f>
        <v/>
      </c>
      <c r="P2063" s="9" t="n"/>
    </row>
    <row r="2064">
      <c r="A2064" s="11" t="inlineStr">
        <is>
          <t>Raucous Audience</t>
        </is>
      </c>
      <c r="B2064" s="11" t="inlineStr">
        <is>
          <t>Creature — Human Citizen</t>
        </is>
      </c>
      <c r="C2064" s="11" t="inlineStr">
        <is>
          <t>Common / Comum</t>
        </is>
      </c>
      <c r="D2064" s="11" t="inlineStr">
        <is>
          <t>{T}: Add {G}. If you control a creature with power 4 or greater, add {G}{G} instead.</t>
        </is>
      </c>
      <c r="E2064" s="11" t="inlineStr">
        <is>
          <t>{1}{G}</t>
        </is>
      </c>
      <c r="F2064" s="11" t="inlineStr">
        <is>
          <t>Verde</t>
        </is>
      </c>
      <c r="G2064" s="8" t="n">
        <v>0.19</v>
      </c>
      <c r="H2064" s="11" t="inlineStr">
        <is>
          <t>Avatar: The Last Airbender (TLA)</t>
        </is>
      </c>
      <c r="I2064" s="11" t="inlineStr">
        <is>
          <t>Sim</t>
        </is>
      </c>
      <c r="J2064" s="11" t="n">
        <v>2025</v>
      </c>
      <c r="K2064" s="10" t="n">
        <v>46024</v>
      </c>
      <c r="L2064" s="11" t="n">
        <v>1</v>
      </c>
      <c r="M2064" s="8">
        <f>L2064*G2064</f>
        <v/>
      </c>
      <c r="P2064" s="9" t="n"/>
    </row>
    <row r="2065">
      <c r="A2065" s="11" t="inlineStr">
        <is>
          <t>Raucous Audience</t>
        </is>
      </c>
      <c r="B2065" s="11" t="inlineStr">
        <is>
          <t>Creature — Human Citizen</t>
        </is>
      </c>
      <c r="C2065" s="11" t="inlineStr">
        <is>
          <t>Common / Comum</t>
        </is>
      </c>
      <c r="D2065" s="11" t="inlineStr">
        <is>
          <t>{T}: Add {G}. If you control a creature with power 4 or greater, add {G}{G} instead.</t>
        </is>
      </c>
      <c r="E2065" s="11" t="inlineStr">
        <is>
          <t>{1}{G}</t>
        </is>
      </c>
      <c r="F2065" s="11" t="inlineStr">
        <is>
          <t>Verde</t>
        </is>
      </c>
      <c r="G2065" s="8" t="n">
        <v>0.1</v>
      </c>
      <c r="H2065" s="11" t="inlineStr">
        <is>
          <t>Avatar: The Last Airbender (TLA)</t>
        </is>
      </c>
      <c r="I2065" s="11" t="inlineStr">
        <is>
          <t>Não</t>
        </is>
      </c>
      <c r="J2065" s="11" t="n">
        <v>2025</v>
      </c>
      <c r="K2065" s="10" t="n">
        <v>46024</v>
      </c>
      <c r="L2065" s="11" t="n">
        <v>5</v>
      </c>
      <c r="M2065" s="8">
        <f>L2065*G2065</f>
        <v/>
      </c>
      <c r="P2065" s="9" t="n"/>
    </row>
    <row r="2066">
      <c r="A2066" s="11" t="inlineStr">
        <is>
          <t>Seismic Sense</t>
        </is>
      </c>
      <c r="B2066" s="11" t="inlineStr">
        <is>
          <t>Sorcery — Lesson</t>
        </is>
      </c>
      <c r="C2066" s="11" t="inlineStr">
        <is>
          <t>Uncommon / Incomum</t>
        </is>
      </c>
      <c r="D2066" s="11" t="inlineStr">
        <is>
          <t>Look at the top X cards of your library, where X is the number of lands you control. You may reveal a creature or land card from among them and put it into your hand. Put the rest on the bottom of your library in a random order.</t>
        </is>
      </c>
      <c r="E2066" s="11" t="inlineStr">
        <is>
          <t>{G}</t>
        </is>
      </c>
      <c r="F2066" s="11" t="inlineStr">
        <is>
          <t>Verde</t>
        </is>
      </c>
      <c r="G2066" s="8" t="n">
        <v>0.2</v>
      </c>
      <c r="H2066" s="11" t="inlineStr">
        <is>
          <t>Avatar: The Last Airbender (TLA)</t>
        </is>
      </c>
      <c r="I2066" s="11" t="inlineStr">
        <is>
          <t>Não</t>
        </is>
      </c>
      <c r="J2066" s="11" t="n">
        <v>2025</v>
      </c>
      <c r="L2066" s="11" t="n">
        <v>1</v>
      </c>
      <c r="M2066" s="8">
        <f>L2066*G2066</f>
        <v/>
      </c>
      <c r="P2066" s="9" t="n"/>
    </row>
    <row r="2067">
      <c r="A2067" s="11" t="inlineStr">
        <is>
          <t>Kyoshi Island Plaza</t>
        </is>
      </c>
      <c r="B2067" s="11" t="inlineStr">
        <is>
          <t>Legendary Enchantment — Shrine</t>
        </is>
      </c>
      <c r="C2067" s="11" t="inlineStr">
        <is>
          <t>Uncommon / Incomum</t>
        </is>
      </c>
      <c r="D2067" s="11" t="inlineStr">
        <is>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is>
      </c>
      <c r="E2067" s="11" t="inlineStr">
        <is>
          <t>{3}{G}</t>
        </is>
      </c>
      <c r="F2067" s="11" t="inlineStr">
        <is>
          <t>Verde</t>
        </is>
      </c>
      <c r="G2067" s="8" t="n">
        <v>0.1</v>
      </c>
      <c r="H2067" s="11" t="inlineStr">
        <is>
          <t>Avatar: The Last Airbender (TLA)</t>
        </is>
      </c>
      <c r="I2067" s="11" t="inlineStr">
        <is>
          <t>Não</t>
        </is>
      </c>
      <c r="J2067" s="11" t="n">
        <v>2025</v>
      </c>
      <c r="L2067" s="11" t="n">
        <v>1</v>
      </c>
      <c r="M2067" s="8">
        <f>L2067*G2067</f>
        <v/>
      </c>
      <c r="P2067" s="9" t="n"/>
    </row>
    <row r="2068">
      <c r="A2068" s="11" t="inlineStr">
        <is>
          <t>Leaves from the Vine</t>
        </is>
      </c>
      <c r="B2068" s="11" t="inlineStr">
        <is>
          <t>Enchantment — Saga</t>
        </is>
      </c>
      <c r="C2068" s="11" t="inlineStr">
        <is>
          <t>Uncommon / Incomum</t>
        </is>
      </c>
      <c r="D2068" s="11" t="inlineStr">
        <is>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is>
      </c>
      <c r="E2068" s="11" t="inlineStr">
        <is>
          <t>{1}{G}</t>
        </is>
      </c>
      <c r="F2068" s="11" t="inlineStr">
        <is>
          <t>Verde</t>
        </is>
      </c>
      <c r="G2068" s="8" t="n">
        <v>0.2</v>
      </c>
      <c r="H2068" s="11" t="inlineStr">
        <is>
          <t>Avatar: The Last Airbender (TLA)</t>
        </is>
      </c>
      <c r="I2068" s="11" t="inlineStr">
        <is>
          <t>Não</t>
        </is>
      </c>
      <c r="J2068" s="11" t="n">
        <v>2025</v>
      </c>
      <c r="L2068" s="11" t="n">
        <v>1</v>
      </c>
      <c r="M2068" s="8">
        <f>L2068*G2068</f>
        <v/>
      </c>
      <c r="P2068" s="9" t="n"/>
    </row>
    <row r="2069">
      <c r="A2069" s="11" t="inlineStr">
        <is>
          <t>Flopsie, Bumi's Buddy</t>
        </is>
      </c>
      <c r="B2069" s="11" t="inlineStr">
        <is>
          <t>Legendary Creature — Ape Goat</t>
        </is>
      </c>
      <c r="C2069" s="11" t="inlineStr">
        <is>
          <t>Uncommon / Incomum</t>
        </is>
      </c>
      <c r="D2069" s="11" t="inlineStr">
        <is>
          <t>When Flopsie enters, put a +1/+1 counter on each creature you control. Each creature you control with power 4 or greater can't be blocked by more than one creature.</t>
        </is>
      </c>
      <c r="E2069" s="11" t="inlineStr">
        <is>
          <t>{4}{G}{G}</t>
        </is>
      </c>
      <c r="F2069" s="11" t="inlineStr">
        <is>
          <t>Verde</t>
        </is>
      </c>
      <c r="G2069" s="8" t="n">
        <v>0.15</v>
      </c>
      <c r="H2069" s="11" t="inlineStr">
        <is>
          <t>Avatar: The Last Airbender (TLA)</t>
        </is>
      </c>
      <c r="I2069" s="11" t="inlineStr">
        <is>
          <t>Não</t>
        </is>
      </c>
      <c r="J2069" s="11" t="n">
        <v>2025</v>
      </c>
      <c r="K2069" s="10" t="n">
        <v>46116</v>
      </c>
      <c r="L2069" s="11" t="n">
        <v>1</v>
      </c>
      <c r="M2069" s="8">
        <f>L2069*G2069</f>
        <v/>
      </c>
      <c r="P2069" s="9" t="n"/>
    </row>
    <row r="2070">
      <c r="A2070" s="11" t="inlineStr">
        <is>
          <t>Rebellious Captives</t>
        </is>
      </c>
      <c r="B2070" s="11" t="inlineStr">
        <is>
          <t>Creature — Human Peasant Ally</t>
        </is>
      </c>
      <c r="C2070" s="11" t="inlineStr">
        <is>
          <t>Common / Comum</t>
        </is>
      </c>
      <c r="D2070" s="11" t="inlineStr">
        <is>
          <t>Exhaust — {6}: Put two +1/+1 counters on this creature, then earthbend 2. (Target land you control becomes a 0/0 creature with haste that's still a land. Put two +1/+1 counters on it. When it dies or is exiled, return it to the battlefield tapped. Activate each exhaust ability only once.)</t>
        </is>
      </c>
      <c r="E2070" s="11" t="inlineStr">
        <is>
          <t>{1}{G}</t>
        </is>
      </c>
      <c r="F2070" s="11" t="inlineStr">
        <is>
          <t>Verde</t>
        </is>
      </c>
      <c r="G2070" s="8" t="n">
        <v>0.04</v>
      </c>
      <c r="H2070" s="11" t="inlineStr">
        <is>
          <t>Avatar: The Last Airbender (TLA)</t>
        </is>
      </c>
      <c r="I2070" s="11" t="inlineStr">
        <is>
          <t>Não</t>
        </is>
      </c>
      <c r="J2070" s="11" t="n">
        <v>2025</v>
      </c>
      <c r="K2070" s="10" t="n">
        <v>46055</v>
      </c>
      <c r="L2070" s="11" t="n">
        <v>2</v>
      </c>
      <c r="M2070" s="8">
        <f>L2070*G2070</f>
        <v/>
      </c>
      <c r="P2070" s="9" t="n"/>
    </row>
    <row r="2071">
      <c r="A2071" s="11" t="inlineStr">
        <is>
          <t>The Earth King</t>
        </is>
      </c>
      <c r="B2071" s="11" t="inlineStr">
        <is>
          <t>Legendary Creature — Human Noble Ally</t>
        </is>
      </c>
      <c r="C2071" s="11" t="inlineStr">
        <is>
          <t>Rare / Rara</t>
        </is>
      </c>
      <c r="D2071" s="11" t="inlineStr">
        <is>
          <t>When The Earth King enters, create a 4/4 green Bear creature token. Whenever one or more creatures you control with power 4 or greater attack, search your library for up to that many basic land cards, put them onto the battlefield tapped, then shuffle.</t>
        </is>
      </c>
      <c r="E2071" s="11" t="inlineStr">
        <is>
          <t>{3}{G}</t>
        </is>
      </c>
      <c r="F2071" s="11" t="inlineStr">
        <is>
          <t>Verde</t>
        </is>
      </c>
      <c r="G2071" s="8" t="n">
        <v>2.49</v>
      </c>
      <c r="H2071" s="11" t="inlineStr">
        <is>
          <t>Avatar: The Last Airbender (TLA)</t>
        </is>
      </c>
      <c r="I2071" s="11" t="inlineStr">
        <is>
          <t>Não</t>
        </is>
      </c>
      <c r="J2071" s="11" t="n">
        <v>2025</v>
      </c>
      <c r="K2071" s="10" t="n">
        <v>46055</v>
      </c>
      <c r="L2071" s="11" t="n">
        <v>1</v>
      </c>
      <c r="M2071" s="8">
        <f>L2071*G2071</f>
        <v/>
      </c>
      <c r="P2071" s="9" t="n"/>
    </row>
    <row r="2072">
      <c r="A2072" s="11" t="inlineStr">
        <is>
          <t>Bumi, King of Three Trials</t>
        </is>
      </c>
      <c r="B2072" s="11" t="inlineStr">
        <is>
          <t>Legendary Creature — Human Noble Ally</t>
        </is>
      </c>
      <c r="C2072" s="11" t="inlineStr">
        <is>
          <t>Uncommon / Incomum</t>
        </is>
      </c>
      <c r="D2072" s="11" t="inlineStr">
        <is>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is>
      </c>
      <c r="E2072" s="11" t="inlineStr">
        <is>
          <t>{5}{G}</t>
        </is>
      </c>
      <c r="F2072" s="11" t="inlineStr">
        <is>
          <t>Verde</t>
        </is>
      </c>
      <c r="G2072" s="8" t="n">
        <v>0.2</v>
      </c>
      <c r="H2072" s="11" t="inlineStr">
        <is>
          <t>Avatar: The Last Airbender (TLA)</t>
        </is>
      </c>
      <c r="I2072" s="11" t="inlineStr">
        <is>
          <t>Não</t>
        </is>
      </c>
      <c r="J2072" s="11" t="n">
        <v>2025</v>
      </c>
      <c r="K2072" s="10" t="n">
        <v>46116</v>
      </c>
      <c r="L2072" s="11" t="n">
        <v>1</v>
      </c>
      <c r="M2072" s="8">
        <f>L2072*G2072</f>
        <v/>
      </c>
      <c r="P2072" s="9" t="n"/>
    </row>
    <row r="2073">
      <c r="A2073" s="11" t="inlineStr">
        <is>
          <t>Shriekdiver / Guinchador de Mergulho</t>
        </is>
      </c>
      <c r="B2073" s="11" t="inlineStr">
        <is>
          <t>Creature — Zombie Bird Warrior / Criatura — Zumbi Ave Guerreiro</t>
        </is>
      </c>
      <c r="C2073" s="11" t="inlineStr">
        <is>
          <t>Common / Comum</t>
        </is>
      </c>
      <c r="D2073" s="11" t="inlineStr">
        <is>
          <t>Flying {1}: This creature gains haste until end of turn. / Voar {1}: Guinchador de Mergulho ganha ímpeto até o final do turno.</t>
        </is>
      </c>
      <c r="E2073" s="11" t="inlineStr">
        <is>
          <t>{2}{B}</t>
        </is>
      </c>
      <c r="F2073" s="11" t="inlineStr">
        <is>
          <t>Preto</t>
        </is>
      </c>
      <c r="G2073" s="8" t="n">
        <v>0.02</v>
      </c>
      <c r="H2073" s="11" t="inlineStr">
        <is>
          <t>War of the Spark (WAR)</t>
        </is>
      </c>
      <c r="I2073" s="11" t="inlineStr">
        <is>
          <t>Não</t>
        </is>
      </c>
      <c r="J2073" s="11" t="n">
        <v>2019</v>
      </c>
      <c r="K2073" s="10" t="n">
        <v>46024</v>
      </c>
      <c r="L2073" s="11" t="n">
        <v>1</v>
      </c>
      <c r="M2073" s="8">
        <f>L2073*G2073</f>
        <v/>
      </c>
      <c r="P2073" s="9" t="n"/>
    </row>
    <row r="2074">
      <c r="A2074" s="11" t="inlineStr">
        <is>
          <t>Yargle, Glutton of Urborg / Yargle, Glutão de Urborg</t>
        </is>
      </c>
      <c r="B2074" s="11" t="inlineStr">
        <is>
          <t>Legendary Creature — Frog Spirit / Criatura Lendária — Sapo Espírito</t>
        </is>
      </c>
      <c r="C2074" s="11" t="inlineStr">
        <is>
          <t>Uncommon / Incomum</t>
        </is>
      </c>
      <c r="E2074" s="11" t="inlineStr">
        <is>
          <t>{4}{B}</t>
        </is>
      </c>
      <c r="F2074" s="11" t="inlineStr">
        <is>
          <t>Preto</t>
        </is>
      </c>
      <c r="G2074" s="8" t="n">
        <v>0.02</v>
      </c>
      <c r="H2074" s="11" t="inlineStr">
        <is>
          <t>Multiverse Legends (MUL)</t>
        </is>
      </c>
      <c r="I2074" s="11" t="inlineStr">
        <is>
          <t>Sim</t>
        </is>
      </c>
      <c r="J2074" s="11" t="n">
        <v>2023</v>
      </c>
      <c r="K2074" s="10" t="n">
        <v>46090</v>
      </c>
      <c r="L2074" s="11" t="n">
        <v>1</v>
      </c>
      <c r="M2074" s="8">
        <f>L2074*G2074</f>
        <v/>
      </c>
      <c r="P2074" s="9" t="n"/>
    </row>
    <row r="2075">
      <c r="A2075" s="11" t="inlineStr">
        <is>
          <t>Dusk Mangler / Desmembrador do Ocaso</t>
        </is>
      </c>
      <c r="B2075" s="11" t="inlineStr">
        <is>
          <t>Creature — Horror / Criatura — Horror</t>
        </is>
      </c>
      <c r="C2075" s="11" t="inlineStr">
        <is>
          <t>Uncommon / Incomum</t>
        </is>
      </c>
      <c r="D2075" s="11"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2075" s="11" t="inlineStr">
        <is>
          <t>{5}{B}{B}</t>
        </is>
      </c>
      <c r="F2075" s="11" t="inlineStr">
        <is>
          <t>Preto</t>
        </is>
      </c>
      <c r="G2075" s="8" t="n">
        <v>0.15</v>
      </c>
      <c r="H2075" s="11" t="inlineStr">
        <is>
          <t>Streets of New Capenna (SNC)</t>
        </is>
      </c>
      <c r="I2075" s="11" t="inlineStr">
        <is>
          <t>Não</t>
        </is>
      </c>
      <c r="J2075" s="11" t="n">
        <v>2022</v>
      </c>
      <c r="K2075" s="10" t="n">
        <v>46117</v>
      </c>
      <c r="L2075" s="11" t="n">
        <v>1</v>
      </c>
      <c r="M2075" s="8">
        <f>L2075*G2075</f>
        <v/>
      </c>
      <c r="P2075" s="9" t="n"/>
    </row>
    <row r="2076">
      <c r="A2076" s="11" t="inlineStr">
        <is>
          <t>Undercity Scavenger / Necrófago do Submundo</t>
        </is>
      </c>
      <c r="B2076" s="11" t="inlineStr">
        <is>
          <t>Creature — Ogre Warrior / Criatura — Ogro Guerreiro</t>
        </is>
      </c>
      <c r="C2076" s="11" t="inlineStr">
        <is>
          <t>Common / Comum</t>
        </is>
      </c>
      <c r="D2076" s="11" t="inlineStr">
        <is>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is>
      </c>
      <c r="E2076" s="11" t="inlineStr">
        <is>
          <t>{3}{B}</t>
        </is>
      </c>
      <c r="F2076" s="11" t="inlineStr">
        <is>
          <t>Preto</t>
        </is>
      </c>
      <c r="G2076" s="8" t="n">
        <v>0.03</v>
      </c>
      <c r="H2076" s="11" t="inlineStr">
        <is>
          <t>Ravnica Allegiance (RNA)</t>
        </is>
      </c>
      <c r="I2076" s="11" t="inlineStr">
        <is>
          <t>Não</t>
        </is>
      </c>
      <c r="J2076" s="11" t="n">
        <v>2019</v>
      </c>
      <c r="K2076" s="10" t="n">
        <v>46084</v>
      </c>
      <c r="L2076" s="11" t="n">
        <v>1</v>
      </c>
      <c r="M2076" s="8">
        <f>L2076*G2076</f>
        <v/>
      </c>
      <c r="P2076" s="9" t="n"/>
    </row>
    <row r="2077">
      <c r="A2077" s="11" t="inlineStr">
        <is>
          <t>Pitiless Vizier / Vizir Impiedosa</t>
        </is>
      </c>
      <c r="B2077" s="11" t="inlineStr">
        <is>
          <t>Creature — Minotaur Cleric / Criatura — Minotauro Clérigo</t>
        </is>
      </c>
      <c r="C2077" s="11" t="inlineStr">
        <is>
          <t>Common / Comum</t>
        </is>
      </c>
      <c r="D2077" s="11" t="inlineStr">
        <is>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is>
      </c>
      <c r="E2077" s="11" t="inlineStr">
        <is>
          <t>{3}{B}</t>
        </is>
      </c>
      <c r="F2077" s="11" t="inlineStr">
        <is>
          <t>Preto</t>
        </is>
      </c>
      <c r="G2077" s="8" t="n">
        <v>0.03</v>
      </c>
      <c r="H2077" s="11" t="inlineStr">
        <is>
          <t>Amonkhet (AKH)</t>
        </is>
      </c>
      <c r="I2077" s="11" t="inlineStr">
        <is>
          <t>Não</t>
        </is>
      </c>
      <c r="J2077" s="11" t="n">
        <v>2017</v>
      </c>
      <c r="K2077" s="10" t="n">
        <v>46057</v>
      </c>
      <c r="L2077" s="11" t="n">
        <v>1</v>
      </c>
      <c r="M2077" s="8">
        <f>L2077*G2077</f>
        <v/>
      </c>
      <c r="P2077" s="9" t="n"/>
    </row>
    <row r="2078">
      <c r="A2078" s="11" t="inlineStr">
        <is>
          <t>Cruel Deceiver / Impostor Cruel</t>
        </is>
      </c>
      <c r="B2078" s="11" t="inlineStr">
        <is>
          <t>Creature — Spirit / Criatura - Espírito</t>
        </is>
      </c>
      <c r="C2078" s="11" t="inlineStr">
        <is>
          <t>Common / Comum</t>
        </is>
      </c>
      <c r="D2078" s="11" t="inlineStr">
        <is>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is>
      </c>
      <c r="E2078" s="11" t="inlineStr">
        <is>
          <t>{1}{B}</t>
        </is>
      </c>
      <c r="F2078" s="11" t="inlineStr">
        <is>
          <t>Preto</t>
        </is>
      </c>
      <c r="G2078" s="8" t="n">
        <v>0.07000000000000001</v>
      </c>
      <c r="H2078" s="11" t="inlineStr">
        <is>
          <t>Champions of Kamigawa (CHK)</t>
        </is>
      </c>
      <c r="I2078" s="11" t="inlineStr">
        <is>
          <t>Não</t>
        </is>
      </c>
      <c r="J2078" s="11" t="n">
        <v>2004</v>
      </c>
      <c r="K2078" s="10" t="n">
        <v>46024</v>
      </c>
      <c r="L2078" s="11" t="n">
        <v>1</v>
      </c>
      <c r="M2078" s="8">
        <f>L2078*G2078</f>
        <v/>
      </c>
      <c r="P2078" s="9" t="n"/>
    </row>
    <row r="2079">
      <c r="A2079" s="11" t="inlineStr">
        <is>
          <t>Slate Street Ruffian / Rufião da Rua de Ardósia</t>
        </is>
      </c>
      <c r="B2079" s="11" t="inlineStr">
        <is>
          <t>Creature — Human Warrior / Criatura — Humano Guerreiro</t>
        </is>
      </c>
      <c r="C2079" s="11" t="inlineStr">
        <is>
          <t>Common / Comum</t>
        </is>
      </c>
      <c r="D2079" s="11" t="inlineStr">
        <is>
          <t>Whenever this creature becomes blocked, defending player discards a card. / Toda vez que Rufião da Rua de Ardósia é bloqueado, o jogador defensor descarta um card.</t>
        </is>
      </c>
      <c r="E2079" s="11" t="inlineStr">
        <is>
          <t>{2}{B}</t>
        </is>
      </c>
      <c r="F2079" s="11" t="inlineStr">
        <is>
          <t>Preto</t>
        </is>
      </c>
      <c r="G2079" s="8" t="n">
        <v>0.05</v>
      </c>
      <c r="H2079" s="11" t="inlineStr">
        <is>
          <t>Gatecrash (GTC)</t>
        </is>
      </c>
      <c r="I2079" s="11" t="inlineStr">
        <is>
          <t>Não</t>
        </is>
      </c>
      <c r="J2079" s="11" t="n">
        <v>2013</v>
      </c>
      <c r="K2079" s="10" t="n">
        <v>46055</v>
      </c>
      <c r="L2079" s="11" t="n">
        <v>1</v>
      </c>
      <c r="M2079" s="8">
        <f>L2079*G2079</f>
        <v/>
      </c>
      <c r="P2079" s="9" t="n"/>
    </row>
    <row r="2080">
      <c r="A2080" s="11" t="inlineStr">
        <is>
          <t>Vulturous Aven / Aviano Rapace</t>
        </is>
      </c>
      <c r="B2080" s="11" t="inlineStr">
        <is>
          <t>Creature — Bird Shaman / Criatura — Ave Xamã</t>
        </is>
      </c>
      <c r="C2080" s="11" t="inlineStr">
        <is>
          <t>Common / Comum</t>
        </is>
      </c>
      <c r="D2080" s="11" t="inlineStr">
        <is>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is>
      </c>
      <c r="E2080" s="11" t="inlineStr">
        <is>
          <t>{3}{B}</t>
        </is>
      </c>
      <c r="F2080" s="11" t="inlineStr">
        <is>
          <t>Preto</t>
        </is>
      </c>
      <c r="G2080" s="8" t="n">
        <v>0.03</v>
      </c>
      <c r="H2080" s="11" t="inlineStr">
        <is>
          <t>Dragons of Tarkir (DTK)</t>
        </is>
      </c>
      <c r="I2080" s="11" t="inlineStr">
        <is>
          <t>Não</t>
        </is>
      </c>
      <c r="J2080" s="11" t="n">
        <v>2015</v>
      </c>
      <c r="K2080" s="10" t="n">
        <v>46083</v>
      </c>
      <c r="L2080" s="11" t="n">
        <v>1</v>
      </c>
      <c r="M2080" s="8">
        <f>L2080*G2080</f>
        <v/>
      </c>
      <c r="P2080" s="9" t="n"/>
    </row>
    <row r="2081">
      <c r="A2081" s="11" t="inlineStr">
        <is>
          <t>Tithebearer Giant / Gigante Porta-dízimos</t>
        </is>
      </c>
      <c r="B2081" s="11" t="inlineStr">
        <is>
          <t>Creature — Giant Warrior / Criatura — Gigante Guerreiro</t>
        </is>
      </c>
      <c r="C2081" s="11" t="inlineStr">
        <is>
          <t>Common / Comum</t>
        </is>
      </c>
      <c r="D2081" s="11" t="inlineStr">
        <is>
          <t>When this creature enters, you draw a card and you lose 1 life. / Quando Gigante Porta-dízimos entra no campo de batalha, você compra um card e perde 1 ponto de vida.</t>
        </is>
      </c>
      <c r="E2081" s="11" t="inlineStr">
        <is>
          <t>{5}{B}</t>
        </is>
      </c>
      <c r="F2081" s="11" t="inlineStr">
        <is>
          <t>Preto</t>
        </is>
      </c>
      <c r="G2081" s="8" t="n">
        <v>0.02</v>
      </c>
      <c r="H2081" s="11" t="inlineStr">
        <is>
          <t>War of the Spark (WAR)</t>
        </is>
      </c>
      <c r="I2081" s="11" t="inlineStr">
        <is>
          <t>Não</t>
        </is>
      </c>
      <c r="J2081" s="11" t="n">
        <v>2019</v>
      </c>
      <c r="K2081" s="10" t="n">
        <v>46146</v>
      </c>
      <c r="L2081" s="11" t="n">
        <v>1</v>
      </c>
      <c r="M2081" s="8">
        <f>L2081*G2081</f>
        <v/>
      </c>
      <c r="P2081" s="9" t="n"/>
    </row>
    <row r="2082">
      <c r="A2082" s="11" t="inlineStr">
        <is>
          <t>Twisted Abomination / Abominação Distorcida</t>
        </is>
      </c>
      <c r="B2082" s="11" t="inlineStr">
        <is>
          <t>Creature — Zombie Mutant / Criatura — Mutante Zumbi</t>
        </is>
      </c>
      <c r="C2082" s="11" t="inlineStr">
        <is>
          <t>Common / Comum</t>
        </is>
      </c>
      <c r="D2082" s="11"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2082" s="11" t="inlineStr">
        <is>
          <t>{5}{B}</t>
        </is>
      </c>
      <c r="F2082" s="11" t="inlineStr">
        <is>
          <t>Preto</t>
        </is>
      </c>
      <c r="G2082" s="8" t="n">
        <v>0.23</v>
      </c>
      <c r="H2082" s="11" t="inlineStr">
        <is>
          <t>Premium Deck Series: Graveborn</t>
        </is>
      </c>
      <c r="I2082" s="11" t="inlineStr">
        <is>
          <t>Sim</t>
        </is>
      </c>
      <c r="J2082" s="11" t="n">
        <v>2014</v>
      </c>
      <c r="K2082" s="10" t="n">
        <v>46086</v>
      </c>
      <c r="L2082" s="11" t="n">
        <v>2</v>
      </c>
      <c r="M2082" s="8">
        <f>L2082*G2082</f>
        <v/>
      </c>
      <c r="P2082" s="9" t="n"/>
    </row>
    <row r="2083">
      <c r="A2083" s="11" t="inlineStr">
        <is>
          <t>Night Market Aeronaut / Aeronauta do Mercado Noturno</t>
        </is>
      </c>
      <c r="B2083" s="11" t="inlineStr">
        <is>
          <t>Creature — Aetherborn Warrior / Criatura — Etergênito Guerreiro</t>
        </is>
      </c>
      <c r="C2083" s="11" t="inlineStr">
        <is>
          <t>Common / Comum</t>
        </is>
      </c>
      <c r="D2083" s="11" t="inlineStr">
        <is>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is>
      </c>
      <c r="E2083" s="11" t="inlineStr">
        <is>
          <t>{3}{B}</t>
        </is>
      </c>
      <c r="F2083" s="11" t="inlineStr">
        <is>
          <t>Preto</t>
        </is>
      </c>
      <c r="G2083" s="8" t="n">
        <v>0.03</v>
      </c>
      <c r="H2083" s="11" t="inlineStr">
        <is>
          <t>Aether Revolt (AER)</t>
        </is>
      </c>
      <c r="I2083" s="11" t="inlineStr">
        <is>
          <t>Não</t>
        </is>
      </c>
      <c r="J2083" s="11" t="n">
        <v>2017</v>
      </c>
      <c r="K2083" s="10" t="n">
        <v>46055</v>
      </c>
      <c r="L2083" s="11" t="n">
        <v>1</v>
      </c>
      <c r="M2083" s="8">
        <f>L2083*G2083</f>
        <v/>
      </c>
      <c r="P2083" s="9" t="n"/>
    </row>
    <row r="2084">
      <c r="A2084" s="11" t="inlineStr">
        <is>
          <t>Sickle Ripper / Estripador da Foice</t>
        </is>
      </c>
      <c r="B2084" s="11" t="inlineStr">
        <is>
          <t>Creature — Elemental Warrior / Criatura — Elemental Guerreiro</t>
        </is>
      </c>
      <c r="C2084" s="11" t="inlineStr">
        <is>
          <t>Common / Comum</t>
        </is>
      </c>
      <c r="D2084" s="11" t="inlineStr">
        <is>
          <t>Wither (This deals damage to creatures in the form of -1/-1 counters.) / Murchar (Esta fonte causa dano a criaturas na forma de marcadores -1/-1.)</t>
        </is>
      </c>
      <c r="E2084" s="11" t="inlineStr">
        <is>
          <t>{1}{B}</t>
        </is>
      </c>
      <c r="F2084" s="11" t="inlineStr">
        <is>
          <t>Preto</t>
        </is>
      </c>
      <c r="G2084" s="8" t="n">
        <v>0.08</v>
      </c>
      <c r="H2084" s="11" t="inlineStr">
        <is>
          <t>Shadowmoor (SHM)</t>
        </is>
      </c>
      <c r="I2084" s="11" t="inlineStr">
        <is>
          <t>Não</t>
        </is>
      </c>
      <c r="J2084" s="11" t="n">
        <v>2008</v>
      </c>
      <c r="K2084" s="10" t="n">
        <v>46024</v>
      </c>
      <c r="L2084" s="11" t="n">
        <v>1</v>
      </c>
      <c r="M2084" s="8">
        <f>L2084*G2084</f>
        <v/>
      </c>
      <c r="P2084" s="9" t="n"/>
    </row>
    <row r="2085">
      <c r="A2085" s="11" t="inlineStr">
        <is>
          <t>Turtle Lair</t>
        </is>
      </c>
      <c r="B2085" s="11" t="inlineStr">
        <is>
          <t>Land</t>
        </is>
      </c>
      <c r="C2085" s="11" t="inlineStr">
        <is>
          <t>Uncommon / Incomum</t>
        </is>
      </c>
      <c r="D2085" s="11" t="inlineStr">
        <is>
          <t>{T}: Add {C}. {T}: Add one mana of any color. Spend this mana only to cast a Ninja or Turtle spell. {3}, {T}: Target Ninja or Turtle can't be blocked this turn.</t>
        </is>
      </c>
      <c r="F2085" s="11" t="inlineStr">
        <is>
          <t>Incolor</t>
        </is>
      </c>
      <c r="G2085" s="8" t="n">
        <v>0.1</v>
      </c>
      <c r="H2085" s="11" t="inlineStr">
        <is>
          <t>Teenage Mutant Ninja Turtles (TMT)</t>
        </is>
      </c>
      <c r="I2085" s="11" t="inlineStr">
        <is>
          <t>Não</t>
        </is>
      </c>
      <c r="J2085" s="11" t="n">
        <v>2026</v>
      </c>
      <c r="L2085" s="11" t="n">
        <v>1</v>
      </c>
      <c r="M2085" s="8">
        <f>L2085*G2085</f>
        <v/>
      </c>
      <c r="P2085" s="9" t="n"/>
    </row>
    <row r="2086">
      <c r="A2086" s="11" t="inlineStr">
        <is>
          <t>Foot Headquarters</t>
        </is>
      </c>
      <c r="B2086" s="11" t="inlineStr">
        <is>
          <t>Land</t>
        </is>
      </c>
      <c r="C2086" s="11" t="inlineStr">
        <is>
          <t>Common / Comum</t>
        </is>
      </c>
      <c r="D2086" s="11" t="inlineStr">
        <is>
          <t>This land enters tapped. When this land enters, you gain 1 life. {T}: Add {W} or {B}.</t>
        </is>
      </c>
      <c r="F2086" s="11" t="inlineStr">
        <is>
          <t>Preto, Branco</t>
        </is>
      </c>
      <c r="G2086" s="8" t="n">
        <v>0.15</v>
      </c>
      <c r="H2086" s="11" t="inlineStr">
        <is>
          <t>Teenage Mutant Ninja Turtles (TMT)</t>
        </is>
      </c>
      <c r="I2086" s="11" t="inlineStr">
        <is>
          <t>Não</t>
        </is>
      </c>
      <c r="J2086" s="11" t="n">
        <v>2026</v>
      </c>
      <c r="L2086" s="11" t="n">
        <v>1</v>
      </c>
      <c r="M2086" s="8">
        <f>L2086*G2086</f>
        <v/>
      </c>
      <c r="P2086" s="9" t="n"/>
    </row>
    <row r="2087">
      <c r="A2087" s="11" t="inlineStr">
        <is>
          <t>Mutant Town</t>
        </is>
      </c>
      <c r="B2087" s="11" t="inlineStr">
        <is>
          <t>Land</t>
        </is>
      </c>
      <c r="C2087" s="11" t="inlineStr">
        <is>
          <t>Common / Comum</t>
        </is>
      </c>
      <c r="D2087" s="11" t="inlineStr">
        <is>
          <t>This land enters tapped. When this land enters, you gain 1 life. {T}: Add {G} or {U}.</t>
        </is>
      </c>
      <c r="E2087" s="11" t="n">
        <v>0.14</v>
      </c>
      <c r="F2087" s="11" t="inlineStr">
        <is>
          <t>Verde, Azul</t>
        </is>
      </c>
      <c r="G2087" s="8" t="n"/>
      <c r="H2087" s="11" t="inlineStr">
        <is>
          <t>Teenage Mutant Ninja Turtles (TMT)</t>
        </is>
      </c>
      <c r="I2087" s="11" t="inlineStr">
        <is>
          <t>Não</t>
        </is>
      </c>
      <c r="J2087" s="11" t="n">
        <v>2026</v>
      </c>
      <c r="L2087" s="11" t="n">
        <v>1</v>
      </c>
      <c r="M2087" s="8">
        <f>L2087*G2087</f>
        <v/>
      </c>
      <c r="P2087" s="9" t="n"/>
    </row>
    <row r="2088">
      <c r="A2088" s="11" t="inlineStr">
        <is>
          <t>TCRI Building</t>
        </is>
      </c>
      <c r="B2088" s="11" t="inlineStr">
        <is>
          <t>Land</t>
        </is>
      </c>
      <c r="C2088" s="11" t="inlineStr">
        <is>
          <t>Common / Comum</t>
        </is>
      </c>
      <c r="D2088" s="11" t="inlineStr">
        <is>
          <t>This land enters tapped. When this land enters, you gain 1 life. {T}: Add {U} or {R}.</t>
        </is>
      </c>
      <c r="F2088" s="11" t="inlineStr">
        <is>
          <t>Vermelho, Azul</t>
        </is>
      </c>
      <c r="G2088" s="8" t="n">
        <v>0.13</v>
      </c>
      <c r="H2088" s="11" t="inlineStr">
        <is>
          <t>Teenage Mutant Ninja Turtles (TMT)</t>
        </is>
      </c>
      <c r="I2088" s="11" t="inlineStr">
        <is>
          <t>Não</t>
        </is>
      </c>
      <c r="J2088" s="11" t="n">
        <v>2026</v>
      </c>
      <c r="L2088" s="11" t="n">
        <v>1</v>
      </c>
      <c r="M2088" s="8">
        <f>L2088*G2088</f>
        <v/>
      </c>
      <c r="P2088" s="9" t="n"/>
    </row>
    <row r="2089">
      <c r="A2089" s="11" t="inlineStr">
        <is>
          <t>Illegitimate Business</t>
        </is>
      </c>
      <c r="B2089" s="11" t="inlineStr">
        <is>
          <t>Land</t>
        </is>
      </c>
      <c r="C2089" s="11" t="inlineStr">
        <is>
          <t>Common / Comum</t>
        </is>
      </c>
      <c r="D2089" s="11" t="inlineStr">
        <is>
          <t>This land enters tapped. When this land enters, you gain 1 life. {T}: Add {B} or {G}.</t>
        </is>
      </c>
      <c r="F2089" s="11" t="inlineStr">
        <is>
          <t>Preto, Verde</t>
        </is>
      </c>
      <c r="G2089" s="8" t="n">
        <v>0.22</v>
      </c>
      <c r="H2089" s="11" t="inlineStr">
        <is>
          <t>Teenage Mutant Ninja Turtles (TMT)</t>
        </is>
      </c>
      <c r="I2089" s="11" t="inlineStr">
        <is>
          <t>Sim</t>
        </is>
      </c>
      <c r="J2089" s="11" t="n">
        <v>2026</v>
      </c>
      <c r="L2089" s="11" t="n">
        <v>1</v>
      </c>
      <c r="M2089" s="8">
        <f>L2089*G2089</f>
        <v/>
      </c>
      <c r="P2089" s="9" t="n"/>
    </row>
    <row r="2090">
      <c r="A2090" s="11" t="inlineStr">
        <is>
          <t>Escape Tunnel / Túnel de Fuga</t>
        </is>
      </c>
      <c r="B2090" s="11" t="inlineStr">
        <is>
          <t>Land / Terreno</t>
        </is>
      </c>
      <c r="C2090" s="11" t="inlineStr">
        <is>
          <t>Common / Comum</t>
        </is>
      </c>
      <c r="D2090" s="11"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90" s="11" t="inlineStr">
        <is>
          <t>Incolor</t>
        </is>
      </c>
      <c r="G2090" s="8" t="n">
        <v>0.24</v>
      </c>
      <c r="H2090" s="11" t="inlineStr">
        <is>
          <t>Teenage Mutant Ninja Turtles (TMT)</t>
        </is>
      </c>
      <c r="I2090" s="11" t="inlineStr">
        <is>
          <t>Não</t>
        </is>
      </c>
      <c r="J2090" s="11" t="n">
        <v>2026</v>
      </c>
      <c r="L2090" s="11" t="n">
        <v>1</v>
      </c>
      <c r="M2090" s="8">
        <f>L2090*G2090</f>
        <v/>
      </c>
      <c r="P2090" s="9" t="n"/>
    </row>
    <row r="2091">
      <c r="A2091" s="11" t="inlineStr">
        <is>
          <t>Escape Tunnel / Túnel de Fuga</t>
        </is>
      </c>
      <c r="B2091" s="11" t="inlineStr">
        <is>
          <t>Land / Terreno</t>
        </is>
      </c>
      <c r="C2091" s="11" t="inlineStr">
        <is>
          <t>Common / Comum</t>
        </is>
      </c>
      <c r="D2091" s="11"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91" s="11" t="inlineStr">
        <is>
          <t>Incolor</t>
        </is>
      </c>
      <c r="G2091" s="8" t="n">
        <v>0.34</v>
      </c>
      <c r="H2091" s="11" t="inlineStr">
        <is>
          <t>Teenage Mutant Ninja Turtles (TMT)</t>
        </is>
      </c>
      <c r="I2091" s="11" t="inlineStr">
        <is>
          <t>Sim</t>
        </is>
      </c>
      <c r="J2091" s="11" t="n">
        <v>2026</v>
      </c>
      <c r="L2091" s="11" t="n">
        <v>1</v>
      </c>
      <c r="M2091" s="8">
        <f>L2091*G2091</f>
        <v/>
      </c>
      <c r="P2091" s="9" t="n"/>
    </row>
    <row r="2092">
      <c r="A2092" s="11" t="inlineStr">
        <is>
          <t>Henchbots</t>
        </is>
      </c>
      <c r="B2092" s="11" t="inlineStr">
        <is>
          <t>Artifact Creature — Robot</t>
        </is>
      </c>
      <c r="C2092" s="11" t="inlineStr">
        <is>
          <t>Uncommon / Incomum</t>
        </is>
      </c>
      <c r="D2092" s="11" t="inlineStr">
        <is>
          <t>When this creature enters, exile target tapped creature an opponent controls until this creature leaves the battlefield.</t>
        </is>
      </c>
      <c r="E2092" s="11" t="inlineStr">
        <is>
          <t>{4}</t>
        </is>
      </c>
      <c r="F2092" s="11" t="inlineStr">
        <is>
          <t>Incolor</t>
        </is>
      </c>
      <c r="G2092" s="8" t="n">
        <v>0.13</v>
      </c>
      <c r="H2092" s="11" t="inlineStr">
        <is>
          <t>Teenage Mutant Ninja Turtles (TMT)</t>
        </is>
      </c>
      <c r="I2092" s="11" t="inlineStr">
        <is>
          <t>Não</t>
        </is>
      </c>
      <c r="J2092" s="11" t="n">
        <v>2026</v>
      </c>
      <c r="K2092" s="10" t="n">
        <v>46083</v>
      </c>
      <c r="L2092" s="11" t="n">
        <v>2</v>
      </c>
      <c r="M2092" s="8">
        <f>L2092*G2092</f>
        <v/>
      </c>
      <c r="P2092" s="9" t="n"/>
    </row>
    <row r="2093">
      <c r="A2093" s="11" t="inlineStr">
        <is>
          <t>Anchovy &amp; Banana Pizza</t>
        </is>
      </c>
      <c r="B2093" s="11" t="inlineStr">
        <is>
          <t>Artifact — Food</t>
        </is>
      </c>
      <c r="C2093" s="11" t="inlineStr">
        <is>
          <t>Common / Comum</t>
        </is>
      </c>
      <c r="D2093" s="11" t="inlineStr">
        <is>
          <t>When this artifact enters, destroy target creature. {2}, {T}, Sacrifice this artifact: You gain 3 life.</t>
        </is>
      </c>
      <c r="E2093" s="11" t="inlineStr">
        <is>
          <t>{2}{B}{B}</t>
        </is>
      </c>
      <c r="F2093" s="11" t="inlineStr">
        <is>
          <t>Preto</t>
        </is>
      </c>
      <c r="G2093" s="8" t="n">
        <v>0.1</v>
      </c>
      <c r="H2093" s="11" t="inlineStr">
        <is>
          <t>Teenage Mutant Ninja Turtles (TMT)</t>
        </is>
      </c>
      <c r="I2093" s="11" t="inlineStr">
        <is>
          <t>Não</t>
        </is>
      </c>
      <c r="J2093" s="11" t="n">
        <v>2026</v>
      </c>
      <c r="L2093" s="11" t="n">
        <v>4</v>
      </c>
      <c r="M2093" s="8">
        <f>L2093*G2093</f>
        <v/>
      </c>
      <c r="P2093" s="9" t="n"/>
    </row>
    <row r="2094">
      <c r="A2094" s="11" t="inlineStr">
        <is>
          <t>Turtle Van</t>
        </is>
      </c>
      <c r="B2094" s="11" t="inlineStr">
        <is>
          <t>Artifact — Vehicle</t>
        </is>
      </c>
      <c r="C2094" s="11" t="inlineStr">
        <is>
          <t>Rare / Rara</t>
        </is>
      </c>
      <c r="D2094" s="11" t="inlineStr">
        <is>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is>
      </c>
      <c r="E2094" s="11" t="inlineStr">
        <is>
          <t>{3}</t>
        </is>
      </c>
      <c r="F2094" s="11" t="inlineStr">
        <is>
          <t>Incolor</t>
        </is>
      </c>
      <c r="G2094" s="8" t="n">
        <v>5.75</v>
      </c>
      <c r="H2094" s="11" t="inlineStr">
        <is>
          <t>Teenage Mutant Ninja Turtles (TMT)</t>
        </is>
      </c>
      <c r="I2094" s="11" t="inlineStr">
        <is>
          <t>Sim</t>
        </is>
      </c>
      <c r="J2094" s="11" t="n">
        <v>2026</v>
      </c>
      <c r="K2094" s="10" t="n">
        <v>46116</v>
      </c>
      <c r="L2094" s="11" t="n">
        <v>1</v>
      </c>
      <c r="M2094" s="8">
        <f>L2094*G2094</f>
        <v/>
      </c>
      <c r="P2094" s="9" t="n"/>
    </row>
    <row r="2095">
      <c r="A2095" s="11" t="inlineStr">
        <is>
          <t>Turtle Blimp</t>
        </is>
      </c>
      <c r="B2095" s="11" t="inlineStr">
        <is>
          <t>Artifact — Vehicle</t>
        </is>
      </c>
      <c r="C2095" s="11" t="inlineStr">
        <is>
          <t>Uncommon / Incomum</t>
        </is>
      </c>
      <c r="D2095" s="11" t="inlineStr">
        <is>
          <t>Flying When this Vehicle enters, create a 2/2 red Mutant creature token. Crew 2 (Tap any number of creatures you control with total power 2 or more: This Vehicle becomes an artifact creature until end of turn.)</t>
        </is>
      </c>
      <c r="E2095" s="11" t="inlineStr">
        <is>
          <t>{5}</t>
        </is>
      </c>
      <c r="F2095" s="11" t="inlineStr">
        <is>
          <t>Incolor</t>
        </is>
      </c>
      <c r="G2095" s="8" t="n">
        <v>0.13</v>
      </c>
      <c r="H2095" s="11" t="inlineStr">
        <is>
          <t>Teenage Mutant Ninja Turtles (TMT)</t>
        </is>
      </c>
      <c r="I2095" s="11" t="inlineStr">
        <is>
          <t>Não</t>
        </is>
      </c>
      <c r="J2095" s="11" t="n">
        <v>2026</v>
      </c>
      <c r="K2095" s="10" t="n">
        <v>46115</v>
      </c>
      <c r="L2095" s="11" t="n">
        <v>1</v>
      </c>
      <c r="M2095" s="8">
        <f>L2095*G2095</f>
        <v/>
      </c>
      <c r="P2095" s="9" t="n"/>
    </row>
    <row r="2096">
      <c r="A2096" s="11" t="inlineStr">
        <is>
          <t>Skateboard</t>
        </is>
      </c>
      <c r="B2096" s="11" t="inlineStr">
        <is>
          <t>Artifact — Equipment</t>
        </is>
      </c>
      <c r="C2096" s="11" t="inlineStr">
        <is>
          <t>Uncommon / Incomum</t>
        </is>
      </c>
      <c r="D2096" s="11" t="inlineStr">
        <is>
          <t>When this Equipment enters, tap target permanent. Equipped creature gets +1/+0 and has haste. Equip {1} ({1}: Attach to target creature you control. Equip only as a sorcery.)</t>
        </is>
      </c>
      <c r="E2096" s="11" t="inlineStr">
        <is>
          <t>{1}</t>
        </is>
      </c>
      <c r="F2096" s="11" t="inlineStr">
        <is>
          <t>Incolor</t>
        </is>
      </c>
      <c r="G2096" s="8" t="n">
        <v>0.25</v>
      </c>
      <c r="H2096" s="11" t="inlineStr">
        <is>
          <t>Teenage Mutant Ninja Turtles (TMT)</t>
        </is>
      </c>
      <c r="I2096" s="11" t="inlineStr">
        <is>
          <t>Não</t>
        </is>
      </c>
      <c r="J2096" s="11" t="n">
        <v>2026</v>
      </c>
      <c r="L2096" s="11" t="n">
        <v>3</v>
      </c>
      <c r="M2096" s="8">
        <f>L2096*G2096</f>
        <v/>
      </c>
      <c r="P2096" s="9" t="n"/>
    </row>
    <row r="2097">
      <c r="A2097" s="11" t="inlineStr">
        <is>
          <t>Everything Pizza</t>
        </is>
      </c>
      <c r="B2097" s="11" t="inlineStr">
        <is>
          <t>Artifact — Food</t>
        </is>
      </c>
      <c r="C2097" s="11" t="inlineStr">
        <is>
          <t>Uncommon / Incomum</t>
        </is>
      </c>
      <c r="D2097" s="11" t="inlineStr">
        <is>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is>
      </c>
      <c r="E2097" s="11" t="inlineStr">
        <is>
          <t>{2}</t>
        </is>
      </c>
      <c r="F2097" s="11" t="inlineStr">
        <is>
          <t>Preto, Verde, Vermelho, Azul, Branco</t>
        </is>
      </c>
      <c r="G2097" s="8" t="n">
        <v>0.1</v>
      </c>
      <c r="H2097" s="11" t="inlineStr">
        <is>
          <t>Teenage Mutant Ninja Turtles (TMT)</t>
        </is>
      </c>
      <c r="I2097" s="11" t="inlineStr">
        <is>
          <t>Não</t>
        </is>
      </c>
      <c r="J2097" s="11" t="n">
        <v>2026</v>
      </c>
      <c r="L2097" s="11" t="n">
        <v>1</v>
      </c>
      <c r="M2097" s="8">
        <f>L2097*G2097</f>
        <v/>
      </c>
      <c r="P2097" s="9" t="n"/>
    </row>
    <row r="2098">
      <c r="A2098" s="11" t="inlineStr">
        <is>
          <t>Omni-Cheese Pizza</t>
        </is>
      </c>
      <c r="B2098" s="11" t="inlineStr">
        <is>
          <t>Artifact — Food</t>
        </is>
      </c>
      <c r="C2098" s="11" t="inlineStr">
        <is>
          <t>Common / Comum</t>
        </is>
      </c>
      <c r="D2098" s="11" t="inlineStr">
        <is>
          <t>When this artifact enters, draw a card. {1}, {T}, Sacrifice this artifact: Add one mana of any color. {2}, {T}, Sacrifice this artifact: You gain 3 life.</t>
        </is>
      </c>
      <c r="E2098" s="11" t="inlineStr">
        <is>
          <t>{2}</t>
        </is>
      </c>
      <c r="F2098" s="11" t="inlineStr">
        <is>
          <t>Incolor</t>
        </is>
      </c>
      <c r="G2098" s="8" t="n">
        <v>0.1</v>
      </c>
      <c r="H2098" s="11" t="inlineStr">
        <is>
          <t>Teenage Mutant Ninja Turtles (TMT)</t>
        </is>
      </c>
      <c r="I2098" s="11" t="inlineStr">
        <is>
          <t>Não</t>
        </is>
      </c>
      <c r="J2098" s="11" t="n">
        <v>2026</v>
      </c>
      <c r="L2098" s="11" t="n">
        <v>2</v>
      </c>
      <c r="M2098" s="8">
        <f>L2098*G2098</f>
        <v/>
      </c>
      <c r="P2098" s="9" t="n"/>
    </row>
    <row r="2099">
      <c r="A2099" s="11" t="inlineStr">
        <is>
          <t>Courier of Comestibles</t>
        </is>
      </c>
      <c r="B2099" s="11" t="inlineStr">
        <is>
          <t>Creature — Human Citizen</t>
        </is>
      </c>
      <c r="C2099" s="11" t="inlineStr">
        <is>
          <t>Uncommon / Incomum</t>
        </is>
      </c>
      <c r="D2099" s="11" t="inlineStr">
        <is>
          <t>When this creature enters, you may search your library for a Food card, reveal it, put it into your hand, then shuffle. If you don't put a card into your hand this way, create a Food token. (It's an artifact with "{2}, {T}, Sacrifice this token: You gain 3 life.")</t>
        </is>
      </c>
      <c r="E2099" s="11" t="inlineStr">
        <is>
          <t>{1}{G}</t>
        </is>
      </c>
      <c r="F2099" s="11" t="inlineStr">
        <is>
          <t>Verde</t>
        </is>
      </c>
      <c r="G2099" s="8" t="n">
        <v>0.13</v>
      </c>
      <c r="H2099" s="11" t="inlineStr">
        <is>
          <t>Teenage Mutant Ninja Turtles (TMT)</t>
        </is>
      </c>
      <c r="I2099" s="11" t="inlineStr">
        <is>
          <t>Não</t>
        </is>
      </c>
      <c r="J2099" s="11" t="n">
        <v>2026</v>
      </c>
      <c r="K2099" s="10" t="n">
        <v>46054</v>
      </c>
      <c r="L2099" s="11" t="n">
        <v>3</v>
      </c>
      <c r="M2099" s="8">
        <f>L2099*G2099</f>
        <v/>
      </c>
      <c r="P2099" s="9" t="n"/>
    </row>
    <row r="2100">
      <c r="A2100" s="11" t="inlineStr">
        <is>
          <t>Rocksteady, Crash Courser</t>
        </is>
      </c>
      <c r="B2100" s="11" t="inlineStr">
        <is>
          <t>Legendary Creature — Rhino Mutant</t>
        </is>
      </c>
      <c r="C2100" s="11" t="inlineStr">
        <is>
          <t>Common / Comum</t>
        </is>
      </c>
      <c r="D2100" s="11" t="inlineStr">
        <is>
          <t>Rocksteady can't be blocked by more than one creature. Boars you control can't be blocked by more than one creature. Forestcycling {2} ({2}, Discard this card: Search your library for a Forest card, reveal it, put it into your hand, then shuffle.)</t>
        </is>
      </c>
      <c r="E2100" s="11" t="inlineStr">
        <is>
          <t>{4}{G}{G}</t>
        </is>
      </c>
      <c r="F2100" s="11" t="inlineStr">
        <is>
          <t>Verde</t>
        </is>
      </c>
      <c r="G2100" s="8" t="n">
        <v>0.1</v>
      </c>
      <c r="H2100" s="11" t="inlineStr">
        <is>
          <t>Teenage Mutant Ninja Turtles (TMT)</t>
        </is>
      </c>
      <c r="I2100" s="11" t="inlineStr">
        <is>
          <t>Não</t>
        </is>
      </c>
      <c r="J2100" s="11" t="n">
        <v>2026</v>
      </c>
      <c r="K2100" s="10" t="n">
        <v>46210</v>
      </c>
      <c r="L2100" s="11" t="n">
        <v>2</v>
      </c>
      <c r="M2100" s="8">
        <f>L2100*G2100</f>
        <v/>
      </c>
      <c r="P2100" s="9" t="n"/>
    </row>
    <row r="2101">
      <c r="A2101" s="11" t="inlineStr">
        <is>
          <t>Turtle Power!</t>
        </is>
      </c>
      <c r="B2101" s="11" t="inlineStr">
        <is>
          <t>Enchantment</t>
        </is>
      </c>
      <c r="C2101" s="11" t="inlineStr">
        <is>
          <t>Rare / Rara</t>
        </is>
      </c>
      <c r="D2101" s="11" t="inlineStr">
        <is>
          <t>Flash Turtles you control get +2/+2.</t>
        </is>
      </c>
      <c r="E2101" s="11" t="inlineStr">
        <is>
          <t>{2}{G}</t>
        </is>
      </c>
      <c r="F2101" s="11" t="inlineStr">
        <is>
          <t>Verde</t>
        </is>
      </c>
      <c r="G2101" s="8" t="n">
        <v>1</v>
      </c>
      <c r="H2101" s="11" t="inlineStr">
        <is>
          <t>Teenage Mutant Ninja Turtles (TMT)</t>
        </is>
      </c>
      <c r="I2101" s="11" t="inlineStr">
        <is>
          <t>Não</t>
        </is>
      </c>
      <c r="J2101" s="11" t="n">
        <v>2026</v>
      </c>
      <c r="L2101" s="11" t="n">
        <v>1</v>
      </c>
      <c r="M2101" s="8">
        <f>L2101*G2101</f>
        <v/>
      </c>
      <c r="P2101" s="9" t="n"/>
    </row>
    <row r="2102">
      <c r="A2102" s="11" t="inlineStr">
        <is>
          <t>Mutant Chain Reaction</t>
        </is>
      </c>
      <c r="B2102" s="11" t="inlineStr">
        <is>
          <t>Sorcery</t>
        </is>
      </c>
      <c r="C2102" s="11" t="inlineStr">
        <is>
          <t>Common / Comum</t>
        </is>
      </c>
      <c r="D2102" s="11" t="inlineStr">
        <is>
          <t>Destroy up to one target artifact, enchantment, or creature with flying. Create a Mutagen token. (It's an artifact with "{1}, {T}, Sacrifice this token: Put a +1/+1 counter on target creature. Activate only as a sorcery.")</t>
        </is>
      </c>
      <c r="E2102" s="11" t="inlineStr">
        <is>
          <t>{2}{G}</t>
        </is>
      </c>
      <c r="F2102" s="11" t="inlineStr">
        <is>
          <t>Verde</t>
        </is>
      </c>
      <c r="G2102" s="8" t="n">
        <v>0.1</v>
      </c>
      <c r="H2102" s="11" t="inlineStr">
        <is>
          <t>Teenage Mutant Ninja Turtles (TMT)</t>
        </is>
      </c>
      <c r="I2102" s="11" t="inlineStr">
        <is>
          <t>Não</t>
        </is>
      </c>
      <c r="J2102" s="11" t="n">
        <v>2026</v>
      </c>
      <c r="L2102" s="11" t="n">
        <v>1</v>
      </c>
      <c r="M2102" s="8">
        <f>L2102*G2102</f>
        <v/>
      </c>
      <c r="P2102" s="9" t="n"/>
    </row>
    <row r="2103">
      <c r="A2103" s="11" t="inlineStr">
        <is>
          <t>Venus, Torn Between Worlds</t>
        </is>
      </c>
      <c r="B2103" s="11" t="inlineStr">
        <is>
          <t>Legendary Creature — Mutant Frog Turtle</t>
        </is>
      </c>
      <c r="C2103" s="11" t="inlineStr">
        <is>
          <t>Uncommon / Incomum</t>
        </is>
      </c>
      <c r="D2103" s="11" t="inlineStr">
        <is>
          <t>Whenever Venus is dealt damage, put that many +1/+1 counters on her. (She must survive the damage to get the counters.) Whenever a creature you control with a counter on it deals combat damage to a player, you may pay {U}. If you do, draw a card.</t>
        </is>
      </c>
      <c r="E2103" s="11" t="inlineStr">
        <is>
          <t>{4}{G}</t>
        </is>
      </c>
      <c r="F2103" s="11" t="inlineStr">
        <is>
          <t>Verde</t>
        </is>
      </c>
      <c r="G2103" s="8" t="n">
        <v>0.14</v>
      </c>
      <c r="H2103" s="11" t="inlineStr">
        <is>
          <t>Teenage Mutant Ninja Turtles (TMT)</t>
        </is>
      </c>
      <c r="I2103" s="11" t="inlineStr">
        <is>
          <t>Não</t>
        </is>
      </c>
      <c r="J2103" s="11" t="n">
        <v>2026</v>
      </c>
      <c r="K2103" s="10" t="n">
        <v>46147</v>
      </c>
      <c r="L2103" s="11" t="n">
        <v>1</v>
      </c>
      <c r="M2103" s="8">
        <f>L2103*G2103</f>
        <v/>
      </c>
      <c r="P2103" s="9" t="n"/>
    </row>
    <row r="2104">
      <c r="A2104" s="11" t="inlineStr">
        <is>
          <t>Guac &amp; Marshmallow Pizza</t>
        </is>
      </c>
      <c r="B2104" s="11" t="inlineStr">
        <is>
          <t>Artifact — Food</t>
        </is>
      </c>
      <c r="C2104" s="11" t="inlineStr">
        <is>
          <t>Common / Comum</t>
        </is>
      </c>
      <c r="D2104" s="11" t="inlineStr">
        <is>
          <t>Flash When this artifact enters, target creature gets +2/+2 until end of turn. Untap it. {2}, {T}, Sacrifice this artifact: You gain 3 life.</t>
        </is>
      </c>
      <c r="E2104" s="11" t="inlineStr">
        <is>
          <t>{G}</t>
        </is>
      </c>
      <c r="F2104" s="11" t="inlineStr">
        <is>
          <t>Verde</t>
        </is>
      </c>
      <c r="G2104" s="8" t="n">
        <v>0.1</v>
      </c>
      <c r="H2104" s="11" t="inlineStr">
        <is>
          <t>Teenage Mutant Ninja Turtles (TMT)</t>
        </is>
      </c>
      <c r="I2104" s="11" t="inlineStr">
        <is>
          <t>Não</t>
        </is>
      </c>
      <c r="J2104" s="11" t="n">
        <v>2026</v>
      </c>
      <c r="L2104" s="11" t="n">
        <v>1</v>
      </c>
      <c r="M2104" s="8">
        <f>L2104*G2104</f>
        <v/>
      </c>
      <c r="P2104" s="9" t="n"/>
    </row>
    <row r="2105">
      <c r="A2105" s="11" t="inlineStr">
        <is>
          <t>New Generation's Technique</t>
        </is>
      </c>
      <c r="B2105" s="11" t="inlineStr">
        <is>
          <t>Sorcery</t>
        </is>
      </c>
      <c r="C2105" s="11" t="inlineStr">
        <is>
          <t>Uncommon / Incomum</t>
        </is>
      </c>
      <c r="D2105" s="11" t="inlineStr">
        <is>
          <t>Sneak {2}{G} (You may cast this spell for {2}{G} if you also return an unblocked attacker you control to hand during the declare blockers step.) Search your library for up to two basic land cards, put them onto the battlefield tapped, then shuffle.</t>
        </is>
      </c>
      <c r="E2105" s="11" t="inlineStr">
        <is>
          <t>{3}{G}</t>
        </is>
      </c>
      <c r="F2105" s="11" t="inlineStr">
        <is>
          <t>Verde</t>
        </is>
      </c>
      <c r="G2105" s="8" t="n">
        <v>0.23</v>
      </c>
      <c r="H2105" s="11" t="inlineStr">
        <is>
          <t>Teenage Mutant Ninja Turtles (TMT)</t>
        </is>
      </c>
      <c r="I2105" s="11" t="inlineStr">
        <is>
          <t>Não</t>
        </is>
      </c>
      <c r="J2105" s="11" t="n">
        <v>2026</v>
      </c>
      <c r="L2105" s="11" t="n">
        <v>1</v>
      </c>
      <c r="M2105" s="8">
        <f>L2105*G2105</f>
        <v/>
      </c>
      <c r="P2105" s="9" t="n"/>
    </row>
    <row r="2106">
      <c r="A2106" s="11" t="inlineStr">
        <is>
          <t>Primordial Pachyderm</t>
        </is>
      </c>
      <c r="B2106" s="11" t="inlineStr">
        <is>
          <t>Creature — Elephant Avatar</t>
        </is>
      </c>
      <c r="C2106" s="11" t="inlineStr">
        <is>
          <t>Common / Comum</t>
        </is>
      </c>
      <c r="D2106" s="11" t="inlineStr">
        <is>
          <t>Reach, trample When this creature enters, you gain 2 life.</t>
        </is>
      </c>
      <c r="E2106" s="11" t="inlineStr">
        <is>
          <t>{3}{G}</t>
        </is>
      </c>
      <c r="F2106" s="11" t="inlineStr">
        <is>
          <t>Verde</t>
        </is>
      </c>
      <c r="G2106" s="8" t="n">
        <v>0.1</v>
      </c>
      <c r="H2106" s="11" t="inlineStr">
        <is>
          <t>Teenage Mutant Ninja Turtles (TMT)</t>
        </is>
      </c>
      <c r="I2106" s="11" t="inlineStr">
        <is>
          <t>Não</t>
        </is>
      </c>
      <c r="J2106" s="11" t="n">
        <v>2026</v>
      </c>
      <c r="K2106" s="10" t="n">
        <v>46116</v>
      </c>
      <c r="L2106" s="11" t="n">
        <v>1</v>
      </c>
      <c r="M2106" s="8">
        <f>L2106*G2106</f>
        <v/>
      </c>
      <c r="P2106" s="9" t="n"/>
    </row>
    <row r="2107">
      <c r="A2107" s="11" t="inlineStr">
        <is>
          <t>Zoo Escapees</t>
        </is>
      </c>
      <c r="B2107" s="11" t="inlineStr">
        <is>
          <t>Creature — Boar Rhino</t>
        </is>
      </c>
      <c r="C2107" s="11" t="inlineStr">
        <is>
          <t>Common / Comum</t>
        </is>
      </c>
      <c r="D2107" s="11" t="inlineStr">
        <is>
          <t>When this creature leaves the battlefield, create a Mutagen token. (It's an artifact with "{1}, {T}, Sacrifice this token: Put a +1/+1 counter on target creature. Activate only as a sorcery.")</t>
        </is>
      </c>
      <c r="E2107" s="11" t="inlineStr">
        <is>
          <t>{1}{G}</t>
        </is>
      </c>
      <c r="F2107" s="11" t="inlineStr">
        <is>
          <t>Verde</t>
        </is>
      </c>
      <c r="G2107" s="8" t="n">
        <v>0.05</v>
      </c>
      <c r="H2107" s="11" t="inlineStr">
        <is>
          <t>Teenage Mutant Ninja Turtles (TMT)</t>
        </is>
      </c>
      <c r="I2107" s="11" t="inlineStr">
        <is>
          <t>Não</t>
        </is>
      </c>
      <c r="J2107" s="11" t="n">
        <v>2026</v>
      </c>
      <c r="K2107" s="10" t="n">
        <v>46055</v>
      </c>
      <c r="L2107" s="11" t="n">
        <v>5</v>
      </c>
      <c r="M2107" s="8">
        <f>L2107*G2107</f>
        <v/>
      </c>
      <c r="P2107" s="9" t="n"/>
    </row>
    <row r="2108">
      <c r="A2108" s="11" t="inlineStr">
        <is>
          <t>Cowabunga!</t>
        </is>
      </c>
      <c r="B2108" s="11" t="inlineStr">
        <is>
          <t>Sorcery</t>
        </is>
      </c>
      <c r="C2108" s="11" t="inlineStr">
        <is>
          <t>Common / Comum</t>
        </is>
      </c>
      <c r="D2108" s="11" t="inlineStr">
        <is>
          <t>Look at the top four cards of your library. You may reveal a Mutant, Ninja, Turtle, or land card from among them and put it into your hand. Put the rest on the bottom of your library in a random order.</t>
        </is>
      </c>
      <c r="E2108" s="11" t="inlineStr">
        <is>
          <t>{G}</t>
        </is>
      </c>
      <c r="F2108" s="11" t="inlineStr">
        <is>
          <t>Verde</t>
        </is>
      </c>
      <c r="G2108" s="8" t="n">
        <v>0.1</v>
      </c>
      <c r="H2108" s="11" t="inlineStr">
        <is>
          <t>Teenage Mutant Ninja Turtles (TMT)</t>
        </is>
      </c>
      <c r="I2108" s="11" t="inlineStr">
        <is>
          <t>Não</t>
        </is>
      </c>
      <c r="J2108" s="11" t="n">
        <v>2026</v>
      </c>
      <c r="L2108" s="11" t="n">
        <v>4</v>
      </c>
      <c r="M2108" s="8">
        <f>L2108*G2108</f>
        <v/>
      </c>
      <c r="P2108" s="9" t="n"/>
    </row>
    <row r="2109">
      <c r="A2109" s="11" t="inlineStr">
        <is>
          <t>Mona Lisa, Science Geek</t>
        </is>
      </c>
      <c r="B2109" s="11" t="inlineStr">
        <is>
          <t>Legendary Creature — Lizard Mutant</t>
        </is>
      </c>
      <c r="C2109" s="11" t="inlineStr">
        <is>
          <t>Uncommon / Incomum</t>
        </is>
      </c>
      <c r="D2109" s="11" t="inlineStr">
        <is>
          <t>Reach {T}: Add X mana of any one color, where X is Mona Lisa's power.</t>
        </is>
      </c>
      <c r="E2109" s="11" t="inlineStr">
        <is>
          <t>{2}{G}</t>
        </is>
      </c>
      <c r="F2109" s="11" t="inlineStr">
        <is>
          <t>Verde</t>
        </is>
      </c>
      <c r="G2109" s="8" t="n">
        <v>0.1</v>
      </c>
      <c r="H2109" s="11" t="inlineStr">
        <is>
          <t>Teenage Mutant Ninja Turtles (TMT)</t>
        </is>
      </c>
      <c r="I2109" s="11" t="inlineStr">
        <is>
          <t>Não</t>
        </is>
      </c>
      <c r="J2109" s="11" t="n">
        <v>2026</v>
      </c>
      <c r="K2109" s="10" t="n">
        <v>46082</v>
      </c>
      <c r="L2109" s="11" t="n">
        <v>1</v>
      </c>
      <c r="M2109" s="8">
        <f>L2109*G2109</f>
        <v/>
      </c>
      <c r="P2109" s="9" t="n"/>
    </row>
    <row r="2110">
      <c r="A2110" s="11" t="inlineStr">
        <is>
          <t>Michelangelo, Mutant BFF</t>
        </is>
      </c>
      <c r="B2110" s="11" t="inlineStr">
        <is>
          <t>Legendary Creature — Mutant Ninja Turtle</t>
        </is>
      </c>
      <c r="C2110" s="11" t="inlineStr">
        <is>
          <t>Uncommon / Incomum</t>
        </is>
      </c>
      <c r="D2110" s="11" t="inlineStr">
        <is>
          <t>Each creature you control with a counter on it can't be blocked by more than one creature. Whenever Michelangelo enters or attacks, create a Mutagen token. (It's an artifact with "{1}, {T}, Sacrifice this token: Put a +1/+1 counter on target creature. Activate only as a sorcery.")</t>
        </is>
      </c>
      <c r="E2110" s="11" t="inlineStr">
        <is>
          <t>{2}{G}{G}</t>
        </is>
      </c>
      <c r="F2110" s="11" t="inlineStr">
        <is>
          <t>Verde</t>
        </is>
      </c>
      <c r="G2110" s="8" t="n">
        <v>0.23</v>
      </c>
      <c r="H2110" s="11" t="inlineStr">
        <is>
          <t>Teenage Mutant Ninja Turtles (TMT)</t>
        </is>
      </c>
      <c r="I2110" s="11" t="inlineStr">
        <is>
          <t>Não</t>
        </is>
      </c>
      <c r="J2110" s="11" t="n">
        <v>2026</v>
      </c>
      <c r="K2110" s="10" t="n">
        <v>46116</v>
      </c>
      <c r="L2110" s="11" t="n">
        <v>1</v>
      </c>
      <c r="M2110" s="8">
        <f>L2110*G2110</f>
        <v/>
      </c>
      <c r="P2110" s="9" t="n"/>
    </row>
    <row r="2111">
      <c r="A2111" s="11" t="inlineStr">
        <is>
          <t>West Wind Avatar</t>
        </is>
      </c>
      <c r="B2111" s="11" t="inlineStr">
        <is>
          <t>Creature — Cat Spirit Avatar</t>
        </is>
      </c>
      <c r="C2111" s="11" t="inlineStr">
        <is>
          <t>Uncommon / Incomum</t>
        </is>
      </c>
      <c r="D2111" s="11" t="inlineStr">
        <is>
          <t>Trample Whenever this creature enters or attacks, you may sacrifice a token or a land. If you do, you gain 3 life. Disappear — At the beginning of your end step, if a permanent left the battlefield under your control this turn, draw a card.</t>
        </is>
      </c>
      <c r="E2111" s="11" t="inlineStr">
        <is>
          <t>{5}{G}{G}</t>
        </is>
      </c>
      <c r="F2111" s="11" t="inlineStr">
        <is>
          <t>Verde</t>
        </is>
      </c>
      <c r="G2111" s="8" t="n">
        <v>0.1</v>
      </c>
      <c r="H2111" s="11" t="inlineStr">
        <is>
          <t>Teenage Mutant Ninja Turtles (TMT)</t>
        </is>
      </c>
      <c r="I2111" s="11" t="inlineStr">
        <is>
          <t>Não</t>
        </is>
      </c>
      <c r="J2111" s="11" t="n">
        <v>2026</v>
      </c>
      <c r="K2111" s="10" t="n">
        <v>46210</v>
      </c>
      <c r="L2111" s="11" t="n">
        <v>1</v>
      </c>
      <c r="M2111" s="8">
        <f>L2111*G2111</f>
        <v/>
      </c>
      <c r="P2111" s="9" t="n"/>
    </row>
    <row r="2112">
      <c r="A2112" s="11" t="inlineStr">
        <is>
          <t>Frog Butler</t>
        </is>
      </c>
      <c r="B2112" s="11" t="inlineStr">
        <is>
          <t>Creature — Frog Spirit</t>
        </is>
      </c>
      <c r="C2112" s="11" t="inlineStr">
        <is>
          <t>Common / Comum</t>
        </is>
      </c>
      <c r="D2112" s="11" t="inlineStr">
        <is>
          <t>Deathtouch {T}: Add one mana of any color. {2}: This creature gains reach until end of turn.</t>
        </is>
      </c>
      <c r="E2112" s="11" t="inlineStr">
        <is>
          <t>{1}{G}</t>
        </is>
      </c>
      <c r="F2112" s="11" t="inlineStr">
        <is>
          <t>Verde</t>
        </is>
      </c>
      <c r="G2112" s="8" t="n">
        <v>0.1</v>
      </c>
      <c r="H2112" s="11" t="inlineStr">
        <is>
          <t>Teenage Mutant Ninja Turtles (TMT)</t>
        </is>
      </c>
      <c r="I2112" s="11" t="inlineStr">
        <is>
          <t>Não</t>
        </is>
      </c>
      <c r="J2112" s="11" t="n">
        <v>2026</v>
      </c>
      <c r="K2112" s="10" t="n">
        <v>46023</v>
      </c>
      <c r="L2112" s="11" t="n">
        <v>4</v>
      </c>
      <c r="M2112" s="8">
        <f>L2112*G2112</f>
        <v/>
      </c>
      <c r="P2112" s="9" t="n"/>
    </row>
    <row r="2113">
      <c r="A2113" s="11" t="inlineStr">
        <is>
          <t>Ragamuffin Raptor</t>
        </is>
      </c>
      <c r="B2113" s="11" t="inlineStr">
        <is>
          <t>Creature — Dinosaur</t>
        </is>
      </c>
      <c r="C2113" s="11" t="inlineStr">
        <is>
          <t>Common / Comum</t>
        </is>
      </c>
      <c r="D2113" s="11" t="inlineStr">
        <is>
          <t>When this creature enters, return up to one target creature or Food card from your graveyard to your hand.</t>
        </is>
      </c>
      <c r="E2113" s="11" t="inlineStr">
        <is>
          <t>{4}{G}</t>
        </is>
      </c>
      <c r="F2113" s="11" t="inlineStr">
        <is>
          <t>Verde</t>
        </is>
      </c>
      <c r="G2113" s="8" t="n">
        <v>0.05</v>
      </c>
      <c r="H2113" s="11" t="inlineStr">
        <is>
          <t>Teenage Mutant Ninja Turtles (TMT)</t>
        </is>
      </c>
      <c r="I2113" s="11" t="inlineStr">
        <is>
          <t>Não</t>
        </is>
      </c>
      <c r="J2113" s="11" t="n">
        <v>2026</v>
      </c>
      <c r="K2113" s="10" t="n">
        <v>46085</v>
      </c>
      <c r="L2113" s="11" t="n">
        <v>5</v>
      </c>
      <c r="M2113" s="8">
        <f>L2113*G2113</f>
        <v/>
      </c>
      <c r="P2113" s="9" t="n"/>
    </row>
    <row r="2114">
      <c r="A2114" s="11" t="inlineStr">
        <is>
          <t>Leatherhead, Swamp Stalker</t>
        </is>
      </c>
      <c r="B2114" s="11" t="inlineStr">
        <is>
          <t>Legendary Creature — Crocodile Mutant Rogue</t>
        </is>
      </c>
      <c r="C2114" s="11" t="inlineStr">
        <is>
          <t>Rare / Rara</t>
        </is>
      </c>
      <c r="D2114" s="11" t="inlineStr">
        <is>
          <t>Trample Leatherhead enters with a hexproof counter on her. Whenever Leatherhead deals combat damage to a player, you may remove a counter from her. When you do, destroy target artifact or enchantment that player controls.</t>
        </is>
      </c>
      <c r="E2114" s="11" t="inlineStr">
        <is>
          <t>{2}{G}{G}</t>
        </is>
      </c>
      <c r="F2114" s="11" t="inlineStr">
        <is>
          <t>Verde</t>
        </is>
      </c>
      <c r="G2114" s="8" t="n">
        <v>3.44</v>
      </c>
      <c r="H2114" s="11" t="inlineStr">
        <is>
          <t>Teenage Mutant Ninja Turtles (TMT)</t>
        </is>
      </c>
      <c r="I2114" s="11" t="inlineStr">
        <is>
          <t>Não</t>
        </is>
      </c>
      <c r="J2114" s="11" t="n">
        <v>2026</v>
      </c>
      <c r="K2114" s="10" t="n">
        <v>46117</v>
      </c>
      <c r="L2114" s="11" t="n">
        <v>1</v>
      </c>
      <c r="M2114" s="8">
        <f>L2114*G2114</f>
        <v/>
      </c>
      <c r="P2114" s="9" t="n"/>
    </row>
    <row r="2115">
      <c r="A2115" s="11" t="inlineStr">
        <is>
          <t>Tenderize</t>
        </is>
      </c>
      <c r="B2115" s="11" t="inlineStr">
        <is>
          <t>Instant</t>
        </is>
      </c>
      <c r="C2115" s="11" t="inlineStr">
        <is>
          <t>Common / Comum</t>
        </is>
      </c>
      <c r="D2115" s="11" t="inlineStr">
        <is>
          <t>Target creature you control deals damage equal to its power to target creature an opponent controls.</t>
        </is>
      </c>
      <c r="E2115" s="11" t="inlineStr">
        <is>
          <t>{1}{G}</t>
        </is>
      </c>
      <c r="F2115" s="11" t="inlineStr">
        <is>
          <t>Verde</t>
        </is>
      </c>
      <c r="G2115" s="8" t="n">
        <v>0.1</v>
      </c>
      <c r="H2115" s="11" t="inlineStr">
        <is>
          <t>Teenage Mutant Ninja Turtles (TMT)</t>
        </is>
      </c>
      <c r="I2115" s="11" t="inlineStr">
        <is>
          <t>Não</t>
        </is>
      </c>
      <c r="J2115" s="11" t="n">
        <v>2026</v>
      </c>
      <c r="L2115" s="11" t="n">
        <v>4</v>
      </c>
      <c r="M2115" s="8">
        <f>L2115*G2115</f>
        <v/>
      </c>
      <c r="P2115" s="9" t="n"/>
    </row>
    <row r="2116">
      <c r="A2116" s="11" t="inlineStr">
        <is>
          <t>Novel Nunchaku</t>
        </is>
      </c>
      <c r="B2116" s="11" t="inlineStr">
        <is>
          <t>Artifact — Equipment</t>
        </is>
      </c>
      <c r="C2116" s="11" t="inlineStr">
        <is>
          <t>Uncommon / Incomum</t>
        </is>
      </c>
      <c r="D2116" s="11" t="inlineStr">
        <is>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is>
      </c>
      <c r="E2116" s="11" t="inlineStr">
        <is>
          <t>{2}{G}</t>
        </is>
      </c>
      <c r="F2116" s="11" t="inlineStr">
        <is>
          <t>Verde</t>
        </is>
      </c>
      <c r="G2116" s="8" t="n">
        <v>0.1</v>
      </c>
      <c r="H2116" s="11" t="inlineStr">
        <is>
          <t>Teenage Mutant Ninja Turtles (TMT)</t>
        </is>
      </c>
      <c r="I2116" s="11" t="inlineStr">
        <is>
          <t>Não</t>
        </is>
      </c>
      <c r="J2116" s="11" t="n">
        <v>2026</v>
      </c>
      <c r="L2116" s="11" t="n">
        <v>1</v>
      </c>
      <c r="M2116" s="8">
        <f>L2116*G2116</f>
        <v/>
      </c>
      <c r="P2116" s="9" t="n"/>
    </row>
    <row r="2117">
      <c r="A2117" s="11" t="inlineStr">
        <is>
          <t>Saved by the Shell</t>
        </is>
      </c>
      <c r="B2117" s="11" t="inlineStr">
        <is>
          <t>Instant</t>
        </is>
      </c>
      <c r="C2117" s="11" t="inlineStr">
        <is>
          <t>Uncommon / Incomum</t>
        </is>
      </c>
      <c r="D2117" s="11" t="inlineStr">
        <is>
          <t>This spell costs {1} less to cast if you control a Turtle. Put a +1/+1 counter on target creature you control. It gains trample, hexproof, and indestructible until end of turn.</t>
        </is>
      </c>
      <c r="E2117" s="11" t="inlineStr">
        <is>
          <t>{1}{G}</t>
        </is>
      </c>
      <c r="F2117" s="11" t="inlineStr">
        <is>
          <t>Verde</t>
        </is>
      </c>
      <c r="G2117" s="8" t="n">
        <v>0.1</v>
      </c>
      <c r="H2117" s="11" t="inlineStr">
        <is>
          <t>Teenage Mutant Ninja Turtles (TMT)</t>
        </is>
      </c>
      <c r="I2117" s="11" t="inlineStr">
        <is>
          <t>Não</t>
        </is>
      </c>
      <c r="J2117" s="11" t="n">
        <v>2026</v>
      </c>
      <c r="L2117" s="11" t="n">
        <v>2</v>
      </c>
      <c r="M2117" s="8">
        <f>L2117*G2117</f>
        <v/>
      </c>
      <c r="P2117" s="9" t="n"/>
    </row>
    <row r="2118">
      <c r="A2118" s="11" t="inlineStr">
        <is>
          <t>Shark Shredder, Killer Clone</t>
        </is>
      </c>
      <c r="B2118" s="11" t="inlineStr">
        <is>
          <t>Legendary Creature — Shark Octopus Ninja</t>
        </is>
      </c>
      <c r="C2118" s="11" t="inlineStr">
        <is>
          <t>Rare / Rara</t>
        </is>
      </c>
      <c r="D2118" s="11" t="inlineStr">
        <is>
          <t>Sneak {3}{B}{B} First strike Whenever Shark Shredder deals combat damage to a player, put up to one target creature card from that player's graveyard onto the battlefield under your control. It enters tapped and attacking that player.</t>
        </is>
      </c>
      <c r="E2118" s="11" t="inlineStr">
        <is>
          <t>{2}{B}{B}</t>
        </is>
      </c>
      <c r="F2118" s="11" t="inlineStr">
        <is>
          <t>Preto</t>
        </is>
      </c>
      <c r="G2118" s="8" t="n">
        <v>8.289999999999999</v>
      </c>
      <c r="H2118" s="11" t="inlineStr">
        <is>
          <t>Teenage Mutant Ninja Turtles (TMT)</t>
        </is>
      </c>
      <c r="I2118" s="11" t="inlineStr">
        <is>
          <t>Sim</t>
        </is>
      </c>
      <c r="J2118" s="11" t="n">
        <v>2026</v>
      </c>
      <c r="K2118" s="10" t="n">
        <v>46116</v>
      </c>
      <c r="L2118" s="11" t="n">
        <v>1</v>
      </c>
      <c r="M2118" s="8">
        <f>L2118*G2118</f>
        <v/>
      </c>
      <c r="P2118" s="9" t="n"/>
    </row>
    <row r="2119">
      <c r="A2119" s="11" t="inlineStr">
        <is>
          <t>Bebop, Warthog Warrior</t>
        </is>
      </c>
      <c r="B2119" s="11" t="inlineStr">
        <is>
          <t>Legendary Creature — Boar Mutant Warrior</t>
        </is>
      </c>
      <c r="C2119" s="11" t="inlineStr">
        <is>
          <t>Common / Comum</t>
        </is>
      </c>
      <c r="D2119" s="11" t="inlineStr">
        <is>
          <t>Menace (This creature can't be blocked except by two or more creatures.) Rhinos you control have menace. Swampcycling {2} ({2}, Discard this card: Search your library for a Swamp card, reveal it, put it into your hand, then shuffle.)</t>
        </is>
      </c>
      <c r="E2119" s="11" t="inlineStr">
        <is>
          <t>{4}{B}</t>
        </is>
      </c>
      <c r="F2119" s="11" t="inlineStr">
        <is>
          <t>Preto</t>
        </is>
      </c>
      <c r="G2119" s="8" t="n">
        <v>0.04</v>
      </c>
      <c r="H2119" s="11" t="inlineStr">
        <is>
          <t>Teenage Mutant Ninja Turtles (TMT)</t>
        </is>
      </c>
      <c r="I2119" s="11" t="inlineStr">
        <is>
          <t>Não</t>
        </is>
      </c>
      <c r="J2119" s="11" t="n">
        <v>2026</v>
      </c>
      <c r="K2119" s="10" t="n">
        <v>46117</v>
      </c>
      <c r="L2119" s="11" t="n">
        <v>3</v>
      </c>
      <c r="M2119" s="8">
        <f>L2119*G2119</f>
        <v/>
      </c>
      <c r="P2119" s="9" t="n"/>
    </row>
    <row r="2120">
      <c r="A2120" s="11" t="inlineStr">
        <is>
          <t>Armaggon, Future Shark</t>
        </is>
      </c>
      <c r="B2120" s="11" t="inlineStr">
        <is>
          <t>Legendary Creature — Shark Horror Mutant</t>
        </is>
      </c>
      <c r="C2120" s="11" t="inlineStr">
        <is>
          <t>Rare / Rara</t>
        </is>
      </c>
      <c r="D2120" s="11" t="inlineStr">
        <is>
          <t>Flash When Armaggon enters, destroy up to three target creatures.</t>
        </is>
      </c>
      <c r="E2120" s="11" t="inlineStr">
        <is>
          <t>{6}{B}{B}</t>
        </is>
      </c>
      <c r="F2120" s="11" t="inlineStr">
        <is>
          <t>Preto</t>
        </is>
      </c>
      <c r="G2120" s="8" t="n">
        <v>0.95</v>
      </c>
      <c r="H2120" s="11" t="inlineStr">
        <is>
          <t>Teenage Mutant Ninja Turtles (TMT)</t>
        </is>
      </c>
      <c r="I2120" s="11" t="inlineStr">
        <is>
          <t>Não</t>
        </is>
      </c>
      <c r="J2120" s="11" t="n">
        <v>2026</v>
      </c>
      <c r="K2120" s="10" t="n">
        <v>46182</v>
      </c>
      <c r="L2120" s="11" t="n">
        <v>1</v>
      </c>
      <c r="M2120" s="8">
        <f>L2120*G2120</f>
        <v/>
      </c>
      <c r="P2120" s="9" t="n"/>
    </row>
    <row r="2121">
      <c r="A2121" s="11" t="inlineStr">
        <is>
          <t>Stomped by the Foot</t>
        </is>
      </c>
      <c r="B2121" s="11" t="inlineStr">
        <is>
          <t>Instant</t>
        </is>
      </c>
      <c r="C2121" s="11" t="inlineStr">
        <is>
          <t>Common / Comum</t>
        </is>
      </c>
      <c r="D2121" s="11" t="inlineStr">
        <is>
          <t>Kicker—Sacrifice an artifact or creature. (You may sacrifice an artifact or creature in addition to any other costs as you cast this spell.) Target creature gets -2/-2 until end of turn. If this spell was kicked, that creature gets -5/-5 until end of turn instead.</t>
        </is>
      </c>
      <c r="E2121" s="11" t="inlineStr">
        <is>
          <t>{1}{B}</t>
        </is>
      </c>
      <c r="F2121" s="11" t="inlineStr">
        <is>
          <t>Preto</t>
        </is>
      </c>
      <c r="G2121" s="8" t="n">
        <v>0.1</v>
      </c>
      <c r="H2121" s="11" t="inlineStr">
        <is>
          <t>Teenage Mutant Ninja Turtles (TMT)</t>
        </is>
      </c>
      <c r="I2121" s="11" t="inlineStr">
        <is>
          <t>Não</t>
        </is>
      </c>
      <c r="J2121" s="11" t="n">
        <v>2026</v>
      </c>
      <c r="L2121" s="11" t="n">
        <v>3</v>
      </c>
      <c r="M2121" s="8">
        <f>L2121*G2121</f>
        <v/>
      </c>
      <c r="P2121" s="9" t="n"/>
    </row>
    <row r="2122">
      <c r="A2122" s="11" t="inlineStr">
        <is>
          <t>Dream Beavers</t>
        </is>
      </c>
      <c r="B2122" s="11" t="inlineStr">
        <is>
          <t>Creature — Beaver Nightmare</t>
        </is>
      </c>
      <c r="C2122" s="11" t="inlineStr">
        <is>
          <t>Uncommon / Incomum</t>
        </is>
      </c>
      <c r="D2122" s="11" t="inlineStr">
        <is>
          <t>Flying When this creature enters, each opponent loses 1 life and you gain 1 life. Scry 1. (Look at the top card of your library. You may put that card on the bottom.)</t>
        </is>
      </c>
      <c r="E2122" s="11" t="inlineStr">
        <is>
          <t>{B}</t>
        </is>
      </c>
      <c r="F2122" s="11" t="inlineStr">
        <is>
          <t>Preto</t>
        </is>
      </c>
      <c r="G2122" s="8" t="n">
        <v>0.28</v>
      </c>
      <c r="H2122" s="11" t="inlineStr">
        <is>
          <t>Teenage Mutant Ninja Turtles (TMT)</t>
        </is>
      </c>
      <c r="I2122" s="11" t="inlineStr">
        <is>
          <t>Não</t>
        </is>
      </c>
      <c r="J2122" s="11" t="n">
        <v>2026</v>
      </c>
      <c r="K2122" s="10" t="n">
        <v>46023</v>
      </c>
      <c r="L2122" s="11" t="n">
        <v>1</v>
      </c>
      <c r="M2122" s="8">
        <f>L2122*G2122</f>
        <v/>
      </c>
      <c r="P2122" s="9" t="n"/>
    </row>
    <row r="2123">
      <c r="A2123" s="11" t="inlineStr">
        <is>
          <t>Oroku Saki, Shredder Rising</t>
        </is>
      </c>
      <c r="B2123" s="11" t="inlineStr">
        <is>
          <t>Legendary Creature — Human Ninja</t>
        </is>
      </c>
      <c r="C2123" s="11" t="inlineStr">
        <is>
          <t>Common / Comum</t>
        </is>
      </c>
      <c r="D2123" s="11" t="inlineStr">
        <is>
          <t>Sneak {1}{B} (You may cast this spell for {1}{B} if you also return an unblocked attacker you control to hand during the declare blockers step. He enters tapped and attacking.) Whenever Oroku Saki deals combat damage to a player, you draw a card and lose 1 life.</t>
        </is>
      </c>
      <c r="E2123" s="11" t="inlineStr">
        <is>
          <t>{2}{B}</t>
        </is>
      </c>
      <c r="F2123" s="11" t="inlineStr">
        <is>
          <t>Preto</t>
        </is>
      </c>
      <c r="G2123" s="8" t="n">
        <v>0.17</v>
      </c>
      <c r="H2123" s="11" t="inlineStr">
        <is>
          <t>Teenage Mutant Ninja Turtles (TMT)</t>
        </is>
      </c>
      <c r="I2123" s="11" t="inlineStr">
        <is>
          <t>Não</t>
        </is>
      </c>
      <c r="J2123" s="11" t="n">
        <v>2026</v>
      </c>
      <c r="K2123" s="10" t="n">
        <v>46025</v>
      </c>
      <c r="L2123" s="11" t="n">
        <v>2</v>
      </c>
      <c r="M2123" s="8">
        <f>L2123*G2123</f>
        <v/>
      </c>
      <c r="P2123" s="9" t="n"/>
    </row>
    <row r="2124">
      <c r="A2124" s="11" t="inlineStr">
        <is>
          <t>Savanti Romero, Time's Exile</t>
        </is>
      </c>
      <c r="B2124" s="11" t="inlineStr">
        <is>
          <t>Legendary Creature — Demon Wizard</t>
        </is>
      </c>
      <c r="C2124" s="11" t="inlineStr">
        <is>
          <t>Rare / Rara</t>
        </is>
      </c>
      <c r="D2124" s="11" t="inlineStr">
        <is>
          <t>Trample At the beginning of combat on your turn, put a +1/+1 counter on Savanti Romero. Then you draw X cards and lose X life, where X is the number of counters on Savanti Romero.</t>
        </is>
      </c>
      <c r="E2124" s="11" t="inlineStr">
        <is>
          <t>{3}{B}{B}</t>
        </is>
      </c>
      <c r="F2124" s="11" t="inlineStr">
        <is>
          <t>Preto</t>
        </is>
      </c>
      <c r="G2124" s="8" t="n">
        <v>0.9</v>
      </c>
      <c r="H2124" s="11" t="inlineStr">
        <is>
          <t>Teenage Mutant Ninja Turtles (TMT)</t>
        </is>
      </c>
      <c r="I2124" s="11" t="inlineStr">
        <is>
          <t>Não</t>
        </is>
      </c>
      <c r="J2124" s="11" t="n">
        <v>2026</v>
      </c>
      <c r="K2124" s="10" t="n">
        <v>46116</v>
      </c>
      <c r="L2124" s="11" t="n">
        <v>1</v>
      </c>
      <c r="M2124" s="8">
        <f>L2124*G2124</f>
        <v/>
      </c>
      <c r="P2124" s="9" t="n"/>
    </row>
    <row r="2125">
      <c r="A2125" s="11" t="inlineStr">
        <is>
          <t>Shredder's Revenge</t>
        </is>
      </c>
      <c r="B2125" s="11" t="inlineStr">
        <is>
          <t>Sorcery</t>
        </is>
      </c>
      <c r="C2125" s="11" t="inlineStr">
        <is>
          <t>Common / Comum</t>
        </is>
      </c>
      <c r="D2125" s="11" t="inlineStr">
        <is>
          <t>Choose one — • Target player discards two cards. • Target player draws two cards and loses 2 life.</t>
        </is>
      </c>
      <c r="E2125" s="11" t="inlineStr">
        <is>
          <t>{2}{B}</t>
        </is>
      </c>
      <c r="F2125" s="11" t="inlineStr">
        <is>
          <t>Preto</t>
        </is>
      </c>
      <c r="G2125" s="8" t="n">
        <v>0.1</v>
      </c>
      <c r="H2125" s="11" t="inlineStr">
        <is>
          <t>Teenage Mutant Ninja Turtles (TMT)</t>
        </is>
      </c>
      <c r="I2125" s="11" t="inlineStr">
        <is>
          <t>Não</t>
        </is>
      </c>
      <c r="J2125" s="11" t="n">
        <v>2026</v>
      </c>
      <c r="L2125" s="11" t="n">
        <v>3</v>
      </c>
      <c r="M2125" s="8">
        <f>L2125*G2125</f>
        <v/>
      </c>
      <c r="P2125" s="9" t="n"/>
    </row>
    <row r="2126">
      <c r="A2126" s="11" t="inlineStr">
        <is>
          <t>Tunnel Rats</t>
        </is>
      </c>
      <c r="B2126" s="11" t="inlineStr">
        <is>
          <t>Creature — Rat</t>
        </is>
      </c>
      <c r="C2126" s="11" t="inlineStr">
        <is>
          <t>Common / Comum</t>
        </is>
      </c>
      <c r="D2126" s="11" t="inlineStr">
        <is>
          <t>{4}{B}: Return this card from your graveyard to the battlefield tapped.</t>
        </is>
      </c>
      <c r="E2126" s="11" t="inlineStr">
        <is>
          <t>{1}{B}</t>
        </is>
      </c>
      <c r="F2126" s="11" t="inlineStr">
        <is>
          <t>Preto</t>
        </is>
      </c>
      <c r="G2126" s="8" t="n">
        <v>0.1</v>
      </c>
      <c r="H2126" s="11" t="inlineStr">
        <is>
          <t>Teenage Mutant Ninja Turtles (TMT)</t>
        </is>
      </c>
      <c r="I2126" s="11" t="inlineStr">
        <is>
          <t>Não</t>
        </is>
      </c>
      <c r="J2126" s="11" t="n">
        <v>2026</v>
      </c>
      <c r="K2126" s="10" t="n">
        <v>46055</v>
      </c>
      <c r="L2126" s="11" t="n">
        <v>1</v>
      </c>
      <c r="M2126" s="8">
        <f>L2126*G2126</f>
        <v/>
      </c>
      <c r="P2126" s="9" t="n"/>
    </row>
    <row r="2127">
      <c r="A2127" s="11" t="inlineStr">
        <is>
          <t>Paramecia Coloniex</t>
        </is>
      </c>
      <c r="B2127" s="11" t="inlineStr">
        <is>
          <t>Creature — Zombie Worm</t>
        </is>
      </c>
      <c r="C2127" s="11" t="inlineStr">
        <is>
          <t>Uncommon / Incomum</t>
        </is>
      </c>
      <c r="D2127" s="11" t="inlineStr">
        <is>
          <t>When this creature enters, mill three cards. (Put the top three cards of your library into your graveyard.) When this creature dies, you may exile it. When you do, put target creature card from your graveyard on top of your library.</t>
        </is>
      </c>
      <c r="E2127" s="11" t="inlineStr">
        <is>
          <t>{1}{B}</t>
        </is>
      </c>
      <c r="F2127" s="11" t="inlineStr">
        <is>
          <t>Preto</t>
        </is>
      </c>
      <c r="G2127" s="8" t="n">
        <v>0.16</v>
      </c>
      <c r="H2127" s="11" t="inlineStr">
        <is>
          <t>Teenage Mutant Ninja Turtles (TMT)</t>
        </is>
      </c>
      <c r="I2127" s="11" t="inlineStr">
        <is>
          <t>Não</t>
        </is>
      </c>
      <c r="J2127" s="11" t="n">
        <v>2026</v>
      </c>
      <c r="K2127" s="10" t="n">
        <v>46055</v>
      </c>
      <c r="L2127" s="11" t="n">
        <v>2</v>
      </c>
      <c r="M2127" s="8">
        <f>L2127*G2127</f>
        <v/>
      </c>
      <c r="P2127" s="9" t="n"/>
    </row>
    <row r="2128">
      <c r="A2128" s="11" t="inlineStr">
        <is>
          <t>Shredder's Armor</t>
        </is>
      </c>
      <c r="B2128" s="11" t="inlineStr">
        <is>
          <t>Artifact — Equipment</t>
        </is>
      </c>
      <c r="C2128" s="11" t="inlineStr">
        <is>
          <t>Uncommon / Incomum</t>
        </is>
      </c>
      <c r="D2128" s="11" t="inlineStr">
        <is>
          <t>Equipped creature gets +2/+1. When this Equipment enters, attach it to target creature you control. Equip—Sacrifice another nonland permanent. Activate only once each turn.</t>
        </is>
      </c>
      <c r="E2128" s="11" t="inlineStr">
        <is>
          <t>{1}{B}</t>
        </is>
      </c>
      <c r="F2128" s="11" t="inlineStr">
        <is>
          <t>Preto</t>
        </is>
      </c>
      <c r="G2128" s="8" t="n">
        <v>0.16</v>
      </c>
      <c r="H2128" s="11" t="inlineStr">
        <is>
          <t>Teenage Mutant Ninja Turtles (TMT)</t>
        </is>
      </c>
      <c r="I2128" s="11" t="inlineStr">
        <is>
          <t>Não</t>
        </is>
      </c>
      <c r="J2128" s="11" t="n">
        <v>2026</v>
      </c>
      <c r="L2128" s="11" t="n">
        <v>1</v>
      </c>
      <c r="M2128" s="8">
        <f>L2128*G2128</f>
        <v/>
      </c>
      <c r="P2128" s="9" t="n"/>
    </row>
    <row r="2129">
      <c r="A2129" s="11" t="inlineStr">
        <is>
          <t>Death in the Family</t>
        </is>
      </c>
      <c r="B2129" s="11" t="inlineStr">
        <is>
          <t>Instant</t>
        </is>
      </c>
      <c r="C2129" s="11" t="inlineStr">
        <is>
          <t>Uncommon / Incomum</t>
        </is>
      </c>
      <c r="D2129" s="11" t="inlineStr">
        <is>
          <t>Exile target creature with mana value 3 or less.</t>
        </is>
      </c>
      <c r="E2129" s="11" t="inlineStr">
        <is>
          <t>{1}{B}</t>
        </is>
      </c>
      <c r="F2129" s="11" t="inlineStr">
        <is>
          <t>Preto</t>
        </is>
      </c>
      <c r="G2129" s="8" t="n">
        <v>0.2</v>
      </c>
      <c r="H2129" s="11" t="inlineStr">
        <is>
          <t>Teenage Mutant Ninja Turtles (TMT)</t>
        </is>
      </c>
      <c r="I2129" s="11" t="inlineStr">
        <is>
          <t>Não</t>
        </is>
      </c>
      <c r="J2129" s="11" t="n">
        <v>2026</v>
      </c>
      <c r="L2129" s="11" t="n">
        <v>1</v>
      </c>
      <c r="M2129" s="8">
        <f>L2129*G2129</f>
        <v/>
      </c>
      <c r="P2129" s="9" t="n"/>
    </row>
    <row r="2130">
      <c r="A2130" s="11" t="inlineStr">
        <is>
          <t>Lord Dregg, Insect Invader</t>
        </is>
      </c>
      <c r="B2130" s="11" t="inlineStr">
        <is>
          <t>Legendary Creature — Insect Warrior</t>
        </is>
      </c>
      <c r="C2130" s="11" t="inlineStr">
        <is>
          <t>Uncommon / Incomum</t>
        </is>
      </c>
      <c r="D2130" s="11" t="inlineStr">
        <is>
          <t>Flying Disappear — At the beginning of your end step, if a permanent left the battlefield under your control this turn, create a 1/1 black Insect Warrior creature token with flying. {3}{G}, Sacrifice a token: Draw a card.</t>
        </is>
      </c>
      <c r="E2130" s="11" t="inlineStr">
        <is>
          <t>{3}{B}</t>
        </is>
      </c>
      <c r="F2130" s="11" t="inlineStr">
        <is>
          <t>Preto</t>
        </is>
      </c>
      <c r="G2130" s="8" t="n">
        <v>0.11</v>
      </c>
      <c r="H2130" s="11" t="inlineStr">
        <is>
          <t>Teenage Mutant Ninja Turtles (TMT)</t>
        </is>
      </c>
      <c r="I2130" s="11" t="inlineStr">
        <is>
          <t>Não</t>
        </is>
      </c>
      <c r="J2130" s="11" t="n">
        <v>2026</v>
      </c>
      <c r="K2130" s="10" t="n">
        <v>46056</v>
      </c>
      <c r="L2130" s="11" t="n">
        <v>2</v>
      </c>
      <c r="M2130" s="8">
        <f>L2130*G2130</f>
        <v/>
      </c>
      <c r="P2130" s="9" t="n"/>
    </row>
    <row r="2131">
      <c r="A2131" s="11" t="inlineStr">
        <is>
          <t>Insectoid Exterminator</t>
        </is>
      </c>
      <c r="B2131" s="11" t="inlineStr">
        <is>
          <t>Creature — Insect Mutant</t>
        </is>
      </c>
      <c r="C2131" s="11" t="inlineStr">
        <is>
          <t>Common / Comum</t>
        </is>
      </c>
      <c r="D2131" s="11" t="inlineStr">
        <is>
          <t>Flying Disappear — At the beginning of your end step, if a permanent left the battlefield under your control this turn, scry 1. (Look at the top card of your library. You may put that card on the bottom.)</t>
        </is>
      </c>
      <c r="E2131" s="11" t="inlineStr">
        <is>
          <t>{2}{B}</t>
        </is>
      </c>
      <c r="F2131" s="11" t="inlineStr">
        <is>
          <t>Preto</t>
        </is>
      </c>
      <c r="G2131" s="8" t="n">
        <v>0.1</v>
      </c>
      <c r="H2131" s="11" t="inlineStr">
        <is>
          <t>Teenage Mutant Ninja Turtles (TMT)</t>
        </is>
      </c>
      <c r="I2131" s="11" t="inlineStr">
        <is>
          <t>Não</t>
        </is>
      </c>
      <c r="J2131" s="11" t="n">
        <v>2026</v>
      </c>
      <c r="K2131" s="10" t="n">
        <v>46055</v>
      </c>
      <c r="L2131" s="11" t="n">
        <v>2</v>
      </c>
      <c r="M2131" s="8">
        <f>L2131*G2131</f>
        <v/>
      </c>
      <c r="P2131" s="9" t="n"/>
    </row>
    <row r="2132">
      <c r="A2132" s="11" t="inlineStr">
        <is>
          <t>Squirrelanoids</t>
        </is>
      </c>
      <c r="B2132" s="11" t="inlineStr">
        <is>
          <t>Creature — Squirrel Mutant</t>
        </is>
      </c>
      <c r="C2132" s="11" t="inlineStr">
        <is>
          <t>Common / Comum</t>
        </is>
      </c>
      <c r="D2132" s="11" t="inlineStr">
        <is>
          <t>Deathtouch</t>
        </is>
      </c>
      <c r="E2132" s="11" t="inlineStr">
        <is>
          <t>{B}</t>
        </is>
      </c>
      <c r="F2132" s="11" t="inlineStr">
        <is>
          <t>Preto</t>
        </is>
      </c>
      <c r="G2132" s="8" t="n">
        <v>0.1</v>
      </c>
      <c r="H2132" s="11" t="inlineStr">
        <is>
          <t>Teenage Mutant Ninja Turtles (TMT)</t>
        </is>
      </c>
      <c r="I2132" s="11" t="inlineStr">
        <is>
          <t>Não</t>
        </is>
      </c>
      <c r="J2132" s="11" t="n">
        <v>2026</v>
      </c>
      <c r="K2132" s="10" t="n">
        <v>46023</v>
      </c>
      <c r="L2132" s="11" t="n">
        <v>3</v>
      </c>
      <c r="M2132" s="8">
        <f>L2132*G2132</f>
        <v/>
      </c>
      <c r="P2132" s="9" t="n"/>
    </row>
    <row r="2133">
      <c r="A2133" s="11" t="inlineStr">
        <is>
          <t>Squirrelanoids</t>
        </is>
      </c>
      <c r="B2133" s="11" t="inlineStr">
        <is>
          <t>Creature — Squirrel Mutant</t>
        </is>
      </c>
      <c r="C2133" s="11" t="inlineStr">
        <is>
          <t>Common / Comum</t>
        </is>
      </c>
      <c r="D2133" s="11" t="inlineStr">
        <is>
          <t>Deathtouch</t>
        </is>
      </c>
      <c r="E2133" s="11" t="inlineStr">
        <is>
          <t>{B}</t>
        </is>
      </c>
      <c r="F2133" s="11" t="inlineStr">
        <is>
          <t>Preto</t>
        </is>
      </c>
      <c r="G2133" s="8" t="n">
        <v>0.2</v>
      </c>
      <c r="H2133" s="11" t="inlineStr">
        <is>
          <t>Teenage Mutant Ninja Turtles (TMT)</t>
        </is>
      </c>
      <c r="I2133" s="11" t="inlineStr">
        <is>
          <t>Sim</t>
        </is>
      </c>
      <c r="J2133" s="11" t="n">
        <v>2026</v>
      </c>
      <c r="K2133" s="10" t="n">
        <v>46023</v>
      </c>
      <c r="L2133" s="11" t="n">
        <v>1</v>
      </c>
      <c r="M2133" s="8">
        <f>L2133*G2133</f>
        <v/>
      </c>
      <c r="P2133" s="9" t="n"/>
    </row>
    <row r="2134">
      <c r="A2134" s="11" t="inlineStr">
        <is>
          <t>Foot Mystic</t>
        </is>
      </c>
      <c r="B2134" s="11" t="inlineStr">
        <is>
          <t>Creature — Human Ninja Warlock</t>
        </is>
      </c>
      <c r="C2134" s="11" t="inlineStr">
        <is>
          <t>Common / Comum</t>
        </is>
      </c>
      <c r="D2134" s="11" t="inlineStr">
        <is>
          <t>Lifelink Disappear — When this creature enters, if a permanent left the battlefield under your control this turn, create a 1/1 black Ninja creature token.</t>
        </is>
      </c>
      <c r="E2134" s="11" t="inlineStr">
        <is>
          <t>{3}{B}</t>
        </is>
      </c>
      <c r="F2134" s="11" t="inlineStr">
        <is>
          <t>Preto</t>
        </is>
      </c>
      <c r="G2134" s="8" t="n">
        <v>0.1</v>
      </c>
      <c r="H2134" s="11" t="inlineStr">
        <is>
          <t>Teenage Mutant Ninja Turtles (TMT)</t>
        </is>
      </c>
      <c r="I2134" s="11" t="inlineStr">
        <is>
          <t>Não</t>
        </is>
      </c>
      <c r="J2134" s="11" t="n">
        <v>2026</v>
      </c>
      <c r="K2134" s="10" t="n">
        <v>46114</v>
      </c>
      <c r="L2134" s="11" t="n">
        <v>1</v>
      </c>
      <c r="M2134" s="8">
        <f>L2134*G2134</f>
        <v/>
      </c>
      <c r="P2134" s="9" t="n"/>
    </row>
    <row r="2135">
      <c r="A2135" s="11" t="inlineStr">
        <is>
          <t>The Cloning of Shredder</t>
        </is>
      </c>
      <c r="B2135" s="11" t="inlineStr">
        <is>
          <t>Enchantment — Saga</t>
        </is>
      </c>
      <c r="C2135" s="11" t="inlineStr">
        <is>
          <t>Mythic / Mítica</t>
        </is>
      </c>
      <c r="D2135" s="11" t="inlineStr">
        <is>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is>
      </c>
      <c r="E2135" s="11" t="inlineStr">
        <is>
          <t>{4}{B}{B}</t>
        </is>
      </c>
      <c r="F2135" s="11" t="inlineStr">
        <is>
          <t>Preto</t>
        </is>
      </c>
      <c r="G2135" s="8" t="n">
        <v>17.99</v>
      </c>
      <c r="H2135" s="11" t="inlineStr">
        <is>
          <t>Teenage Mutant Ninja Turtles (TMT)</t>
        </is>
      </c>
      <c r="I2135" s="11" t="inlineStr">
        <is>
          <t>Não</t>
        </is>
      </c>
      <c r="J2135" s="11" t="n">
        <v>2026</v>
      </c>
      <c r="L2135" s="11" t="n">
        <v>1</v>
      </c>
      <c r="M2135" s="8">
        <f>L2135*G2135</f>
        <v/>
      </c>
      <c r="P2135" s="9" t="n"/>
    </row>
    <row r="2136">
      <c r="A2136" s="11" t="inlineStr">
        <is>
          <t>Shredder, Unrelenting</t>
        </is>
      </c>
      <c r="B2136" s="11" t="inlineStr">
        <is>
          <t>Legendary Creature — Human Ninja</t>
        </is>
      </c>
      <c r="C2136" s="11" t="inlineStr">
        <is>
          <t>Uncommon / Incomum</t>
        </is>
      </c>
      <c r="D2136" s="11" t="inlineStr">
        <is>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is>
      </c>
      <c r="E2136" s="11" t="inlineStr">
        <is>
          <t>{4}{B}</t>
        </is>
      </c>
      <c r="F2136" s="11" t="inlineStr">
        <is>
          <t>Preto</t>
        </is>
      </c>
      <c r="G2136" s="8" t="n">
        <v>0.24</v>
      </c>
      <c r="H2136" s="11" t="inlineStr">
        <is>
          <t>Teenage Mutant Ninja Turtles (TMT)</t>
        </is>
      </c>
      <c r="I2136" s="11" t="inlineStr">
        <is>
          <t>Não</t>
        </is>
      </c>
      <c r="J2136" s="11" t="n">
        <v>2026</v>
      </c>
      <c r="K2136" s="10" t="n">
        <v>46118</v>
      </c>
      <c r="L2136" s="11" t="n">
        <v>1</v>
      </c>
      <c r="M2136" s="8">
        <f>L2136*G2136</f>
        <v/>
      </c>
      <c r="P2136" s="9" t="n"/>
    </row>
    <row r="2137">
      <c r="A2137" s="11" t="inlineStr">
        <is>
          <t>Michelangelo, Game Master</t>
        </is>
      </c>
      <c r="B2137" s="11" t="inlineStr">
        <is>
          <t>Legendary Creature — Mutant Ninja Turtle</t>
        </is>
      </c>
      <c r="C2137" s="11" t="inlineStr">
        <is>
          <t>Common / Comum</t>
        </is>
      </c>
      <c r="D2137" s="11" t="inlineStr">
        <is>
          <t>Disappear — At the beginning of your end step, if a permanent left the battlefield under your control this turn, put a +1/+1 counter on Michelangelo.</t>
        </is>
      </c>
      <c r="E2137" s="11" t="inlineStr">
        <is>
          <t>{2}{G}</t>
        </is>
      </c>
      <c r="F2137" s="11" t="inlineStr">
        <is>
          <t>Verde</t>
        </is>
      </c>
      <c r="G2137" s="8" t="n">
        <v>0.05</v>
      </c>
      <c r="H2137" s="11" t="inlineStr">
        <is>
          <t>Teenage Mutant Ninja Turtles (TMT)</t>
        </is>
      </c>
      <c r="I2137" s="11" t="inlineStr">
        <is>
          <t>Não</t>
        </is>
      </c>
      <c r="J2137" s="11" t="n">
        <v>2026</v>
      </c>
      <c r="K2137" s="10" t="n">
        <v>46084</v>
      </c>
      <c r="L2137" s="11" t="n">
        <v>2</v>
      </c>
      <c r="M2137" s="8">
        <f>L2137*G2137</f>
        <v/>
      </c>
      <c r="P2137" s="9" t="n"/>
    </row>
    <row r="2138">
      <c r="A2138" s="11" t="inlineStr">
        <is>
          <t>Utrom Scientists</t>
        </is>
      </c>
      <c r="B2138" s="11" t="inlineStr">
        <is>
          <t>Artifact Creature — Utrom Robot Scientist</t>
        </is>
      </c>
      <c r="C2138" s="11" t="inlineStr">
        <is>
          <t>Common / Comum</t>
        </is>
      </c>
      <c r="D2138" s="11" t="inlineStr">
        <is>
          <t>When this creature enters, tap up to one target creature and put a stun counter on it. (If a permanent with a stun counter would become untapped, remove one from it instead.)</t>
        </is>
      </c>
      <c r="E2138" s="11" t="inlineStr">
        <is>
          <t>{2}{U}</t>
        </is>
      </c>
      <c r="F2138" s="11" t="inlineStr">
        <is>
          <t>Azul</t>
        </is>
      </c>
      <c r="G2138" s="8" t="n">
        <v>0.05</v>
      </c>
      <c r="H2138" s="11" t="inlineStr">
        <is>
          <t>Teenage Mutant Ninja Turtles (TMT)</t>
        </is>
      </c>
      <c r="I2138" s="11" t="inlineStr">
        <is>
          <t>Não</t>
        </is>
      </c>
      <c r="J2138" s="11" t="n">
        <v>2026</v>
      </c>
      <c r="K2138" s="10" t="n">
        <v>46055</v>
      </c>
      <c r="L2138" s="11" t="n">
        <v>4</v>
      </c>
      <c r="M2138" s="8">
        <f>L2138*G2138</f>
        <v/>
      </c>
      <c r="P2138" s="9" t="n"/>
    </row>
    <row r="2139">
      <c r="A2139" s="11" t="inlineStr">
        <is>
          <t>Ray Fillet, Man Ray</t>
        </is>
      </c>
      <c r="B2139" s="11" t="inlineStr">
        <is>
          <t>Legendary Creature — Fish Mutant</t>
        </is>
      </c>
      <c r="C2139" s="11" t="inlineStr">
        <is>
          <t>Uncommon / Incomum</t>
        </is>
      </c>
      <c r="D2139" s="11" t="inlineStr">
        <is>
          <t>Flying When Ray Fillet enters, create a Mutagen token. (It's an artifact with "{1}, {T}, Sacrifice this token: Put a +1/+1 counter on target creature. Activate only as a sorcery.") {2}, Remove a +1/+1 counter from a creature you control: Draw a card.</t>
        </is>
      </c>
      <c r="E2139" s="11" t="inlineStr">
        <is>
          <t>{3}{U}</t>
        </is>
      </c>
      <c r="F2139" s="11" t="inlineStr">
        <is>
          <t>Azul</t>
        </is>
      </c>
      <c r="G2139" s="8" t="n">
        <v>0.1</v>
      </c>
      <c r="H2139" s="11" t="inlineStr">
        <is>
          <t>Teenage Mutant Ninja Turtles (TMT)</t>
        </is>
      </c>
      <c r="I2139" s="11" t="inlineStr">
        <is>
          <t>Não</t>
        </is>
      </c>
      <c r="J2139" s="11" t="n">
        <v>2026</v>
      </c>
      <c r="K2139" s="10" t="n">
        <v>46084</v>
      </c>
      <c r="L2139" s="11" t="n">
        <v>1</v>
      </c>
      <c r="M2139" s="8">
        <f>L2139*G2139</f>
        <v/>
      </c>
      <c r="P2139" s="9" t="n"/>
    </row>
    <row r="2140">
      <c r="A2140" s="11" t="inlineStr">
        <is>
          <t>Fugitive Droid</t>
        </is>
      </c>
      <c r="B2140" s="11" t="inlineStr">
        <is>
          <t>Artifact Creature — Robot Scientist</t>
        </is>
      </c>
      <c r="C2140" s="11" t="inlineStr">
        <is>
          <t>Uncommon / Incomum</t>
        </is>
      </c>
      <c r="D2140" s="11" t="inlineStr">
        <is>
          <t>This creature can't be blocked if an artifact entered the battlefield under your control this turn. {U}, Sacrifice this creature: Counter target spell that targets an artifact or creature you control.</t>
        </is>
      </c>
      <c r="E2140" s="11" t="inlineStr">
        <is>
          <t>{U}</t>
        </is>
      </c>
      <c r="F2140" s="11" t="inlineStr">
        <is>
          <t>Azul</t>
        </is>
      </c>
      <c r="G2140" s="8" t="n">
        <v>0.2</v>
      </c>
      <c r="H2140" s="11" t="inlineStr">
        <is>
          <t>Teenage Mutant Ninja Turtles (TMT)</t>
        </is>
      </c>
      <c r="I2140" s="11" t="inlineStr">
        <is>
          <t>Não</t>
        </is>
      </c>
      <c r="J2140" s="11" t="n">
        <v>2026</v>
      </c>
      <c r="K2140" s="10" t="n">
        <v>46023</v>
      </c>
      <c r="L2140" s="11" t="n">
        <v>1</v>
      </c>
      <c r="M2140" s="8">
        <f>L2140*G2140</f>
        <v/>
      </c>
      <c r="P2140" s="9" t="n"/>
    </row>
    <row r="2141">
      <c r="A2141" s="11" t="inlineStr">
        <is>
          <t>Kitsune, Dragon's Daughter</t>
        </is>
      </c>
      <c r="B2141" s="11" t="inlineStr">
        <is>
          <t>Legendary Creature — Fox Warlock Avatar</t>
        </is>
      </c>
      <c r="C2141" s="11" t="inlineStr">
        <is>
          <t>Rare / Rara</t>
        </is>
      </c>
      <c r="D2141" s="11" t="inlineStr">
        <is>
          <t>Vigilance Whenever Kitsune enters or deals combat damage to a player, you may exchange control of two other target creatures controlled by different players.</t>
        </is>
      </c>
      <c r="E2141" s="11" t="inlineStr">
        <is>
          <t>{4}{U}{U}</t>
        </is>
      </c>
      <c r="F2141" s="11" t="inlineStr">
        <is>
          <t>Azul</t>
        </is>
      </c>
      <c r="G2141" s="8" t="n">
        <v>0.9399999999999999</v>
      </c>
      <c r="H2141" s="11" t="inlineStr">
        <is>
          <t>Teenage Mutant Ninja Turtles (TMT)</t>
        </is>
      </c>
      <c r="I2141" s="11" t="inlineStr">
        <is>
          <t>Não</t>
        </is>
      </c>
      <c r="J2141" s="11" t="n">
        <v>2026</v>
      </c>
      <c r="K2141" s="10" t="n">
        <v>46179</v>
      </c>
      <c r="L2141" s="11" t="n">
        <v>1</v>
      </c>
      <c r="M2141" s="8">
        <f>L2141*G2141</f>
        <v/>
      </c>
      <c r="P2141" s="9" t="n"/>
    </row>
    <row r="2142">
      <c r="A2142" s="11" t="inlineStr">
        <is>
          <t>Metalhead</t>
        </is>
      </c>
      <c r="B2142" s="11" t="inlineStr">
        <is>
          <t>Legendary Artifact Creature — Robot Turtle</t>
        </is>
      </c>
      <c r="C2142" s="11" t="inlineStr">
        <is>
          <t>Uncommon / Incomum</t>
        </is>
      </c>
      <c r="D2142" s="11" t="inlineStr">
        <is>
          <t>When Metalhead enters, return up to one other target artifact or creature to its owner's hand. {R}, Sacrifice another artifact: Put a +1/+1 counter on Metalhead. He gains menace and haste until end of turn.</t>
        </is>
      </c>
      <c r="E2142" s="11" t="inlineStr">
        <is>
          <t>{4}{U}</t>
        </is>
      </c>
      <c r="F2142" s="11" t="inlineStr">
        <is>
          <t>Azul</t>
        </is>
      </c>
      <c r="G2142" s="8" t="n">
        <v>0.14</v>
      </c>
      <c r="H2142" s="11" t="inlineStr">
        <is>
          <t>Teenage Mutant Ninja Turtles (TMT)</t>
        </is>
      </c>
      <c r="I2142" s="11" t="inlineStr">
        <is>
          <t>Não</t>
        </is>
      </c>
      <c r="J2142" s="11" t="n">
        <v>2026</v>
      </c>
      <c r="K2142" s="10" t="n">
        <v>46116</v>
      </c>
      <c r="L2142" s="11" t="n">
        <v>1</v>
      </c>
      <c r="M2142" s="8">
        <f>L2142*G2142</f>
        <v/>
      </c>
      <c r="P2142" s="9" t="n"/>
    </row>
    <row r="2143">
      <c r="A2143" s="11" t="inlineStr">
        <is>
          <t>Negate / Negar</t>
        </is>
      </c>
      <c r="B2143" s="11" t="inlineStr">
        <is>
          <t>Instant / Mágica Instantânea</t>
        </is>
      </c>
      <c r="C2143" s="11" t="inlineStr">
        <is>
          <t>Common / Comum</t>
        </is>
      </c>
      <c r="D2143" s="11" t="inlineStr">
        <is>
          <t>Counter target noncreature spell. / Anule a mágica alvo que não seja de criatura.</t>
        </is>
      </c>
      <c r="E2143" s="11" t="inlineStr">
        <is>
          <t>{1}{U}</t>
        </is>
      </c>
      <c r="F2143" s="11" t="inlineStr">
        <is>
          <t>Azul</t>
        </is>
      </c>
      <c r="G2143" s="8" t="n">
        <v>0.05</v>
      </c>
      <c r="H2143" s="11" t="inlineStr">
        <is>
          <t>Teenage Mutant Ninja Turtles (TMT)</t>
        </is>
      </c>
      <c r="I2143" s="11" t="inlineStr">
        <is>
          <t>Não</t>
        </is>
      </c>
      <c r="J2143" s="11" t="n">
        <v>2026</v>
      </c>
      <c r="L2143" s="11" t="n">
        <v>2</v>
      </c>
      <c r="M2143" s="8">
        <f>L2143*G2143</f>
        <v/>
      </c>
      <c r="P2143" s="9" t="n"/>
    </row>
    <row r="2144">
      <c r="A2144" s="11" t="inlineStr">
        <is>
          <t>Retro-Mutation</t>
        </is>
      </c>
      <c r="B2144" s="11" t="inlineStr">
        <is>
          <t>Enchantment — Aura</t>
        </is>
      </c>
      <c r="C2144" s="11" t="inlineStr">
        <is>
          <t>Common / Comum</t>
        </is>
      </c>
      <c r="D2144" s="11" t="inlineStr">
        <is>
          <t>Flash Enchant creature Enchanted creature is a Turtle with base power and toughness 0/1. It can't attack and loses all abilities. (It also loses all other creature types.)</t>
        </is>
      </c>
      <c r="E2144" s="11" t="inlineStr">
        <is>
          <t>{2}{U}</t>
        </is>
      </c>
      <c r="F2144" s="11" t="inlineStr">
        <is>
          <t>Azul</t>
        </is>
      </c>
      <c r="G2144" s="8" t="n">
        <v>0.1</v>
      </c>
      <c r="H2144" s="11" t="inlineStr">
        <is>
          <t>Teenage Mutant Ninja Turtles (TMT)</t>
        </is>
      </c>
      <c r="I2144" s="11" t="inlineStr">
        <is>
          <t>Não</t>
        </is>
      </c>
      <c r="J2144" s="11" t="n">
        <v>2026</v>
      </c>
      <c r="L2144" s="11" t="n">
        <v>2</v>
      </c>
      <c r="M2144" s="8">
        <f>L2144*G2144</f>
        <v/>
      </c>
      <c r="P2144" s="9" t="n"/>
    </row>
    <row r="2145">
      <c r="A2145" s="11" t="inlineStr">
        <is>
          <t>Bespoke Bō</t>
        </is>
      </c>
      <c r="B2145" s="11" t="inlineStr">
        <is>
          <t>Artifact — Equipment</t>
        </is>
      </c>
      <c r="C2145" s="11" t="inlineStr">
        <is>
          <t>Uncommon / Incomum</t>
        </is>
      </c>
      <c r="D2145" s="11" t="inlineStr">
        <is>
          <t>When this Equipment enters, return up to one other target nonland permanent to its owner's hand. Equipped creature gets +2/+1 and has vigilance. Equip {3} ({3}: Attach to target creature you control. Equip only as a sorcery.)</t>
        </is>
      </c>
      <c r="E2145" s="11" t="inlineStr">
        <is>
          <t>{2}{U}</t>
        </is>
      </c>
      <c r="F2145" s="11" t="inlineStr">
        <is>
          <t>Azul</t>
        </is>
      </c>
      <c r="G2145" s="8" t="n">
        <v>0.05</v>
      </c>
      <c r="H2145" s="11" t="inlineStr">
        <is>
          <t>Teenage Mutant Ninja Turtles (TMT)</t>
        </is>
      </c>
      <c r="I2145" s="11" t="inlineStr">
        <is>
          <t>Não</t>
        </is>
      </c>
      <c r="J2145" s="11" t="n">
        <v>2026</v>
      </c>
      <c r="L2145" s="11" t="n">
        <v>1</v>
      </c>
      <c r="M2145" s="8">
        <f>L2145*G2145</f>
        <v/>
      </c>
      <c r="P2145" s="9" t="n"/>
    </row>
    <row r="2146">
      <c r="A2146" s="11" t="inlineStr">
        <is>
          <t>Mind Transfer Protocol</t>
        </is>
      </c>
      <c r="B2146" s="11" t="inlineStr">
        <is>
          <t>Instant</t>
        </is>
      </c>
      <c r="C2146" s="11" t="inlineStr">
        <is>
          <t>Common / Comum</t>
        </is>
      </c>
      <c r="D2146" s="11" t="inlineStr">
        <is>
          <t>Until end of turn, target artifact or creature becomes an artifact creature with base power and toughness 4/5. Draw a card.</t>
        </is>
      </c>
      <c r="E2146" s="11" t="inlineStr">
        <is>
          <t>{2}{U}</t>
        </is>
      </c>
      <c r="F2146" s="11" t="inlineStr">
        <is>
          <t>Azul</t>
        </is>
      </c>
      <c r="G2146" s="8" t="n">
        <v>0.05</v>
      </c>
      <c r="H2146" s="11" t="inlineStr">
        <is>
          <t>Teenage Mutant Ninja Turtles (TMT)</t>
        </is>
      </c>
      <c r="I2146" s="11" t="inlineStr">
        <is>
          <t>Não</t>
        </is>
      </c>
      <c r="J2146" s="11" t="n">
        <v>2026</v>
      </c>
      <c r="L2146" s="11" t="n">
        <v>5</v>
      </c>
      <c r="M2146" s="8">
        <f>L2146*G2146</f>
        <v/>
      </c>
      <c r="P2146" s="9" t="n"/>
    </row>
    <row r="2147">
      <c r="A2147" s="11" t="inlineStr">
        <is>
          <t>Ooze Spill</t>
        </is>
      </c>
      <c r="B2147" s="11" t="inlineStr">
        <is>
          <t>Instant</t>
        </is>
      </c>
      <c r="C2147" s="11" t="inlineStr">
        <is>
          <t>Uncommon / Incomum</t>
        </is>
      </c>
      <c r="D2147" s="11" t="inlineStr">
        <is>
          <t>Counter target spell. Create a Mutagen token. (It's an artifact with "{1}, {T}, Sacrifice this token: Put a +1/+1 counter on target creature. Activate only as a sorcery.")</t>
        </is>
      </c>
      <c r="E2147" s="11" t="inlineStr">
        <is>
          <t>{1}{U}{U}</t>
        </is>
      </c>
      <c r="F2147" s="11" t="inlineStr">
        <is>
          <t>Azul</t>
        </is>
      </c>
      <c r="G2147" s="8" t="n">
        <v>0.11</v>
      </c>
      <c r="H2147" s="11" t="inlineStr">
        <is>
          <t>Teenage Mutant Ninja Turtles (TMT)</t>
        </is>
      </c>
      <c r="I2147" s="11" t="inlineStr">
        <is>
          <t>Não</t>
        </is>
      </c>
      <c r="J2147" s="11" t="n">
        <v>2026</v>
      </c>
      <c r="L2147" s="11" t="n">
        <v>2</v>
      </c>
      <c r="M2147" s="8">
        <f>L2147*G2147</f>
        <v/>
      </c>
      <c r="P2147" s="9" t="n"/>
    </row>
    <row r="2148">
      <c r="A2148" s="11" t="inlineStr">
        <is>
          <t>Krang, Master Mind</t>
        </is>
      </c>
      <c r="B2148" s="11" t="inlineStr">
        <is>
          <t>Legendary Artifact Creature — Utrom Warrior</t>
        </is>
      </c>
      <c r="C2148" s="11" t="inlineStr">
        <is>
          <t>Rare / Rara</t>
        </is>
      </c>
      <c r="D2148" s="11" t="inlineStr">
        <is>
          <t>Affinity for artifacts (This spell costs {1} less to cast for each artifact you control.) When Krang enters, if you have fewer than four cards in hand, draw cards equal to the difference. Krang gets +1/+0 for each other artifact you control.</t>
        </is>
      </c>
      <c r="E2148" s="11" t="inlineStr">
        <is>
          <t>{6}{U}{U}</t>
        </is>
      </c>
      <c r="F2148" s="11" t="inlineStr">
        <is>
          <t>Azul</t>
        </is>
      </c>
      <c r="G2148" s="8" t="n">
        <v>14.3</v>
      </c>
      <c r="H2148" s="11" t="inlineStr">
        <is>
          <t>Teenage Mutant Ninja Turtles (TMT)</t>
        </is>
      </c>
      <c r="I2148" s="11" t="inlineStr">
        <is>
          <t>Não</t>
        </is>
      </c>
      <c r="J2148" s="11" t="n">
        <v>2026</v>
      </c>
      <c r="K2148" s="10" t="n">
        <v>46113</v>
      </c>
      <c r="L2148" s="11" t="n">
        <v>1</v>
      </c>
      <c r="M2148" s="8">
        <f>L2148*G2148</f>
        <v/>
      </c>
      <c r="P2148" s="9" t="n"/>
    </row>
    <row r="2149">
      <c r="A2149" s="11" t="inlineStr">
        <is>
          <t>Donatello, Way with Machines</t>
        </is>
      </c>
      <c r="B2149" s="11" t="inlineStr">
        <is>
          <t>Legendary Creature — Mutant Ninja Turtle</t>
        </is>
      </c>
      <c r="C2149" s="11" t="inlineStr">
        <is>
          <t>Uncommon / Incomum</t>
        </is>
      </c>
      <c r="D2149" s="11" t="inlineStr">
        <is>
          <t>Flying Whenever an artifact you control enters, put a +1/+1 counter on Donatello.</t>
        </is>
      </c>
      <c r="E2149" s="11" t="inlineStr">
        <is>
          <t>{2}{U}</t>
        </is>
      </c>
      <c r="F2149" s="11" t="inlineStr">
        <is>
          <t>Azul</t>
        </is>
      </c>
      <c r="G2149" s="8" t="n">
        <v>0.1</v>
      </c>
      <c r="H2149" s="11" t="inlineStr">
        <is>
          <t>Teenage Mutant Ninja Turtles (TMT)</t>
        </is>
      </c>
      <c r="I2149" s="11" t="inlineStr">
        <is>
          <t>Não</t>
        </is>
      </c>
      <c r="J2149" s="11" t="n">
        <v>2026</v>
      </c>
      <c r="K2149" s="10" t="n">
        <v>46054</v>
      </c>
      <c r="L2149" s="11" t="n">
        <v>2</v>
      </c>
      <c r="M2149" s="8">
        <f>L2149*G2149</f>
        <v/>
      </c>
      <c r="P2149" s="9" t="n"/>
    </row>
    <row r="2150">
      <c r="A2150" s="11" t="inlineStr">
        <is>
          <t>Donatello, Way with Machines</t>
        </is>
      </c>
      <c r="B2150" s="11" t="inlineStr">
        <is>
          <t>Legendary Creature — Mutant Ninja Turtle</t>
        </is>
      </c>
      <c r="C2150" s="11" t="inlineStr">
        <is>
          <t>Uncommon / Incomum</t>
        </is>
      </c>
      <c r="D2150" s="11" t="inlineStr">
        <is>
          <t>Flying Whenever an artifact you control enters, put a +1/+1 counter on Donatello.</t>
        </is>
      </c>
      <c r="E2150" s="11" t="inlineStr">
        <is>
          <t>{2}{U}</t>
        </is>
      </c>
      <c r="F2150" s="11" t="inlineStr">
        <is>
          <t>Azul</t>
        </is>
      </c>
      <c r="G2150" s="8" t="n">
        <v>0.29</v>
      </c>
      <c r="H2150" s="11" t="inlineStr">
        <is>
          <t>Teenage Mutant Ninja Turtles (TMT)</t>
        </is>
      </c>
      <c r="I2150" s="11" t="inlineStr">
        <is>
          <t>Sim</t>
        </is>
      </c>
      <c r="J2150" s="11" t="n">
        <v>2026</v>
      </c>
      <c r="K2150" s="10" t="n">
        <v>46054</v>
      </c>
      <c r="L2150" s="11" t="n">
        <v>1</v>
      </c>
      <c r="M2150" s="8">
        <f>L2150*G2150</f>
        <v/>
      </c>
      <c r="P2150" s="9" t="n"/>
    </row>
    <row r="2151">
      <c r="A2151" s="11" t="inlineStr">
        <is>
          <t>Donatello, Turtle Techie</t>
        </is>
      </c>
      <c r="B2151" s="11" t="inlineStr">
        <is>
          <t>Legendary Creature — Mutant Ninja Turtle</t>
        </is>
      </c>
      <c r="C2151" s="11" t="inlineStr">
        <is>
          <t>Common / Comum</t>
        </is>
      </c>
      <c r="D2151" s="11" t="inlineStr">
        <is>
          <t>When Donatello enters, if you control an artifact, draw a card.</t>
        </is>
      </c>
      <c r="E2151" s="11" t="inlineStr">
        <is>
          <t>{3}{U}</t>
        </is>
      </c>
      <c r="F2151" s="11" t="inlineStr">
        <is>
          <t>Azul</t>
        </is>
      </c>
      <c r="G2151" s="8" t="n">
        <v>0.1</v>
      </c>
      <c r="H2151" s="11" t="inlineStr">
        <is>
          <t>Teenage Mutant Ninja Turtles (TMT)</t>
        </is>
      </c>
      <c r="I2151" s="11" t="inlineStr">
        <is>
          <t>Não</t>
        </is>
      </c>
      <c r="J2151" s="11" t="n">
        <v>2026</v>
      </c>
      <c r="K2151" s="10" t="n">
        <v>46115</v>
      </c>
      <c r="L2151" s="11" t="n">
        <v>3</v>
      </c>
      <c r="M2151" s="8">
        <f>L2151*G2151</f>
        <v/>
      </c>
      <c r="P2151" s="9" t="n"/>
    </row>
    <row r="2152">
      <c r="A2152" s="11" t="inlineStr">
        <is>
          <t>Crustacean Commando</t>
        </is>
      </c>
      <c r="B2152" s="11" t="inlineStr">
        <is>
          <t>Creature — Crab Mutant Soldier</t>
        </is>
      </c>
      <c r="C2152" s="11" t="inlineStr">
        <is>
          <t>Common / Comum</t>
        </is>
      </c>
      <c r="D2152" s="11" t="inlineStr">
        <is>
          <t>When this creature enters, create a Mutagen token. (It's an artifact with "{1}, {T}, Sacrifice this token: Put a +1/+1 counter on target creature. Activate only as a sorcery.")</t>
        </is>
      </c>
      <c r="E2152" s="11" t="inlineStr">
        <is>
          <t>{1}{U}</t>
        </is>
      </c>
      <c r="F2152" s="11" t="inlineStr">
        <is>
          <t>Azul</t>
        </is>
      </c>
      <c r="G2152" s="8" t="n">
        <v>0.1</v>
      </c>
      <c r="H2152" s="11" t="inlineStr">
        <is>
          <t>Teenage Mutant Ninja Turtles (TMT)</t>
        </is>
      </c>
      <c r="I2152" s="11" t="inlineStr">
        <is>
          <t>Não</t>
        </is>
      </c>
      <c r="J2152" s="11" t="n">
        <v>2026</v>
      </c>
      <c r="K2152" s="11" t="inlineStr">
        <is>
          <t>0/3</t>
        </is>
      </c>
      <c r="L2152" s="11" t="n">
        <v>7</v>
      </c>
      <c r="M2152" s="8">
        <f>L2152*G2152</f>
        <v/>
      </c>
      <c r="P2152" s="9" t="n"/>
    </row>
    <row r="2153">
      <c r="A2153" s="11" t="inlineStr">
        <is>
          <t>Buzz Bots</t>
        </is>
      </c>
      <c r="B2153" s="11" t="inlineStr">
        <is>
          <t>Artifact Creature — Robot Insect</t>
        </is>
      </c>
      <c r="C2153" s="11" t="inlineStr">
        <is>
          <t>Common / Comum</t>
        </is>
      </c>
      <c r="D2153" s="11" t="inlineStr">
        <is>
          <t>Flying, vigilance When this creature dies, draw a card.</t>
        </is>
      </c>
      <c r="E2153" s="11" t="inlineStr">
        <is>
          <t>{1}{U}</t>
        </is>
      </c>
      <c r="F2153" s="11" t="inlineStr">
        <is>
          <t>Azul</t>
        </is>
      </c>
      <c r="G2153" s="8" t="n">
        <v>0.05</v>
      </c>
      <c r="H2153" s="11" t="inlineStr">
        <is>
          <t>Teenage Mutant Ninja Turtles (TMT)</t>
        </is>
      </c>
      <c r="I2153" s="11" t="inlineStr">
        <is>
          <t>Não</t>
        </is>
      </c>
      <c r="J2153" s="11" t="n">
        <v>2026</v>
      </c>
      <c r="K2153" s="10" t="n">
        <v>46023</v>
      </c>
      <c r="L2153" s="11" t="n">
        <v>3</v>
      </c>
      <c r="M2153" s="8">
        <f>L2153*G2153</f>
        <v/>
      </c>
      <c r="P2153" s="9" t="n"/>
    </row>
    <row r="2154">
      <c r="A2154" s="11" t="inlineStr">
        <is>
          <t>Sewer-veillance Cam</t>
        </is>
      </c>
      <c r="B2154" s="11" t="inlineStr">
        <is>
          <t>Artifact</t>
        </is>
      </c>
      <c r="C2154" s="11" t="inlineStr">
        <is>
          <t>Common / Comum</t>
        </is>
      </c>
      <c r="D2154" s="11" t="inlineStr">
        <is>
          <t>Flash When this artifact enters or leaves the battlefield, you may tap or untap target creature. {3}{U}, Sacrifice this artifact: Draw two cards.</t>
        </is>
      </c>
      <c r="E2154" s="11" t="inlineStr">
        <is>
          <t>{U}</t>
        </is>
      </c>
      <c r="F2154" s="11" t="inlineStr">
        <is>
          <t>Azul</t>
        </is>
      </c>
      <c r="G2154" s="8" t="n">
        <v>0.28</v>
      </c>
      <c r="H2154" s="11" t="inlineStr">
        <is>
          <t>Teenage Mutant Ninja Turtles (TMT)</t>
        </is>
      </c>
      <c r="I2154" s="11" t="inlineStr">
        <is>
          <t>Não</t>
        </is>
      </c>
      <c r="J2154" s="11" t="n">
        <v>2026</v>
      </c>
      <c r="L2154" s="11" t="n">
        <v>4</v>
      </c>
      <c r="M2154" s="8">
        <f>L2154*G2154</f>
        <v/>
      </c>
      <c r="P2154" s="9" t="n"/>
    </row>
    <row r="2155">
      <c r="A2155" s="11" t="inlineStr">
        <is>
          <t>Return to the Sewers</t>
        </is>
      </c>
      <c r="B2155" s="11" t="inlineStr">
        <is>
          <t>Instant</t>
        </is>
      </c>
      <c r="C2155" s="11" t="inlineStr">
        <is>
          <t>Common / Comum</t>
        </is>
      </c>
      <c r="D2155" s="11" t="inlineStr">
        <is>
          <t>Target creature's owner puts it on their choice of the top or bottom of their library. You create a Mutagen token. (It's an artifact with "{1}, {T}, Sacrifice this token: Put a +1/+1 counter on target creature. Activate only as a sorcery.")</t>
        </is>
      </c>
      <c r="E2155" s="11" t="inlineStr">
        <is>
          <t>{3}{U}</t>
        </is>
      </c>
      <c r="F2155" s="11" t="inlineStr">
        <is>
          <t>Azul</t>
        </is>
      </c>
      <c r="G2155" s="8" t="n">
        <v>0.05</v>
      </c>
      <c r="H2155" s="11" t="inlineStr">
        <is>
          <t>Teenage Mutant Ninja Turtles (TMT)</t>
        </is>
      </c>
      <c r="I2155" s="11" t="inlineStr">
        <is>
          <t>Não</t>
        </is>
      </c>
      <c r="J2155" s="11" t="n">
        <v>2026</v>
      </c>
      <c r="L2155" s="11" t="n">
        <v>1</v>
      </c>
      <c r="M2155" s="8">
        <f>L2155*G2155</f>
        <v/>
      </c>
      <c r="P2155" s="9" t="n"/>
    </row>
    <row r="2156">
      <c r="A2156" s="11" t="inlineStr">
        <is>
          <t>Return to the Sewers</t>
        </is>
      </c>
      <c r="B2156" s="11" t="inlineStr">
        <is>
          <t>Instant</t>
        </is>
      </c>
      <c r="C2156" s="11" t="inlineStr">
        <is>
          <t>Common / Comum</t>
        </is>
      </c>
      <c r="D2156" s="11" t="inlineStr">
        <is>
          <t>Target creature's owner puts it on their choice of the top or bottom of their library. You create a Mutagen token. (It's an artifact with "{1}, {T}, Sacrifice this token: Put a +1/+1 counter on target creature. Activate only as a sorcery.")</t>
        </is>
      </c>
      <c r="E2156" s="11" t="inlineStr">
        <is>
          <t>{3}{U}</t>
        </is>
      </c>
      <c r="F2156" s="11" t="inlineStr">
        <is>
          <t>Azul</t>
        </is>
      </c>
      <c r="G2156" s="8" t="n">
        <v>0.2</v>
      </c>
      <c r="H2156" s="11" t="inlineStr">
        <is>
          <t>Teenage Mutant Ninja Turtles (TMT)</t>
        </is>
      </c>
      <c r="I2156" s="11" t="inlineStr">
        <is>
          <t>Sim</t>
        </is>
      </c>
      <c r="J2156" s="11" t="n">
        <v>2026</v>
      </c>
      <c r="L2156" s="11" t="n">
        <v>1</v>
      </c>
      <c r="M2156" s="8">
        <f>L2156*G2156</f>
        <v/>
      </c>
      <c r="P2156" s="9" t="n"/>
    </row>
    <row r="2157">
      <c r="A2157" s="11" t="inlineStr">
        <is>
          <t>April, Reporter of the Weird</t>
        </is>
      </c>
      <c r="B2157" s="11" t="inlineStr">
        <is>
          <t>Legendary Creature — Human Detective</t>
        </is>
      </c>
      <c r="C2157" s="11" t="inlineStr">
        <is>
          <t>Uncommon / Incomum</t>
        </is>
      </c>
      <c r="D2157" s="11" t="inlineStr">
        <is>
          <t>Whenever April deals combat damage to a player, draw that many cards, then discard a card.</t>
        </is>
      </c>
      <c r="E2157" s="11" t="inlineStr">
        <is>
          <t>{2}{U}</t>
        </is>
      </c>
      <c r="F2157" s="11" t="inlineStr">
        <is>
          <t>Azul</t>
        </is>
      </c>
      <c r="G2157" s="8" t="n">
        <v>0.15</v>
      </c>
      <c r="H2157" s="11" t="inlineStr">
        <is>
          <t>Teenage Mutant Ninja Turtles (TMT)</t>
        </is>
      </c>
      <c r="I2157" s="11" t="inlineStr">
        <is>
          <t>Não</t>
        </is>
      </c>
      <c r="J2157" s="11" t="n">
        <v>2026</v>
      </c>
      <c r="K2157" s="10" t="n">
        <v>46055</v>
      </c>
      <c r="L2157" s="11" t="n">
        <v>2</v>
      </c>
      <c r="M2157" s="8">
        <f>L2157*G2157</f>
        <v/>
      </c>
      <c r="P2157" s="9" t="n"/>
    </row>
    <row r="2158">
      <c r="A2158" s="11" t="inlineStr">
        <is>
          <t>Stockman, Mad Fly-entist</t>
        </is>
      </c>
      <c r="B2158" s="11" t="inlineStr">
        <is>
          <t>Legendary Creature — Insect Mutant Scientist</t>
        </is>
      </c>
      <c r="C2158" s="11" t="inlineStr">
        <is>
          <t>Common / Comum</t>
        </is>
      </c>
      <c r="D2158" s="11" t="inlineStr">
        <is>
          <t>Flying When Stockman enters, draw a card, then discard a card. Islandcycling {2} ({2}, Discard this card: Search your library for an Island card, reveal it, put it into your hand, then shuffle.)</t>
        </is>
      </c>
      <c r="E2158" s="11" t="inlineStr">
        <is>
          <t>{4}{U}</t>
        </is>
      </c>
      <c r="F2158" s="11" t="inlineStr">
        <is>
          <t>Azul</t>
        </is>
      </c>
      <c r="G2158" s="8" t="n">
        <v>0.09</v>
      </c>
      <c r="H2158" s="11" t="inlineStr">
        <is>
          <t>Teenage Mutant Ninja Turtles (TMT)</t>
        </is>
      </c>
      <c r="I2158" s="11" t="inlineStr">
        <is>
          <t>Não</t>
        </is>
      </c>
      <c r="J2158" s="11" t="n">
        <v>2026</v>
      </c>
      <c r="K2158" s="10" t="n">
        <v>46115</v>
      </c>
      <c r="L2158" s="11" t="n">
        <v>6</v>
      </c>
      <c r="M2158" s="8">
        <f>L2158*G2158</f>
        <v/>
      </c>
      <c r="P2158" s="9" t="n"/>
    </row>
    <row r="2159">
      <c r="A2159" s="11" t="inlineStr">
        <is>
          <t>Foot Elite</t>
        </is>
      </c>
      <c r="B2159" s="11" t="inlineStr">
        <is>
          <t>Creature — Human Ninja</t>
        </is>
      </c>
      <c r="C2159" s="11" t="inlineStr">
        <is>
          <t>Common / Comum</t>
        </is>
      </c>
      <c r="D2159" s="11" t="inlineStr">
        <is>
          <t>Whenever this creature attacks, another target creature you control gets +1/+0 and gains indestructible until end of turn. (Damage and effects that say "destroy" don't destroy it.)</t>
        </is>
      </c>
      <c r="E2159" s="11" t="inlineStr">
        <is>
          <t>{2}{W/B}</t>
        </is>
      </c>
      <c r="F2159" s="11" t="inlineStr">
        <is>
          <t>Preto, Branco</t>
        </is>
      </c>
      <c r="G2159" s="8" t="n">
        <v>0.1</v>
      </c>
      <c r="H2159" s="11" t="inlineStr">
        <is>
          <t>Teenage Mutant Ninja Turtles (TMT)</t>
        </is>
      </c>
      <c r="I2159" s="11" t="inlineStr">
        <is>
          <t>Não</t>
        </is>
      </c>
      <c r="J2159" s="11" t="n">
        <v>2026</v>
      </c>
      <c r="K2159" s="10" t="n">
        <v>46114</v>
      </c>
      <c r="L2159" s="11" t="n">
        <v>6</v>
      </c>
      <c r="M2159" s="8">
        <f>L2159*G2159</f>
        <v/>
      </c>
      <c r="P2159" s="9" t="n"/>
    </row>
    <row r="2160">
      <c r="A2160" s="11" t="inlineStr">
        <is>
          <t>Foot Elite</t>
        </is>
      </c>
      <c r="B2160" s="11" t="inlineStr">
        <is>
          <t>Creature — Human Ninja</t>
        </is>
      </c>
      <c r="C2160" s="11" t="inlineStr">
        <is>
          <t>Common / Comum</t>
        </is>
      </c>
      <c r="D2160" s="11" t="inlineStr">
        <is>
          <t>Whenever this creature attacks, another target creature you control gets +1/+0 and gains indestructible until end of turn. (Damage and effects that say "destroy" don't destroy it.)</t>
        </is>
      </c>
      <c r="E2160" s="11" t="inlineStr">
        <is>
          <t>{2}{W/B}</t>
        </is>
      </c>
      <c r="F2160" s="11" t="inlineStr">
        <is>
          <t>Preto, Branco</t>
        </is>
      </c>
      <c r="G2160" s="8" t="n">
        <v>0.2</v>
      </c>
      <c r="H2160" s="11" t="inlineStr">
        <is>
          <t>Teenage Mutant Ninja Turtles (TMT)</t>
        </is>
      </c>
      <c r="I2160" s="11" t="inlineStr">
        <is>
          <t>Sim</t>
        </is>
      </c>
      <c r="J2160" s="11" t="n">
        <v>2026</v>
      </c>
      <c r="K2160" s="10" t="n">
        <v>46114</v>
      </c>
      <c r="L2160" s="11" t="n">
        <v>1</v>
      </c>
      <c r="M2160" s="8">
        <f>L2160*G2160</f>
        <v/>
      </c>
      <c r="P2160" s="9" t="n"/>
    </row>
    <row r="2161">
      <c r="A2161" s="11" t="inlineStr">
        <is>
          <t>Karai's Technique</t>
        </is>
      </c>
      <c r="B2161" s="11" t="inlineStr">
        <is>
          <t>Sorcery</t>
        </is>
      </c>
      <c r="C2161" s="11" t="inlineStr">
        <is>
          <t>Uncommon / Incomum</t>
        </is>
      </c>
      <c r="D2161" s="11" t="inlineStr">
        <is>
          <t>Sneak {W}{B} (You may cast this spell for {W}{B} if you also return an unblocked attacker you control to hand during the declare blockers step.) Choose one or both — • Target creature gets +3/+3 until end of turn. • Target creature gets -3/-3 until end of turn.</t>
        </is>
      </c>
      <c r="E2161" s="11" t="inlineStr">
        <is>
          <t>{1}{W}{B}</t>
        </is>
      </c>
      <c r="F2161" s="11" t="inlineStr">
        <is>
          <t>Preto, Branco</t>
        </is>
      </c>
      <c r="G2161" s="8" t="n">
        <v>0.19</v>
      </c>
      <c r="H2161" s="11" t="inlineStr">
        <is>
          <t>Teenage Mutant Ninja Turtles (TMT)</t>
        </is>
      </c>
      <c r="I2161" s="11" t="inlineStr">
        <is>
          <t>Não</t>
        </is>
      </c>
      <c r="J2161" s="11" t="n">
        <v>2026</v>
      </c>
      <c r="L2161" s="11" t="n">
        <v>1</v>
      </c>
      <c r="M2161" s="8">
        <f>L2161*G2161</f>
        <v/>
      </c>
      <c r="P2161" s="9" t="n"/>
    </row>
    <row r="2162">
      <c r="A2162" s="11" t="inlineStr">
        <is>
          <t>EPF Point Squad</t>
        </is>
      </c>
      <c r="B2162" s="11" t="inlineStr">
        <is>
          <t>Creature — Human Soldier</t>
        </is>
      </c>
      <c r="C2162" s="11" t="inlineStr">
        <is>
          <t>Common / Comum</t>
        </is>
      </c>
      <c r="D2162" s="11" t="inlineStr">
        <is>
          <t>Alliance — Whenever another creature you control enters, put a +1/+1 counter on this creature.</t>
        </is>
      </c>
      <c r="E2162" s="11" t="inlineStr">
        <is>
          <t>{1}{R/W}{R/W}</t>
        </is>
      </c>
      <c r="F2162" s="11" t="inlineStr">
        <is>
          <t>Vermelho, Branco</t>
        </is>
      </c>
      <c r="G2162" s="8" t="n">
        <v>0.05</v>
      </c>
      <c r="H2162" s="11" t="inlineStr">
        <is>
          <t>Teenage Mutant Ninja Turtles (TMT)</t>
        </is>
      </c>
      <c r="I2162" s="11" t="inlineStr">
        <is>
          <t>Não</t>
        </is>
      </c>
      <c r="J2162" s="11" t="n">
        <v>2026</v>
      </c>
      <c r="K2162" s="10" t="n">
        <v>46024</v>
      </c>
      <c r="L2162" s="11" t="n">
        <v>4</v>
      </c>
      <c r="M2162" s="8">
        <f>L2162*G2162</f>
        <v/>
      </c>
      <c r="P2162" s="9" t="n"/>
    </row>
    <row r="2163">
      <c r="A2163" s="11" t="inlineStr">
        <is>
          <t>Mechanized Ninja Cavalry</t>
        </is>
      </c>
      <c r="B2163" s="11" t="inlineStr">
        <is>
          <t>Artifact Creature — Robot Ninja</t>
        </is>
      </c>
      <c r="C2163" s="11" t="inlineStr">
        <is>
          <t>Common / Comum</t>
        </is>
      </c>
      <c r="D2163" s="11" t="inlineStr">
        <is>
          <t>When this creature enters, create a 1/1 colorless Robot artifact creature token.</t>
        </is>
      </c>
      <c r="E2163" s="11" t="inlineStr">
        <is>
          <t>{1}{R/W}</t>
        </is>
      </c>
      <c r="F2163" s="11" t="inlineStr">
        <is>
          <t>Vermelho, Branco</t>
        </is>
      </c>
      <c r="G2163" s="8" t="n">
        <v>0.1</v>
      </c>
      <c r="H2163" s="11" t="inlineStr">
        <is>
          <t>Teenage Mutant Ninja Turtles (TMT)</t>
        </is>
      </c>
      <c r="I2163" s="11" t="inlineStr">
        <is>
          <t>Não</t>
        </is>
      </c>
      <c r="J2163" s="11" t="n">
        <v>2026</v>
      </c>
      <c r="K2163" s="10" t="n">
        <v>46023</v>
      </c>
      <c r="L2163" s="11" t="n">
        <v>10</v>
      </c>
      <c r="M2163" s="8">
        <f>L2163*G2163</f>
        <v/>
      </c>
      <c r="P2163" s="9" t="n"/>
    </row>
    <row r="2164">
      <c r="A2164" s="11" t="inlineStr">
        <is>
          <t>The Neutrinos</t>
        </is>
      </c>
      <c r="B2164" s="11" t="inlineStr">
        <is>
          <t>Legendary Creature — Elf Rebel</t>
        </is>
      </c>
      <c r="C2164" s="11" t="inlineStr">
        <is>
          <t>Uncommon / Incomum</t>
        </is>
      </c>
      <c r="D2164" s="11" t="inlineStr">
        <is>
          <t>Flying Alliance — Whenever another creature you control enters, The Neutrinos get +1/+0 until end of turn. Whenever The Neutrinos attack, exile up to one target creature you own, then return it to the battlefield under your control tapped and attacking.</t>
        </is>
      </c>
      <c r="E2164" s="11" t="inlineStr">
        <is>
          <t>{2}{R}{W}</t>
        </is>
      </c>
      <c r="F2164" s="11" t="inlineStr">
        <is>
          <t>Vermelho, Branco</t>
        </is>
      </c>
      <c r="G2164" s="8" t="n">
        <v>0.15</v>
      </c>
      <c r="H2164" s="11" t="inlineStr">
        <is>
          <t>Teenage Mutant Ninja Turtles (TMT)</t>
        </is>
      </c>
      <c r="I2164" s="11" t="inlineStr">
        <is>
          <t>Não</t>
        </is>
      </c>
      <c r="J2164" s="11" t="n">
        <v>2026</v>
      </c>
      <c r="K2164" s="10" t="n">
        <v>46114</v>
      </c>
      <c r="L2164" s="11" t="n">
        <v>1</v>
      </c>
      <c r="M2164" s="8">
        <f>L2164*G2164</f>
        <v/>
      </c>
      <c r="P2164" s="9" t="n"/>
    </row>
    <row r="2165">
      <c r="A2165" s="11" t="inlineStr">
        <is>
          <t>Go Ninja Go</t>
        </is>
      </c>
      <c r="B2165" s="11" t="inlineStr">
        <is>
          <t>Sorcery</t>
        </is>
      </c>
      <c r="C2165" s="11" t="inlineStr">
        <is>
          <t>Uncommon / Incomum</t>
        </is>
      </c>
      <c r="D2165" s="11" t="inlineStr">
        <is>
          <t>Choose one or both — • Exile target creature you control, then return it to the battlefield under its owner's control. • Go Ninja Go deals damage equal to the greatest power among creatures you control to target creature an opponent controls.</t>
        </is>
      </c>
      <c r="E2165" s="11" t="inlineStr">
        <is>
          <t>{R}{W}</t>
        </is>
      </c>
      <c r="F2165" s="11" t="inlineStr">
        <is>
          <t>Vermelho, Branco</t>
        </is>
      </c>
      <c r="G2165" s="8" t="n">
        <v>0.16</v>
      </c>
      <c r="H2165" s="11" t="inlineStr">
        <is>
          <t>Teenage Mutant Ninja Turtles (TMT)</t>
        </is>
      </c>
      <c r="I2165" s="11" t="inlineStr">
        <is>
          <t>Não</t>
        </is>
      </c>
      <c r="J2165" s="11" t="n">
        <v>2026</v>
      </c>
      <c r="L2165" s="11" t="n">
        <v>1</v>
      </c>
      <c r="M2165" s="8">
        <f>L2165*G2165</f>
        <v/>
      </c>
      <c r="P2165" s="9" t="n"/>
    </row>
    <row r="2166">
      <c r="A2166" s="11" t="inlineStr">
        <is>
          <t>Tainted Treats</t>
        </is>
      </c>
      <c r="B2166" s="11" t="inlineStr">
        <is>
          <t>Instant</t>
        </is>
      </c>
      <c r="C2166" s="11" t="inlineStr">
        <is>
          <t>Uncommon / Incomum</t>
        </is>
      </c>
      <c r="D2166" s="11" t="inlineStr">
        <is>
          <t>Destroy target artifact or creature. If its mana value was 4 or less, create a Food token. (It's an artifact with "{2}, {T}, Sacrifice this token: You gain 3 life.")</t>
        </is>
      </c>
      <c r="E2166" s="11" t="inlineStr">
        <is>
          <t>{1}{B}{G}</t>
        </is>
      </c>
      <c r="F2166" s="11" t="inlineStr">
        <is>
          <t>Preto, Verde</t>
        </is>
      </c>
      <c r="G2166" s="8" t="n">
        <v>0.16</v>
      </c>
      <c r="H2166" s="11" t="inlineStr">
        <is>
          <t>Teenage Mutant Ninja Turtles (TMT)</t>
        </is>
      </c>
      <c r="I2166" s="11" t="inlineStr">
        <is>
          <t>Não</t>
        </is>
      </c>
      <c r="J2166" s="11" t="n">
        <v>2026</v>
      </c>
      <c r="L2166" s="11" t="n">
        <v>1</v>
      </c>
      <c r="M2166" s="8">
        <f>L2166*G2166</f>
        <v/>
      </c>
      <c r="P2166" s="9" t="n"/>
    </row>
    <row r="2167">
      <c r="A2167" s="11" t="inlineStr">
        <is>
          <t>Bebop &amp; Rocksteady</t>
        </is>
      </c>
      <c r="B2167" s="11" t="inlineStr">
        <is>
          <t>Legendary Creature — Boar Rhino Mutant</t>
        </is>
      </c>
      <c r="C2167" s="11" t="inlineStr">
        <is>
          <t>Rare / Rara</t>
        </is>
      </c>
      <c r="D2167" s="11" t="inlineStr">
        <is>
          <t>Whenever Bebop &amp; Rocksteady attack or block, sacrifice a permanent unless you discard a card.</t>
        </is>
      </c>
      <c r="E2167" s="11" t="inlineStr">
        <is>
          <t>{1}{B/G}{B/G}</t>
        </is>
      </c>
      <c r="F2167" s="11" t="inlineStr">
        <is>
          <t>Preto, Verde</t>
        </is>
      </c>
      <c r="G2167" s="8" t="n">
        <v>1.13</v>
      </c>
      <c r="H2167" s="11" t="inlineStr">
        <is>
          <t>Teenage Mutant Ninja Turtles (TMT)</t>
        </is>
      </c>
      <c r="I2167" s="11" t="inlineStr">
        <is>
          <t>Não</t>
        </is>
      </c>
      <c r="J2167" s="11" t="n">
        <v>2026</v>
      </c>
      <c r="K2167" s="10" t="n">
        <v>46149</v>
      </c>
      <c r="L2167" s="11" t="n">
        <v>1</v>
      </c>
      <c r="M2167" s="8">
        <f>L2167*G2167</f>
        <v/>
      </c>
      <c r="P2167" s="9" t="n"/>
    </row>
    <row r="2168">
      <c r="A2168" s="11" t="inlineStr">
        <is>
          <t>Putrid Pals</t>
        </is>
      </c>
      <c r="B2168" s="11" t="inlineStr">
        <is>
          <t>Creature — Human Ooze Mutant</t>
        </is>
      </c>
      <c r="C2168" s="11" t="inlineStr">
        <is>
          <t>Common / Comum</t>
        </is>
      </c>
      <c r="D2168" s="11" t="inlineStr">
        <is>
          <t>Deathtouch Disappear — This creature enters with two +1/+1 counters on it if a permanent left the battlefield under your control this turn.</t>
        </is>
      </c>
      <c r="E2168" s="11" t="inlineStr">
        <is>
          <t>{2}{B/G}{B/G}</t>
        </is>
      </c>
      <c r="F2168" s="11" t="inlineStr">
        <is>
          <t>Preto, Verde</t>
        </is>
      </c>
      <c r="G2168" s="8" t="n">
        <v>0.1</v>
      </c>
      <c r="H2168" s="11" t="inlineStr">
        <is>
          <t>Teenage Mutant Ninja Turtles (TMT)</t>
        </is>
      </c>
      <c r="I2168" s="11" t="inlineStr">
        <is>
          <t>Não</t>
        </is>
      </c>
      <c r="J2168" s="11" t="n">
        <v>2026</v>
      </c>
      <c r="K2168" s="10" t="n">
        <v>46084</v>
      </c>
      <c r="L2168" s="11" t="n">
        <v>1</v>
      </c>
      <c r="M2168" s="8">
        <f>L2168*G2168</f>
        <v/>
      </c>
      <c r="P2168" s="9" t="n"/>
    </row>
    <row r="2169">
      <c r="A2169" s="11" t="inlineStr">
        <is>
          <t>Punk Frogs</t>
        </is>
      </c>
      <c r="B2169" s="11" t="inlineStr">
        <is>
          <t>Creature — Frog Mutant Rebel</t>
        </is>
      </c>
      <c r="C2169" s="11" t="inlineStr">
        <is>
          <t>Common / Comum</t>
        </is>
      </c>
      <c r="D2169" s="11" t="inlineStr">
        <is>
          <t>Ward {3} (Whenever this creature becomes the target of a spell or ability an opponent controls, counter it unless that player pays {3}.)</t>
        </is>
      </c>
      <c r="E2169" s="11" t="inlineStr">
        <is>
          <t>{3}{G/U}{G/U}</t>
        </is>
      </c>
      <c r="F2169" s="11" t="inlineStr">
        <is>
          <t>Verde, Azul</t>
        </is>
      </c>
      <c r="G2169" s="8" t="n">
        <v>0.1</v>
      </c>
      <c r="H2169" s="11" t="inlineStr">
        <is>
          <t>Teenage Mutant Ninja Turtles (TMT)</t>
        </is>
      </c>
      <c r="I2169" s="11" t="inlineStr">
        <is>
          <t>Não</t>
        </is>
      </c>
      <c r="J2169" s="11" t="n">
        <v>2026</v>
      </c>
      <c r="K2169" s="10" t="n">
        <v>46146</v>
      </c>
      <c r="L2169" s="11" t="n">
        <v>2</v>
      </c>
      <c r="M2169" s="8">
        <f>L2169*G2169</f>
        <v/>
      </c>
      <c r="P2169" s="9" t="n"/>
    </row>
    <row r="2170">
      <c r="A2170" s="11" t="inlineStr">
        <is>
          <t>Ice Cream Kitty</t>
        </is>
      </c>
      <c r="B2170" s="11" t="inlineStr">
        <is>
          <t>Artifact Creature — Food Cat Mutant</t>
        </is>
      </c>
      <c r="C2170" s="11" t="inlineStr">
        <is>
          <t>Common / Comum</t>
        </is>
      </c>
      <c r="D2170" s="11" t="inlineStr">
        <is>
          <t>{2}, Sacrifice another creature or token: Draw a card. Activate only as a sorcery. {2}, {T}, Sacrifice this creature: You gain 3 life.</t>
        </is>
      </c>
      <c r="E2170" s="11" t="inlineStr">
        <is>
          <t>{1}{B/G}</t>
        </is>
      </c>
      <c r="F2170" s="11" t="inlineStr">
        <is>
          <t>Preto, Verde</t>
        </is>
      </c>
      <c r="G2170" s="8" t="n">
        <v>0.14</v>
      </c>
      <c r="H2170" s="11" t="inlineStr">
        <is>
          <t>Teenage Mutant Ninja Turtles (TMT)</t>
        </is>
      </c>
      <c r="I2170" s="11" t="inlineStr">
        <is>
          <t>Não</t>
        </is>
      </c>
      <c r="J2170" s="11" t="n">
        <v>2026</v>
      </c>
      <c r="K2170" s="10" t="n">
        <v>46082</v>
      </c>
      <c r="L2170" s="11" t="n">
        <v>3</v>
      </c>
      <c r="M2170" s="8">
        <f>L2170*G2170</f>
        <v/>
      </c>
      <c r="P2170" s="9" t="n"/>
    </row>
    <row r="2171">
      <c r="A2171" s="11" t="inlineStr">
        <is>
          <t>Pizza Face, Gastromancer</t>
        </is>
      </c>
      <c r="B2171" s="11" t="inlineStr">
        <is>
          <t>Legendary Artifact Creature — Food Mutant</t>
        </is>
      </c>
      <c r="C2171" s="11" t="inlineStr">
        <is>
          <t>Uncommon / Incomum</t>
        </is>
      </c>
      <c r="D2171" s="11" t="inlineStr">
        <is>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is>
      </c>
      <c r="E2171" s="11" t="inlineStr">
        <is>
          <t>{3}{B}{G}</t>
        </is>
      </c>
      <c r="F2171" s="11" t="inlineStr">
        <is>
          <t>Preto, Verde</t>
        </is>
      </c>
      <c r="G2171" s="8" t="n">
        <v>0.24</v>
      </c>
      <c r="H2171" s="11" t="inlineStr">
        <is>
          <t>Teenage Mutant Ninja Turtles (TMT)</t>
        </is>
      </c>
      <c r="I2171" s="11" t="inlineStr">
        <is>
          <t>Sim</t>
        </is>
      </c>
      <c r="J2171" s="11" t="n">
        <v>2026</v>
      </c>
      <c r="K2171" s="10" t="n">
        <v>46114</v>
      </c>
      <c r="L2171" s="11" t="n">
        <v>1</v>
      </c>
      <c r="M2171" s="8">
        <f>L2171*G2171</f>
        <v/>
      </c>
      <c r="P2171" s="9" t="n"/>
    </row>
    <row r="2172">
      <c r="A2172" s="11" t="inlineStr">
        <is>
          <t>Mouser Mark III</t>
        </is>
      </c>
      <c r="B2172" s="11" t="inlineStr">
        <is>
          <t>Artifact Creature — Robot</t>
        </is>
      </c>
      <c r="C2172" s="11" t="inlineStr">
        <is>
          <t>Common / Comum</t>
        </is>
      </c>
      <c r="D2172" s="11" t="inlineStr">
        <is>
          <t>This creature can't attack unless you control another artifact.</t>
        </is>
      </c>
      <c r="E2172" s="11" t="inlineStr">
        <is>
          <t>{1}{U/R}</t>
        </is>
      </c>
      <c r="F2172" s="11" t="inlineStr">
        <is>
          <t>Vermelho, Azul</t>
        </is>
      </c>
      <c r="G2172" s="8" t="n">
        <v>0.1</v>
      </c>
      <c r="H2172" s="11" t="inlineStr">
        <is>
          <t>Teenage Mutant Ninja Turtles (TMT)</t>
        </is>
      </c>
      <c r="I2172" s="11" t="inlineStr">
        <is>
          <t>Não</t>
        </is>
      </c>
      <c r="J2172" s="11" t="n">
        <v>2026</v>
      </c>
      <c r="K2172" s="10" t="n">
        <v>46083</v>
      </c>
      <c r="L2172" s="11" t="n">
        <v>5</v>
      </c>
      <c r="M2172" s="8">
        <f>L2172*G2172</f>
        <v/>
      </c>
      <c r="P2172" s="9" t="n"/>
    </row>
    <row r="2173">
      <c r="A2173" s="11" t="inlineStr">
        <is>
          <t>Brilliance Unleashed</t>
        </is>
      </c>
      <c r="B2173" s="11" t="inlineStr">
        <is>
          <t>Sorcery</t>
        </is>
      </c>
      <c r="C2173" s="11" t="inlineStr">
        <is>
          <t>Uncommon / Incomum</t>
        </is>
      </c>
      <c r="D2173" s="11" t="inlineStr">
        <is>
          <t>Choose one or both — • Brilliance Unleashed deals 5 damage to target creature. • Choose target artifact card in your graveyard. Return it to the battlefield if it's an artifact creature card. Otherwise, return it to the battlefield and it's a 3/3 Robot artifact creature with flying.</t>
        </is>
      </c>
      <c r="E2173" s="11" t="inlineStr">
        <is>
          <t>{4}{U}{R}</t>
        </is>
      </c>
      <c r="F2173" s="11" t="inlineStr">
        <is>
          <t>Vermelho, Azul</t>
        </is>
      </c>
      <c r="G2173" s="8" t="n">
        <v>0.13</v>
      </c>
      <c r="H2173" s="11" t="inlineStr">
        <is>
          <t>Teenage Mutant Ninja Turtles (TMT)</t>
        </is>
      </c>
      <c r="I2173" s="11" t="inlineStr">
        <is>
          <t>Não</t>
        </is>
      </c>
      <c r="J2173" s="11" t="n">
        <v>2026</v>
      </c>
      <c r="L2173" s="11" t="n">
        <v>1</v>
      </c>
      <c r="M2173" s="8">
        <f>L2173*G2173</f>
        <v/>
      </c>
      <c r="P2173" s="9" t="n"/>
    </row>
    <row r="2174">
      <c r="A2174" s="11" t="inlineStr">
        <is>
          <t>Nobody</t>
        </is>
      </c>
      <c r="B2174" s="11" t="inlineStr">
        <is>
          <t>Artifact Creature — Human Hero</t>
        </is>
      </c>
      <c r="C2174" s="11" t="inlineStr">
        <is>
          <t>Common / Comum</t>
        </is>
      </c>
      <c r="D2174" s="11" t="inlineStr">
        <is>
          <t>When this creature enters, return up to one other target artifact you control to its owner's hand. Scry 1. (Look at the top card of your library. You may put that card on the bottom.)</t>
        </is>
      </c>
      <c r="E2174" s="11" t="inlineStr">
        <is>
          <t>{1}{U/R}{U/R}</t>
        </is>
      </c>
      <c r="F2174" s="11" t="inlineStr">
        <is>
          <t>Vermelho, Azul</t>
        </is>
      </c>
      <c r="G2174" s="8" t="n">
        <v>0.1</v>
      </c>
      <c r="H2174" s="11" t="inlineStr">
        <is>
          <t>Teenage Mutant Ninja Turtles (TMT)</t>
        </is>
      </c>
      <c r="I2174" s="11" t="inlineStr">
        <is>
          <t>Não</t>
        </is>
      </c>
      <c r="J2174" s="11" t="n">
        <v>2026</v>
      </c>
      <c r="K2174" s="10" t="n">
        <v>46056</v>
      </c>
      <c r="L2174" s="11" t="n">
        <v>1</v>
      </c>
      <c r="M2174" s="8">
        <f>L2174*G2174</f>
        <v/>
      </c>
      <c r="P2174" s="9" t="n"/>
    </row>
    <row r="2175">
      <c r="A2175" s="11" t="inlineStr">
        <is>
          <t>Baxter Stockman</t>
        </is>
      </c>
      <c r="B2175" s="11" t="inlineStr">
        <is>
          <t>Legendary Creature — Human Scientist</t>
        </is>
      </c>
      <c r="C2175" s="11" t="inlineStr">
        <is>
          <t>Uncommon / Incomum</t>
        </is>
      </c>
      <c r="D2175" s="11" t="inlineStr">
        <is>
          <t>When Baxter Stockman enters, create a 1/1 colorless Robot artifact creature token. At the beginning of combat on your turn, target artifact creature you control gets +3/+0 and gains first strike and vigilance until end of turn.</t>
        </is>
      </c>
      <c r="E2175" s="11" t="inlineStr">
        <is>
          <t>{3}{U}{R}</t>
        </is>
      </c>
      <c r="F2175" s="11" t="inlineStr">
        <is>
          <t>Vermelho, Azul</t>
        </is>
      </c>
      <c r="G2175" s="8" t="n">
        <v>0.12</v>
      </c>
      <c r="H2175" s="11" t="inlineStr">
        <is>
          <t>Teenage Mutant Ninja Turtles (TMT)</t>
        </is>
      </c>
      <c r="I2175" s="11" t="inlineStr">
        <is>
          <t>Não</t>
        </is>
      </c>
      <c r="J2175" s="11" t="n">
        <v>2026</v>
      </c>
      <c r="K2175" s="10" t="n">
        <v>46084</v>
      </c>
      <c r="L2175" s="11" t="n">
        <v>2</v>
      </c>
      <c r="M2175" s="8">
        <f>L2175*G2175</f>
        <v/>
      </c>
      <c r="P2175" s="9" t="n"/>
    </row>
    <row r="2176">
      <c r="A2176" s="11" t="inlineStr">
        <is>
          <t>Genghis Frog</t>
        </is>
      </c>
      <c r="B2176" s="11" t="inlineStr">
        <is>
          <t>Legendary Creature — Frog Mutant Rogue</t>
        </is>
      </c>
      <c r="C2176" s="11" t="inlineStr">
        <is>
          <t>Uncommon / Incomum</t>
        </is>
      </c>
      <c r="D2176" s="11" t="inlineStr">
        <is>
          <t>Trample Whenever Genghis Frog or another Mutant you control enters, create a Mutagen token. (It's an artifact with "{1}, {T}, Sacrifice this token: Put a +1/+1 counter on target creature. Activate only as a sorcery.")</t>
        </is>
      </c>
      <c r="E2176" s="11" t="inlineStr">
        <is>
          <t>{G}{U}</t>
        </is>
      </c>
      <c r="F2176" s="11" t="inlineStr">
        <is>
          <t>Verde, Azul</t>
        </is>
      </c>
      <c r="G2176" s="8" t="n">
        <v>0.14</v>
      </c>
      <c r="H2176" s="11" t="inlineStr">
        <is>
          <t>Teenage Mutant Ninja Turtles (TMT)</t>
        </is>
      </c>
      <c r="I2176" s="11" t="inlineStr">
        <is>
          <t>Não</t>
        </is>
      </c>
      <c r="J2176" s="11" t="n">
        <v>2026</v>
      </c>
      <c r="K2176" s="10" t="n">
        <v>46082</v>
      </c>
      <c r="L2176" s="11" t="n">
        <v>2</v>
      </c>
      <c r="M2176" s="8">
        <f>L2176*G2176</f>
        <v/>
      </c>
      <c r="P2176" s="9" t="n"/>
    </row>
    <row r="2177">
      <c r="A2177" s="11" t="inlineStr">
        <is>
          <t>Mikey &amp; Don, Party Planners</t>
        </is>
      </c>
      <c r="B2177" s="11" t="inlineStr">
        <is>
          <t>Legendary Creature — Mutant Ninja Turtle</t>
        </is>
      </c>
      <c r="C2177" s="11" t="inlineStr">
        <is>
          <t>Rare / Rara</t>
        </is>
      </c>
      <c r="D2177" s="11" t="inlineStr">
        <is>
          <t>Ward {2} You may look at the top card of your library any time. You may play lands and cast Mutant, Ninja, or Turtle spells from the top of your library. If you cast a creature spell this way, that creature enters with an additional +1/+1 counter on it.</t>
        </is>
      </c>
      <c r="E2177" s="11" t="inlineStr">
        <is>
          <t>{2}{G/U}{G/U}</t>
        </is>
      </c>
      <c r="F2177" s="11" t="inlineStr">
        <is>
          <t>Verde, Azul</t>
        </is>
      </c>
      <c r="G2177" s="8" t="n">
        <v>6.39</v>
      </c>
      <c r="H2177" s="11" t="inlineStr">
        <is>
          <t>Teenage Mutant Ninja Turtles (TMT)</t>
        </is>
      </c>
      <c r="I2177" s="11" t="inlineStr">
        <is>
          <t>Não</t>
        </is>
      </c>
      <c r="J2177" s="11" t="n">
        <v>2026</v>
      </c>
      <c r="K2177" s="10" t="n">
        <v>46084</v>
      </c>
      <c r="L2177" s="11" t="n">
        <v>1</v>
      </c>
      <c r="M2177" s="8">
        <f>L2177*G2177</f>
        <v/>
      </c>
      <c r="P2177" s="9" t="n"/>
    </row>
    <row r="2178">
      <c r="A2178" s="11" t="inlineStr">
        <is>
          <t>Slithering Cryptid</t>
        </is>
      </c>
      <c r="B2178" s="11" t="inlineStr">
        <is>
          <t>Creature — Fish Mutant</t>
        </is>
      </c>
      <c r="C2178" s="11" t="inlineStr">
        <is>
          <t>Common / Comum</t>
        </is>
      </c>
      <c r="D2178" s="11" t="inlineStr">
        <is>
          <t>When this creature enters, create a Mutagen token. (It's an artifact with "{1}, {T}, Sacrifice this token: Put a +1/+1 counter on target creature. Activate only as a sorcery.")</t>
        </is>
      </c>
      <c r="E2178" s="11" t="inlineStr">
        <is>
          <t>{2}{G/U}</t>
        </is>
      </c>
      <c r="F2178" s="11" t="inlineStr">
        <is>
          <t>Verde, Azul</t>
        </is>
      </c>
      <c r="G2178" s="8" t="n">
        <v>0.1</v>
      </c>
      <c r="H2178" s="11" t="inlineStr">
        <is>
          <t>Teenage Mutant Ninja Turtles (TMT)</t>
        </is>
      </c>
      <c r="I2178" s="11" t="inlineStr">
        <is>
          <t>Não</t>
        </is>
      </c>
      <c r="J2178" s="11" t="n">
        <v>2026</v>
      </c>
      <c r="K2178" s="10" t="n">
        <v>46083</v>
      </c>
      <c r="L2178" s="11" t="n">
        <v>8</v>
      </c>
      <c r="M2178" s="8">
        <f>L2178*G2178</f>
        <v/>
      </c>
      <c r="P2178" s="9" t="n"/>
    </row>
    <row r="2179">
      <c r="A2179" s="11" t="inlineStr">
        <is>
          <t>Krang &amp; Shredder</t>
        </is>
      </c>
      <c r="B2179" s="11" t="inlineStr">
        <is>
          <t>Legendary Creature — Utrom Human Ninja</t>
        </is>
      </c>
      <c r="C2179" s="11" t="inlineStr">
        <is>
          <t>Rare / Rara</t>
        </is>
      </c>
      <c r="D2179" s="11" t="inlineStr">
        <is>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is>
      </c>
      <c r="E2179" s="11" t="inlineStr">
        <is>
          <t>{4}{U/B}{U/B}</t>
        </is>
      </c>
      <c r="F2179" s="11" t="inlineStr">
        <is>
          <t>Preto, Azul</t>
        </is>
      </c>
      <c r="G2179" s="8" t="n">
        <v>1.33</v>
      </c>
      <c r="H2179" s="11" t="inlineStr">
        <is>
          <t>Teenage Mutant Ninja Turtles (TMT)</t>
        </is>
      </c>
      <c r="I2179" s="11" t="inlineStr">
        <is>
          <t>Não</t>
        </is>
      </c>
      <c r="J2179" s="11" t="n">
        <v>2026</v>
      </c>
      <c r="K2179" s="10" t="n">
        <v>46209</v>
      </c>
      <c r="L2179" s="11" t="n">
        <v>1</v>
      </c>
      <c r="M2179" s="8">
        <f>L2179*G2179</f>
        <v/>
      </c>
      <c r="P2179" s="9" t="n"/>
    </row>
    <row r="2180">
      <c r="A2180" s="11" t="inlineStr">
        <is>
          <t>Manhole Missile</t>
        </is>
      </c>
      <c r="B2180" s="11" t="inlineStr">
        <is>
          <t>Instant</t>
        </is>
      </c>
      <c r="C2180" s="11" t="inlineStr">
        <is>
          <t>Common / Comum</t>
        </is>
      </c>
      <c r="D2180" s="11" t="inlineStr">
        <is>
          <t>Manhole Missile deals 3 damage to target creature. You may put a card from your hand on the bottom of your library. If you do, draw a card.</t>
        </is>
      </c>
      <c r="E2180" s="11" t="inlineStr">
        <is>
          <t>{1}{R}</t>
        </is>
      </c>
      <c r="F2180" s="11" t="inlineStr">
        <is>
          <t>Vermelho</t>
        </is>
      </c>
      <c r="G2180" s="8" t="n">
        <v>0.1</v>
      </c>
      <c r="H2180" s="11" t="inlineStr">
        <is>
          <t>Teenage Mutant Ninja Turtles (TMT)</t>
        </is>
      </c>
      <c r="I2180" s="11" t="inlineStr">
        <is>
          <t>Não</t>
        </is>
      </c>
      <c r="J2180" s="11" t="n">
        <v>2026</v>
      </c>
      <c r="L2180" s="11" t="n">
        <v>7</v>
      </c>
      <c r="M2180" s="8">
        <f>L2180*G2180</f>
        <v/>
      </c>
      <c r="P2180" s="9" t="n"/>
    </row>
    <row r="2181">
      <c r="A2181" s="11" t="inlineStr">
        <is>
          <t>Null Group Biological Assets</t>
        </is>
      </c>
      <c r="B2181" s="11" t="inlineStr">
        <is>
          <t>Creature — Mutant Mercenary</t>
        </is>
      </c>
      <c r="C2181" s="11" t="inlineStr">
        <is>
          <t>Common / Comum</t>
        </is>
      </c>
      <c r="D2181" s="11" t="inlineStr">
        <is>
          <t>During your turn, this creature has first strike. Whenever this creature attacks, you may discard a card. If you do, draw a card.</t>
        </is>
      </c>
      <c r="E2181" s="11" t="inlineStr">
        <is>
          <t>{2}{R}</t>
        </is>
      </c>
      <c r="F2181" s="11" t="inlineStr">
        <is>
          <t>Vermelho</t>
        </is>
      </c>
      <c r="G2181" s="8" t="n">
        <v>0.1</v>
      </c>
      <c r="H2181" s="11" t="inlineStr">
        <is>
          <t>Teenage Mutant Ninja Turtles (TMT)</t>
        </is>
      </c>
      <c r="I2181" s="11" t="inlineStr">
        <is>
          <t>Não</t>
        </is>
      </c>
      <c r="J2181" s="11" t="n">
        <v>2026</v>
      </c>
      <c r="K2181" s="10" t="n">
        <v>46025</v>
      </c>
      <c r="L2181" s="11" t="n">
        <v>6</v>
      </c>
      <c r="M2181" s="8">
        <f>L2181*G2181</f>
        <v/>
      </c>
      <c r="P2181" s="9" t="n"/>
    </row>
    <row r="2182">
      <c r="A2182" s="11" t="inlineStr">
        <is>
          <t>Mutant Town Musicians</t>
        </is>
      </c>
      <c r="B2182" s="11" t="inlineStr">
        <is>
          <t>Creature — Mutant Bard Performer</t>
        </is>
      </c>
      <c r="C2182" s="11" t="inlineStr">
        <is>
          <t>Common / Comum</t>
        </is>
      </c>
      <c r="D2182" s="11" t="inlineStr">
        <is>
          <t>Trample Alliance — Whenever another creature you control enters, this creature gets +1/+0 until end of turn.</t>
        </is>
      </c>
      <c r="E2182" s="11" t="inlineStr">
        <is>
          <t>{2}{R}</t>
        </is>
      </c>
      <c r="F2182" s="11" t="inlineStr">
        <is>
          <t>Vermelho</t>
        </is>
      </c>
      <c r="G2182" s="8" t="n">
        <v>0.05</v>
      </c>
      <c r="H2182" s="11" t="inlineStr">
        <is>
          <t>Teenage Mutant Ninja Turtles (TMT)</t>
        </is>
      </c>
      <c r="I2182" s="11" t="inlineStr">
        <is>
          <t>Não</t>
        </is>
      </c>
      <c r="J2182" s="11" t="n">
        <v>2026</v>
      </c>
      <c r="K2182" s="10" t="n">
        <v>46114</v>
      </c>
      <c r="L2182" s="11" t="n">
        <v>5</v>
      </c>
      <c r="M2182" s="8">
        <f>L2182*G2182</f>
        <v/>
      </c>
      <c r="P2182" s="9" t="n"/>
    </row>
    <row r="2183">
      <c r="A2183" s="11" t="inlineStr">
        <is>
          <t>Mouser Attack!</t>
        </is>
      </c>
      <c r="B2183" s="11" t="inlineStr">
        <is>
          <t>Instant</t>
        </is>
      </c>
      <c r="C2183" s="11" t="inlineStr">
        <is>
          <t>Common / Comum</t>
        </is>
      </c>
      <c r="D2183" s="11" t="inlineStr">
        <is>
          <t>Choose one — • Create a 1/1 colorless Robot artifact creature token. • Target creature gets +3/+0 and gains first strike until end of turn.</t>
        </is>
      </c>
      <c r="E2183" s="11" t="inlineStr">
        <is>
          <t>{1}{R}</t>
        </is>
      </c>
      <c r="F2183" s="11" t="inlineStr">
        <is>
          <t>Vermelho</t>
        </is>
      </c>
      <c r="G2183" s="8" t="n">
        <v>0.1</v>
      </c>
      <c r="H2183" s="11" t="inlineStr">
        <is>
          <t>Teenage Mutant Ninja Turtles (TMT)</t>
        </is>
      </c>
      <c r="I2183" s="11" t="inlineStr">
        <is>
          <t>Não</t>
        </is>
      </c>
      <c r="J2183" s="11" t="n">
        <v>2026</v>
      </c>
      <c r="L2183" s="11" t="n">
        <v>7</v>
      </c>
      <c r="M2183" s="8">
        <f>L2183*G2183</f>
        <v/>
      </c>
      <c r="P2183" s="9" t="n"/>
    </row>
    <row r="2184">
      <c r="A2184" s="11" t="inlineStr">
        <is>
          <t>Mouser Foundry</t>
        </is>
      </c>
      <c r="B2184" s="11" t="inlineStr">
        <is>
          <t>Artifact</t>
        </is>
      </c>
      <c r="C2184" s="11" t="inlineStr">
        <is>
          <t>Common / Comum</t>
        </is>
      </c>
      <c r="D2184" s="11" t="inlineStr">
        <is>
          <t>When this artifact enters or leaves the battlefield, create a 1/1 colorless Robot artifact creature token. {4}{R}, Sacrifice this artifact: It deals 3 damage to target creature.</t>
        </is>
      </c>
      <c r="E2184" s="11" t="inlineStr">
        <is>
          <t>{1}{R}</t>
        </is>
      </c>
      <c r="F2184" s="11" t="inlineStr">
        <is>
          <t>Vermelho</t>
        </is>
      </c>
      <c r="G2184" s="8" t="n">
        <v>0.1</v>
      </c>
      <c r="H2184" s="11" t="inlineStr">
        <is>
          <t>Teenage Mutant Ninja Turtles (TMT)</t>
        </is>
      </c>
      <c r="I2184" s="11" t="inlineStr">
        <is>
          <t>Não</t>
        </is>
      </c>
      <c r="J2184" s="11" t="n">
        <v>2026</v>
      </c>
      <c r="L2184" s="11" t="n">
        <v>8</v>
      </c>
      <c r="M2184" s="8">
        <f>L2184*G2184</f>
        <v/>
      </c>
      <c r="P2184" s="9" t="n"/>
    </row>
    <row r="2185">
      <c r="A2185" s="11" t="inlineStr">
        <is>
          <t>Zog, Triceraton Castaway</t>
        </is>
      </c>
      <c r="B2185" s="11" t="inlineStr">
        <is>
          <t>Legendary Creature — Dinosaur Soldier</t>
        </is>
      </c>
      <c r="C2185" s="11" t="inlineStr">
        <is>
          <t>Common / Comum</t>
        </is>
      </c>
      <c r="D2185" s="11" t="inlineStr">
        <is>
          <t>Reach, trample When Zog enters, target creature can't block this turn. Mountaincycling {2} ({2}, Discard this card: Search your library for a Mountain card, reveal it, put it into your hand, then shuffle.)</t>
        </is>
      </c>
      <c r="E2185" s="11" t="inlineStr">
        <is>
          <t>{4}{R}</t>
        </is>
      </c>
      <c r="F2185" s="11" t="inlineStr">
        <is>
          <t>Vermelho</t>
        </is>
      </c>
      <c r="G2185" s="8" t="n">
        <v>0.1</v>
      </c>
      <c r="H2185" s="11" t="inlineStr">
        <is>
          <t>Teenage Mutant Ninja Turtles (TMT)</t>
        </is>
      </c>
      <c r="I2185" s="11" t="inlineStr">
        <is>
          <t>Não</t>
        </is>
      </c>
      <c r="J2185" s="11" t="n">
        <v>2026</v>
      </c>
      <c r="K2185" s="10" t="n">
        <v>46117</v>
      </c>
      <c r="L2185" s="11" t="n">
        <v>3</v>
      </c>
      <c r="M2185" s="8">
        <f>L2185*G2185</f>
        <v/>
      </c>
      <c r="P2185" s="9" t="n"/>
    </row>
    <row r="2186">
      <c r="A2186" s="11" t="inlineStr">
        <is>
          <t>Bot Bashing Time</t>
        </is>
      </c>
      <c r="B2186" s="11" t="inlineStr">
        <is>
          <t>Sorcery</t>
        </is>
      </c>
      <c r="C2186" s="11" t="inlineStr">
        <is>
          <t>Common / Comum</t>
        </is>
      </c>
      <c r="D2186" s="11" t="inlineStr">
        <is>
          <t>Bot Bashing Time deals 6 damage to target creature. If that creature would die this turn, exile it instead.</t>
        </is>
      </c>
      <c r="E2186" s="11" t="inlineStr">
        <is>
          <t>{3}{R}</t>
        </is>
      </c>
      <c r="F2186" s="11" t="inlineStr">
        <is>
          <t>Vermelho</t>
        </is>
      </c>
      <c r="G2186" s="8" t="n">
        <v>0.1</v>
      </c>
      <c r="H2186" s="11" t="inlineStr">
        <is>
          <t>Teenage Mutant Ninja Turtles (TMT)</t>
        </is>
      </c>
      <c r="I2186" s="11" t="inlineStr">
        <is>
          <t>Não</t>
        </is>
      </c>
      <c r="J2186" s="11" t="n">
        <v>2026</v>
      </c>
      <c r="L2186" s="11" t="n">
        <v>1</v>
      </c>
      <c r="M2186" s="8">
        <f>L2186*G2186</f>
        <v/>
      </c>
      <c r="P2186" s="9" t="n"/>
    </row>
    <row r="2187">
      <c r="A2187" s="11" t="inlineStr">
        <is>
          <t>Bot Bashing Time</t>
        </is>
      </c>
      <c r="B2187" s="11" t="inlineStr">
        <is>
          <t>Sorcery</t>
        </is>
      </c>
      <c r="C2187" s="11" t="inlineStr">
        <is>
          <t>Common / Comum</t>
        </is>
      </c>
      <c r="D2187" s="11" t="inlineStr">
        <is>
          <t>Bot Bashing Time deals 6 damage to target creature. If that creature would die this turn, exile it instead.</t>
        </is>
      </c>
      <c r="E2187" s="11" t="inlineStr">
        <is>
          <t>{3}{R}</t>
        </is>
      </c>
      <c r="F2187" s="11" t="inlineStr">
        <is>
          <t>Vermelho</t>
        </is>
      </c>
      <c r="G2187" s="8" t="n">
        <v>0.2</v>
      </c>
      <c r="H2187" s="11" t="inlineStr">
        <is>
          <t>Teenage Mutant Ninja Turtles (TMT)</t>
        </is>
      </c>
      <c r="I2187" s="11" t="inlineStr">
        <is>
          <t>Sim</t>
        </is>
      </c>
      <c r="J2187" s="11" t="n">
        <v>2026</v>
      </c>
      <c r="L2187" s="11" t="n">
        <v>1</v>
      </c>
      <c r="M2187" s="8">
        <f>L2187*G2187</f>
        <v/>
      </c>
      <c r="P2187" s="9" t="n"/>
    </row>
    <row r="2188">
      <c r="A2188" s="11" t="inlineStr">
        <is>
          <t>Casey Jones, Jury-Rig Justiciar</t>
        </is>
      </c>
      <c r="B2188" s="11" t="inlineStr">
        <is>
          <t>Legendary Creature — Human Berserker</t>
        </is>
      </c>
      <c r="C2188" s="11" t="inlineStr">
        <is>
          <t>Uncommon / Incomum</t>
        </is>
      </c>
      <c r="D2188" s="11" t="inlineStr">
        <is>
          <t>Haste When Casey Jones enters, look at the top four cards of your library. You may reveal an artifact card from among them and put it into your hand. Put the rest on the bottom of your library in a random order.</t>
        </is>
      </c>
      <c r="E2188" s="11" t="inlineStr">
        <is>
          <t>{1}{R}</t>
        </is>
      </c>
      <c r="F2188" s="11" t="inlineStr">
        <is>
          <t>Vermelho</t>
        </is>
      </c>
      <c r="G2188" s="8" t="n">
        <v>0.1</v>
      </c>
      <c r="H2188" s="11" t="inlineStr">
        <is>
          <t>Teenage Mutant Ninja Turtles (TMT)</t>
        </is>
      </c>
      <c r="I2188" s="11" t="inlineStr">
        <is>
          <t>Não</t>
        </is>
      </c>
      <c r="J2188" s="11" t="n">
        <v>2026</v>
      </c>
      <c r="K2188" s="10" t="n">
        <v>46024</v>
      </c>
      <c r="L2188" s="11" t="n">
        <v>2</v>
      </c>
      <c r="M2188" s="8">
        <f>L2188*G2188</f>
        <v/>
      </c>
      <c r="P2188" s="9" t="n"/>
    </row>
    <row r="2189">
      <c r="A2189" s="11" t="inlineStr">
        <is>
          <t>Purple Dragon Punks</t>
        </is>
      </c>
      <c r="B2189" s="11" t="inlineStr">
        <is>
          <t>Creature — Human Rogue</t>
        </is>
      </c>
      <c r="C2189" s="11" t="inlineStr">
        <is>
          <t>Common / Comum</t>
        </is>
      </c>
      <c r="D2189" s="11" t="inlineStr">
        <is>
          <t>{T}: Add {R}. Spend this mana only to cast an artifact spell or to activate an ability.</t>
        </is>
      </c>
      <c r="E2189" s="11" t="inlineStr">
        <is>
          <t>{1}{R}</t>
        </is>
      </c>
      <c r="F2189" s="11" t="inlineStr">
        <is>
          <t>Vermelho</t>
        </is>
      </c>
      <c r="G2189" s="8" t="n">
        <v>0.1</v>
      </c>
      <c r="H2189" s="11" t="inlineStr">
        <is>
          <t>Teenage Mutant Ninja Turtles (TMT)</t>
        </is>
      </c>
      <c r="I2189" s="11" t="inlineStr">
        <is>
          <t>Não</t>
        </is>
      </c>
      <c r="J2189" s="11" t="n">
        <v>2026</v>
      </c>
      <c r="K2189" s="10" t="n">
        <v>46055</v>
      </c>
      <c r="L2189" s="11" t="n">
        <v>2</v>
      </c>
      <c r="M2189" s="8">
        <f>L2189*G2189</f>
        <v/>
      </c>
      <c r="P2189" s="9" t="n"/>
    </row>
    <row r="2190">
      <c r="A2190" s="11" t="inlineStr">
        <is>
          <t>Old Hob, Alleycat Blues</t>
        </is>
      </c>
      <c r="B2190" s="11" t="inlineStr">
        <is>
          <t>Legendary Creature — Cat Mutant Rebel</t>
        </is>
      </c>
      <c r="C2190" s="11" t="inlineStr">
        <is>
          <t>Uncommon / Incomum</t>
        </is>
      </c>
      <c r="D2190" s="11" t="inlineStr">
        <is>
          <t>At the beginning of combat on your turn, create a 2/2 red Mutant creature token. It gains haste until end of turn. Destroy it at the beginning of the next end step. {1}{W}: Target attacking creature token gains indestructible until end of turn.</t>
        </is>
      </c>
      <c r="E2190" s="11" t="inlineStr">
        <is>
          <t>{4}{R}</t>
        </is>
      </c>
      <c r="F2190" s="11" t="inlineStr">
        <is>
          <t>Vermelho</t>
        </is>
      </c>
      <c r="G2190" s="8" t="n">
        <v>0.08</v>
      </c>
      <c r="H2190" s="11" t="inlineStr">
        <is>
          <t>Teenage Mutant Ninja Turtles (TMT)</t>
        </is>
      </c>
      <c r="I2190" s="11" t="inlineStr">
        <is>
          <t>Não</t>
        </is>
      </c>
      <c r="J2190" s="11" t="n">
        <v>2026</v>
      </c>
      <c r="K2190" s="10" t="n">
        <v>46116</v>
      </c>
      <c r="L2190" s="11" t="n">
        <v>2</v>
      </c>
      <c r="M2190" s="8">
        <f>L2190*G2190</f>
        <v/>
      </c>
      <c r="P2190" s="9" t="n"/>
    </row>
    <row r="2191">
      <c r="A2191" s="11" t="inlineStr">
        <is>
          <t>Raphael, the Nightwatcher</t>
        </is>
      </c>
      <c r="B2191" s="11" t="inlineStr">
        <is>
          <t>Legendary Creature — Mutant Ninja Turtle</t>
        </is>
      </c>
      <c r="C2191" s="11" t="inlineStr">
        <is>
          <t>Rare / Rara</t>
        </is>
      </c>
      <c r="D2191" s="11" t="inlineStr">
        <is>
          <t>Sneak {1}{R}{R} (You may cast this spell for {1}{R}{R} if you also return an unblocked attacker you control to hand during the declare blockers step. He enters tapped and attacking.) Attacking creatures you control have double strike.</t>
        </is>
      </c>
      <c r="E2191" s="11" t="inlineStr">
        <is>
          <t>{2}{R}{R}</t>
        </is>
      </c>
      <c r="F2191" s="11" t="inlineStr">
        <is>
          <t>Vermelho</t>
        </is>
      </c>
      <c r="G2191" s="8" t="n">
        <v>7.45</v>
      </c>
      <c r="H2191" s="11" t="inlineStr">
        <is>
          <t>Teenage Mutant Ninja Turtles (TMT)</t>
        </is>
      </c>
      <c r="I2191" s="11" t="inlineStr">
        <is>
          <t>Não</t>
        </is>
      </c>
      <c r="J2191" s="11" t="n">
        <v>2026</v>
      </c>
      <c r="K2191" s="10" t="n">
        <v>46083</v>
      </c>
      <c r="L2191" s="11" t="n">
        <v>1</v>
      </c>
      <c r="M2191" s="8">
        <f>L2191*G2191</f>
        <v/>
      </c>
      <c r="P2191" s="9" t="n"/>
    </row>
    <row r="2192">
      <c r="A2192" s="11" t="inlineStr">
        <is>
          <t>Raphael, Most Attitude</t>
        </is>
      </c>
      <c r="B2192" s="11" t="inlineStr">
        <is>
          <t>Legendary Creature — Mutant Ninja Turtle</t>
        </is>
      </c>
      <c r="C2192" s="11" t="inlineStr">
        <is>
          <t>Uncommon / Incomum</t>
        </is>
      </c>
      <c r="D2192" s="11" t="inlineStr">
        <is>
          <t>Menace (This creature can't be blocked except by two or more creatures.) Alliance — Whenever another creature you control enters, you may exile the top card of your library. Whenever Raphael attacks, until end of turn, you may play a card exiled with Raphael.</t>
        </is>
      </c>
      <c r="E2192" s="11" t="inlineStr">
        <is>
          <t>{3}{R}</t>
        </is>
      </c>
      <c r="F2192" s="11" t="inlineStr">
        <is>
          <t>Vermelho</t>
        </is>
      </c>
      <c r="G2192" s="8" t="n">
        <v>0.09</v>
      </c>
      <c r="H2192" s="11" t="inlineStr">
        <is>
          <t>Teenage Mutant Ninja Turtles (TMT)</t>
        </is>
      </c>
      <c r="I2192" s="11" t="inlineStr">
        <is>
          <t>Não</t>
        </is>
      </c>
      <c r="J2192" s="11" t="n">
        <v>2026</v>
      </c>
      <c r="K2192" s="10" t="n">
        <v>46085</v>
      </c>
      <c r="L2192" s="11" t="n">
        <v>1</v>
      </c>
      <c r="M2192" s="8">
        <f>L2192*G2192</f>
        <v/>
      </c>
      <c r="P2192" s="9" t="n"/>
    </row>
    <row r="2193">
      <c r="A2193" s="11" t="inlineStr">
        <is>
          <t>Raphael, Most Attitude</t>
        </is>
      </c>
      <c r="B2193" s="11" t="inlineStr">
        <is>
          <t>Legendary Creature — Mutant Ninja Turtle</t>
        </is>
      </c>
      <c r="C2193" s="11" t="inlineStr">
        <is>
          <t>Uncommon / Incomum</t>
        </is>
      </c>
      <c r="D2193" s="11" t="inlineStr">
        <is>
          <t>Menace (This creature can't be blocked except by two or more creatures.) Alliance — Whenever another creature you control enters, you may exile the top card of your library. Whenever Raphael attacks, until end of turn, you may play a card exiled with Raphael.</t>
        </is>
      </c>
      <c r="E2193" s="11" t="inlineStr">
        <is>
          <t>{3}{R}</t>
        </is>
      </c>
      <c r="F2193" s="11" t="inlineStr">
        <is>
          <t>Vermelho</t>
        </is>
      </c>
      <c r="G2193" s="8" t="n">
        <v>0.44</v>
      </c>
      <c r="H2193" s="11" t="inlineStr">
        <is>
          <t>Teenage Mutant Ninja Turtles (TMT)</t>
        </is>
      </c>
      <c r="I2193" s="11" t="inlineStr">
        <is>
          <t>Sim</t>
        </is>
      </c>
      <c r="J2193" s="11" t="n">
        <v>2026</v>
      </c>
      <c r="K2193" s="10" t="n">
        <v>46085</v>
      </c>
      <c r="L2193" s="11" t="n">
        <v>1</v>
      </c>
      <c r="M2193" s="8">
        <f>L2193*G2193</f>
        <v/>
      </c>
      <c r="P2193" s="9" t="n"/>
    </row>
    <row r="2194">
      <c r="A2194" s="11" t="inlineStr">
        <is>
          <t>Jennika's Technique</t>
        </is>
      </c>
      <c r="B2194" s="11" t="inlineStr">
        <is>
          <t>Instant</t>
        </is>
      </c>
      <c r="C2194" s="11" t="inlineStr">
        <is>
          <t>Uncommon / Incomum</t>
        </is>
      </c>
      <c r="D2194" s="11" t="inlineStr">
        <is>
          <t>Sneak {R} (You may cast this spell for {R} if you also return an unblocked attacker you control to hand during the declare blockers step.) Jennika's Technique deals 2 damage to each creature.</t>
        </is>
      </c>
      <c r="E2194" s="11" t="inlineStr">
        <is>
          <t>{2}{R}</t>
        </is>
      </c>
      <c r="F2194" s="11" t="inlineStr">
        <is>
          <t>Vermelho</t>
        </is>
      </c>
      <c r="G2194" s="8" t="n">
        <v>0.23</v>
      </c>
      <c r="H2194" s="11" t="inlineStr">
        <is>
          <t>Teenage Mutant Ninja Turtles (TMT)</t>
        </is>
      </c>
      <c r="I2194" s="11" t="inlineStr">
        <is>
          <t>Não</t>
        </is>
      </c>
      <c r="J2194" s="11" t="n">
        <v>2026</v>
      </c>
      <c r="L2194" s="11" t="n">
        <v>1</v>
      </c>
      <c r="M2194" s="8">
        <f>L2194*G2194</f>
        <v/>
      </c>
      <c r="P2194" s="9" t="n"/>
    </row>
    <row r="2195">
      <c r="A2195" s="11" t="inlineStr">
        <is>
          <t>Raphael, Tough Turtle</t>
        </is>
      </c>
      <c r="B2195" s="11" t="inlineStr">
        <is>
          <t>Legendary Creature — Mutant Ninja Turtle</t>
        </is>
      </c>
      <c r="C2195" s="11" t="inlineStr">
        <is>
          <t>Common / Comum</t>
        </is>
      </c>
      <c r="D2195" s="11" t="inlineStr">
        <is>
          <t>Alliance — Whenever another creature you control enters, Raphael deals 1 damage to target opponent.</t>
        </is>
      </c>
      <c r="E2195" s="11" t="inlineStr">
        <is>
          <t>{1}{R}</t>
        </is>
      </c>
      <c r="F2195" s="11" t="inlineStr">
        <is>
          <t>Vermelho</t>
        </is>
      </c>
      <c r="G2195" s="8" t="n">
        <v>0.1</v>
      </c>
      <c r="H2195" s="11" t="inlineStr">
        <is>
          <t>Teenage Mutant Ninja Turtles (TMT)</t>
        </is>
      </c>
      <c r="I2195" s="11" t="inlineStr">
        <is>
          <t>Não</t>
        </is>
      </c>
      <c r="J2195" s="11" t="n">
        <v>2026</v>
      </c>
      <c r="K2195" s="10" t="n">
        <v>46082</v>
      </c>
      <c r="L2195" s="11" t="n">
        <v>4</v>
      </c>
      <c r="M2195" s="8">
        <f>L2195*G2195</f>
        <v/>
      </c>
      <c r="P2195" s="9" t="n"/>
    </row>
    <row r="2196">
      <c r="A2196" s="11" t="inlineStr">
        <is>
          <t>Spicy Oatmeal Pizza</t>
        </is>
      </c>
      <c r="B2196" s="11" t="inlineStr">
        <is>
          <t>Artifact — Food</t>
        </is>
      </c>
      <c r="C2196" s="11" t="inlineStr">
        <is>
          <t>Uncommon / Incomum</t>
        </is>
      </c>
      <c r="D2196" s="11" t="inlineStr">
        <is>
          <t>When this artifact enters, it deals 4 damage to any target and 3 damage to you. {2}, {T}, Sacrifice this artifact: You gain 3 life.</t>
        </is>
      </c>
      <c r="E2196" s="11" t="inlineStr">
        <is>
          <t>{2}{R}</t>
        </is>
      </c>
      <c r="F2196" s="11" t="inlineStr">
        <is>
          <t>Vermelho</t>
        </is>
      </c>
      <c r="G2196" s="8" t="n">
        <v>0.12</v>
      </c>
      <c r="H2196" s="11" t="inlineStr">
        <is>
          <t>Teenage Mutant Ninja Turtles (TMT)</t>
        </is>
      </c>
      <c r="I2196" s="11" t="inlineStr">
        <is>
          <t>Não</t>
        </is>
      </c>
      <c r="J2196" s="11" t="n">
        <v>2026</v>
      </c>
      <c r="L2196" s="11" t="n">
        <v>2</v>
      </c>
      <c r="M2196" s="8">
        <f>L2196*G2196</f>
        <v/>
      </c>
      <c r="P2196" s="9" t="n"/>
    </row>
    <row r="2197">
      <c r="A2197" s="11" t="inlineStr">
        <is>
          <t>Wingnut, Bat on the Belfry</t>
        </is>
      </c>
      <c r="B2197" s="11" t="inlineStr">
        <is>
          <t>Legendary Creature — Bat Mutant</t>
        </is>
      </c>
      <c r="C2197" s="11" t="inlineStr">
        <is>
          <t>Uncommon / Incomum</t>
        </is>
      </c>
      <c r="D2197" s="11" t="inlineStr">
        <is>
          <t>Alliance — Whenever another creature you control enters, Wingnut gains your choice of flying, menace, or haste until end of turn. Whenever Wingnut attacks, each other attacking creature gets +1/+0 until end of turn.</t>
        </is>
      </c>
      <c r="E2197" s="11" t="inlineStr">
        <is>
          <t>{1}{R}</t>
        </is>
      </c>
      <c r="F2197" s="11" t="inlineStr">
        <is>
          <t>Vermelho</t>
        </is>
      </c>
      <c r="G2197" s="8" t="n">
        <v>0.15</v>
      </c>
      <c r="H2197" s="11" t="inlineStr">
        <is>
          <t>Teenage Mutant Ninja Turtles (TMT)</t>
        </is>
      </c>
      <c r="I2197" s="11" t="inlineStr">
        <is>
          <t>Não</t>
        </is>
      </c>
      <c r="J2197" s="11" t="n">
        <v>2026</v>
      </c>
      <c r="K2197" s="10" t="n">
        <v>46054</v>
      </c>
      <c r="L2197" s="11" t="n">
        <v>1</v>
      </c>
      <c r="M2197" s="8">
        <f>L2197*G2197</f>
        <v/>
      </c>
      <c r="P2197" s="9" t="n"/>
    </row>
    <row r="2198">
      <c r="A2198" s="11" t="inlineStr">
        <is>
          <t>General Traag, Heart of Stone</t>
        </is>
      </c>
      <c r="B2198" s="11" t="inlineStr">
        <is>
          <t>Legendary Artifact Creature — Elemental Soldier</t>
        </is>
      </c>
      <c r="C2198" s="11" t="inlineStr">
        <is>
          <t>Uncommon / Incomum</t>
        </is>
      </c>
      <c r="D2198" s="11" t="inlineStr">
        <is>
          <t>Trample When General Traag enters, you may sacrifice another artifact. When you do, General Traag deals 4 damage to target creature.</t>
        </is>
      </c>
      <c r="E2198" s="11" t="inlineStr">
        <is>
          <t>{3}{R}{R}</t>
        </is>
      </c>
      <c r="F2198" s="11" t="inlineStr">
        <is>
          <t>Vermelho</t>
        </is>
      </c>
      <c r="G2198" s="8" t="n">
        <v>0.13</v>
      </c>
      <c r="H2198" s="11" t="inlineStr">
        <is>
          <t>Teenage Mutant Ninja Turtles (TMT)</t>
        </is>
      </c>
      <c r="I2198" s="11" t="inlineStr">
        <is>
          <t>Não</t>
        </is>
      </c>
      <c r="J2198" s="11" t="n">
        <v>2026</v>
      </c>
      <c r="K2198" s="10" t="n">
        <v>46085</v>
      </c>
      <c r="L2198" s="11" t="n">
        <v>1</v>
      </c>
      <c r="M2198" s="8">
        <f>L2198*G2198</f>
        <v/>
      </c>
      <c r="P2198" s="9" t="n"/>
    </row>
    <row r="2199">
      <c r="A2199" s="11" t="inlineStr">
        <is>
          <t>Rock Soldiers</t>
        </is>
      </c>
      <c r="B2199" s="11" t="inlineStr">
        <is>
          <t>Artifact Creature — Elemental Soldier</t>
        </is>
      </c>
      <c r="C2199" s="11" t="inlineStr">
        <is>
          <t>Common / Comum</t>
        </is>
      </c>
      <c r="D2199" s="11" t="inlineStr">
        <is>
          <t>When this creature enters, destroy up to one target noncreature artifact.</t>
        </is>
      </c>
      <c r="E2199" s="11" t="inlineStr">
        <is>
          <t>{3}{R}</t>
        </is>
      </c>
      <c r="F2199" s="11" t="inlineStr">
        <is>
          <t>Vermelho</t>
        </is>
      </c>
      <c r="G2199" s="8" t="n">
        <v>0.1</v>
      </c>
      <c r="H2199" s="11" t="inlineStr">
        <is>
          <t>Teenage Mutant Ninja Turtles (TMT)</t>
        </is>
      </c>
      <c r="I2199" s="11" t="inlineStr">
        <is>
          <t>Não</t>
        </is>
      </c>
      <c r="J2199" s="11" t="n">
        <v>2026</v>
      </c>
      <c r="K2199" s="10" t="n">
        <v>46085</v>
      </c>
      <c r="L2199" s="11" t="n">
        <v>1</v>
      </c>
      <c r="M2199" s="8">
        <f>L2199*G2199</f>
        <v/>
      </c>
      <c r="P2199" s="9" t="n"/>
    </row>
    <row r="2200">
      <c r="A2200" s="11" t="inlineStr">
        <is>
          <t>Hard-Won Jitte</t>
        </is>
      </c>
      <c r="B2200" s="11" t="inlineStr">
        <is>
          <t>Artifact — Equipment</t>
        </is>
      </c>
      <c r="C2200" s="11" t="inlineStr">
        <is>
          <t>Uncommon / Incomum</t>
        </is>
      </c>
      <c r="D2200" s="11" t="inlineStr">
        <is>
          <t>Equipped creature has double strike. Equip {2} ({2}: Attach to target creature you control. Equip only as a sorcery.)</t>
        </is>
      </c>
      <c r="E2200" s="11" t="inlineStr">
        <is>
          <t>{1}{R}</t>
        </is>
      </c>
      <c r="F2200" s="11" t="inlineStr">
        <is>
          <t>Vermelho</t>
        </is>
      </c>
      <c r="G2200" s="8" t="n">
        <v>0.15</v>
      </c>
      <c r="H2200" s="11" t="inlineStr">
        <is>
          <t>Teenage Mutant Ninja Turtles (TMT)</t>
        </is>
      </c>
      <c r="I2200" s="11" t="inlineStr">
        <is>
          <t>Não</t>
        </is>
      </c>
      <c r="J2200" s="11" t="n">
        <v>2026</v>
      </c>
      <c r="L2200" s="11" t="n">
        <v>1</v>
      </c>
      <c r="M2200" s="8">
        <f>L2200*G2200</f>
        <v/>
      </c>
      <c r="P2200" s="9" t="n"/>
    </row>
    <row r="2201">
      <c r="A2201" s="11" t="inlineStr">
        <is>
          <t>April O'Neil, Kunoichi Trainee</t>
        </is>
      </c>
      <c r="B2201" s="11" t="inlineStr">
        <is>
          <t>Legendary Creature — Human Ninja</t>
        </is>
      </c>
      <c r="C2201" s="11" t="inlineStr">
        <is>
          <t>Common / Comum</t>
        </is>
      </c>
      <c r="D2201" s="11" t="inlineStr">
        <is>
          <t>When April O'Neil enters, scry 2. (Look at the top two cards of your library, then put any number of them on the bottom and the rest on top in any order.) April O'Neil can't be blocked by creatures with power 3 or greater.</t>
        </is>
      </c>
      <c r="E2201" s="11" t="inlineStr">
        <is>
          <t>{1}{W}</t>
        </is>
      </c>
      <c r="F2201" s="11" t="inlineStr">
        <is>
          <t>Branco</t>
        </is>
      </c>
      <c r="G2201" s="8" t="n">
        <v>0.1</v>
      </c>
      <c r="H2201" s="11" t="inlineStr">
        <is>
          <t>Teenage Mutant Ninja Turtles (TMT)</t>
        </is>
      </c>
      <c r="I2201" s="11" t="inlineStr">
        <is>
          <t>Não</t>
        </is>
      </c>
      <c r="J2201" s="11" t="n">
        <v>2026</v>
      </c>
      <c r="K2201" s="10" t="n">
        <v>46055</v>
      </c>
      <c r="L2201" s="11" t="n">
        <v>5</v>
      </c>
      <c r="M2201" s="8">
        <f>L2201*G2201</f>
        <v/>
      </c>
      <c r="P2201" s="9" t="n"/>
    </row>
    <row r="2202">
      <c r="A2202" s="11" t="inlineStr">
        <is>
          <t>East Wind Avatar</t>
        </is>
      </c>
      <c r="B2202" s="11" t="inlineStr">
        <is>
          <t>Creature — Bird Spirit Avatar</t>
        </is>
      </c>
      <c r="C2202" s="11" t="inlineStr">
        <is>
          <t>Common / Comum</t>
        </is>
      </c>
      <c r="D2202" s="11" t="inlineStr">
        <is>
          <t>Flying, vigilance Alliance — Whenever another creature you control enters, this creature gets +1/+0 until end of turn.</t>
        </is>
      </c>
      <c r="E2202" s="11" t="inlineStr">
        <is>
          <t>{3}{W}</t>
        </is>
      </c>
      <c r="F2202" s="11" t="inlineStr">
        <is>
          <t>Branco</t>
        </is>
      </c>
      <c r="G2202" s="8" t="n">
        <v>0.1</v>
      </c>
      <c r="H2202" s="11" t="inlineStr">
        <is>
          <t>Teenage Mutant Ninja Turtles (TMT)</t>
        </is>
      </c>
      <c r="I2202" s="11" t="inlineStr">
        <is>
          <t>Não</t>
        </is>
      </c>
      <c r="J2202" s="11" t="n">
        <v>2026</v>
      </c>
      <c r="K2202" s="10" t="n">
        <v>46114</v>
      </c>
      <c r="L2202" s="11" t="n">
        <v>4</v>
      </c>
      <c r="M2202" s="8">
        <f>L2202*G2202</f>
        <v/>
      </c>
      <c r="P2202" s="9" t="n"/>
    </row>
    <row r="2203">
      <c r="A2203" s="11" t="inlineStr">
        <is>
          <t>The Last Ronin's Technique</t>
        </is>
      </c>
      <c r="B2203" s="11" t="inlineStr">
        <is>
          <t>Instant</t>
        </is>
      </c>
      <c r="C2203" s="11" t="inlineStr">
        <is>
          <t>Uncommon / Incomum</t>
        </is>
      </c>
      <c r="D2203" s="11" t="inlineStr">
        <is>
          <t>Sneak {1}{W} (You may cast this spell for {1}{W} if you also return an unblocked attacker you control to hand during the declare blockers step.) Create three 1/1 white Ninja Turtle Spirit creature tokens. If this spell's sneak cost was paid, they enter tapped and attacking.</t>
        </is>
      </c>
      <c r="E2203" s="11" t="inlineStr">
        <is>
          <t>{3}{W}</t>
        </is>
      </c>
      <c r="F2203" s="11" t="inlineStr">
        <is>
          <t>Branco</t>
        </is>
      </c>
      <c r="G2203" s="8" t="n">
        <v>0.2</v>
      </c>
      <c r="H2203" s="11" t="inlineStr">
        <is>
          <t>Teenage Mutant Ninja Turtles (TMT)</t>
        </is>
      </c>
      <c r="I2203" s="11" t="inlineStr">
        <is>
          <t>Não</t>
        </is>
      </c>
      <c r="J2203" s="11" t="n">
        <v>2026</v>
      </c>
      <c r="L2203" s="11" t="n">
        <v>2</v>
      </c>
      <c r="M2203" s="8">
        <f>L2203*G2203</f>
        <v/>
      </c>
      <c r="P2203" s="9" t="n"/>
    </row>
    <row r="2204">
      <c r="A2204" s="11" t="inlineStr">
        <is>
          <t>Featherbrained Filcher</t>
        </is>
      </c>
      <c r="B2204" s="11" t="inlineStr">
        <is>
          <t>Creature — Bird Mutant</t>
        </is>
      </c>
      <c r="C2204" s="11" t="inlineStr">
        <is>
          <t>Uncommon / Incomum</t>
        </is>
      </c>
      <c r="D2204" s="11" t="inlineStr">
        <is>
          <t>Flying When this creature leaves the battlefield, create a Food token. (It's an artifact with "{2}, {T}, Sacrifice this token: You gain 3 life.")</t>
        </is>
      </c>
      <c r="E2204" s="11" t="inlineStr">
        <is>
          <t>{W}</t>
        </is>
      </c>
      <c r="F2204" s="11" t="inlineStr">
        <is>
          <t>Branco</t>
        </is>
      </c>
      <c r="G2204" s="8" t="n">
        <v>0.11</v>
      </c>
      <c r="H2204" s="11" t="inlineStr">
        <is>
          <t>Teenage Mutant Ninja Turtles (TMT)</t>
        </is>
      </c>
      <c r="I2204" s="11" t="inlineStr">
        <is>
          <t>Não</t>
        </is>
      </c>
      <c r="J2204" s="11" t="n">
        <v>2026</v>
      </c>
      <c r="K2204" s="11" t="inlineStr">
        <is>
          <t>0/2</t>
        </is>
      </c>
      <c r="L2204" s="11" t="n">
        <v>2</v>
      </c>
      <c r="M2204" s="8">
        <f>L2204*G2204</f>
        <v/>
      </c>
      <c r="P2204" s="9" t="n"/>
    </row>
    <row r="2205">
      <c r="A2205" s="11" t="inlineStr">
        <is>
          <t>Mighty Mutanimals</t>
        </is>
      </c>
      <c r="B2205" s="11" t="inlineStr">
        <is>
          <t>Creature — Mutant Rebel</t>
        </is>
      </c>
      <c r="C2205" s="11" t="inlineStr">
        <is>
          <t>Uncommon / Incomum</t>
        </is>
      </c>
      <c r="D2205" s="11" t="inlineStr">
        <is>
          <t>When this creature enters, create a 2/2 red Mutant creature token. Alliance — Whenever another creature you control enters, put a +1/+1 counter on target creature you control.</t>
        </is>
      </c>
      <c r="E2205" s="11" t="inlineStr">
        <is>
          <t>{2}{W}{W}</t>
        </is>
      </c>
      <c r="F2205" s="11" t="inlineStr">
        <is>
          <t>Branco</t>
        </is>
      </c>
      <c r="G2205" s="8" t="n">
        <v>0.15</v>
      </c>
      <c r="H2205" s="11" t="inlineStr">
        <is>
          <t>Teenage Mutant Ninja Turtles (TMT)</t>
        </is>
      </c>
      <c r="I2205" s="11" t="inlineStr">
        <is>
          <t>Não</t>
        </is>
      </c>
      <c r="J2205" s="11" t="n">
        <v>2026</v>
      </c>
      <c r="K2205" s="10" t="n">
        <v>46024</v>
      </c>
      <c r="L2205" s="11" t="n">
        <v>2</v>
      </c>
      <c r="M2205" s="8">
        <f>L2205*G2205</f>
        <v/>
      </c>
      <c r="P2205" s="9" t="n"/>
    </row>
    <row r="2206">
      <c r="A2206" s="11" t="inlineStr">
        <is>
          <t>Quintessential Katana</t>
        </is>
      </c>
      <c r="B2206" s="11" t="inlineStr">
        <is>
          <t>Artifact — Equipment</t>
        </is>
      </c>
      <c r="C2206" s="11" t="inlineStr">
        <is>
          <t>Uncommon / Incomum</t>
        </is>
      </c>
      <c r="D2206" s="11" t="inlineStr">
        <is>
          <t>Equipped creature gets +1/+1 and has "Whenever this creature deals combat damage, untap it and you gain 2 life." Whenever a Ninja you control enters, you may attach this Equipment to it. Equip {2} ({2}: Attach to target creature you control. Equip only as a sorcery.)</t>
        </is>
      </c>
      <c r="E2206" s="11" t="inlineStr">
        <is>
          <t>{W}</t>
        </is>
      </c>
      <c r="F2206" s="11" t="inlineStr">
        <is>
          <t>Branco</t>
        </is>
      </c>
      <c r="G2206" s="8" t="n">
        <v>0.17</v>
      </c>
      <c r="H2206" s="11" t="inlineStr">
        <is>
          <t>Teenage Mutant Ninja Turtles (TMT)</t>
        </is>
      </c>
      <c r="I2206" s="11" t="inlineStr">
        <is>
          <t>Não</t>
        </is>
      </c>
      <c r="J2206" s="11" t="n">
        <v>2026</v>
      </c>
      <c r="L2206" s="11" t="n">
        <v>1</v>
      </c>
      <c r="M2206" s="8">
        <f>L2206*G2206</f>
        <v/>
      </c>
      <c r="P2206" s="9" t="n"/>
    </row>
    <row r="2207">
      <c r="A2207" s="11" t="inlineStr">
        <is>
          <t>Make Your Move / Faça Sua Jogada</t>
        </is>
      </c>
      <c r="B2207" s="11" t="inlineStr">
        <is>
          <t>Instant / Mágica Instantânea</t>
        </is>
      </c>
      <c r="C2207" s="11" t="inlineStr">
        <is>
          <t>Common / Comum</t>
        </is>
      </c>
      <c r="D2207" s="11" t="inlineStr">
        <is>
          <t>Destroy target artifact, enchantment, or creature with power 4 or greater. / Destrua o artefato, o encantamento ou a criatura com poder igual ou superior a 4 alvo.</t>
        </is>
      </c>
      <c r="E2207" s="11" t="inlineStr">
        <is>
          <t>{2}{W}</t>
        </is>
      </c>
      <c r="F2207" s="11" t="inlineStr">
        <is>
          <t>Branco</t>
        </is>
      </c>
      <c r="G2207" s="8" t="n">
        <v>0.05</v>
      </c>
      <c r="H2207" s="11" t="inlineStr">
        <is>
          <t>Teenage Mutant Ninja Turtles (TMT)</t>
        </is>
      </c>
      <c r="I2207" s="11" t="inlineStr">
        <is>
          <t>Não</t>
        </is>
      </c>
      <c r="J2207" s="11" t="n">
        <v>2026</v>
      </c>
      <c r="L2207" s="11" t="n">
        <v>6</v>
      </c>
      <c r="M2207" s="8">
        <f>L2207*G2207</f>
        <v/>
      </c>
      <c r="P2207" s="9" t="n"/>
    </row>
    <row r="2208">
      <c r="A2208" s="11" t="inlineStr">
        <is>
          <t>Lita, Little Orphan Amphibian</t>
        </is>
      </c>
      <c r="B2208" s="11" t="inlineStr">
        <is>
          <t>Legendary Creature — Mutant Ninja Turtle</t>
        </is>
      </c>
      <c r="C2208" s="11" t="inlineStr">
        <is>
          <t>Uncommon / Incomum</t>
        </is>
      </c>
      <c r="D2208" s="11" t="inlineStr">
        <is>
          <t>Alliance — Whenever another creature you control enters, choose one that hasn't been chosen this turn. • Put a +1/+1 counter on Lita. • Create a Food token. (It's an artifact with "{2}, {T}, Sacrifice this token: You gain 3 life.") • Scry 1.</t>
        </is>
      </c>
      <c r="E2208" s="11" t="inlineStr">
        <is>
          <t>{1}{W}</t>
        </is>
      </c>
      <c r="F2208" s="11" t="inlineStr">
        <is>
          <t>Branco</t>
        </is>
      </c>
      <c r="G2208" s="8" t="n">
        <v>0.1</v>
      </c>
      <c r="H2208" s="11" t="inlineStr">
        <is>
          <t>Teenage Mutant Ninja Turtles (TMT)</t>
        </is>
      </c>
      <c r="I2208" s="11" t="inlineStr">
        <is>
          <t>Não</t>
        </is>
      </c>
      <c r="J2208" s="11" t="n">
        <v>2026</v>
      </c>
      <c r="K2208" s="10" t="n">
        <v>46024</v>
      </c>
      <c r="L2208" s="11" t="n">
        <v>4</v>
      </c>
      <c r="M2208" s="8">
        <f>L2208*G2208</f>
        <v/>
      </c>
      <c r="P2208" s="9" t="n"/>
    </row>
    <row r="2209">
      <c r="A2209" s="11" t="inlineStr">
        <is>
          <t>Agent Bishop, Man in Black</t>
        </is>
      </c>
      <c r="B2209" s="11" t="inlineStr">
        <is>
          <t>Legendary Creature — Human Soldier</t>
        </is>
      </c>
      <c r="C2209" s="11" t="inlineStr">
        <is>
          <t>Rare / Rara</t>
        </is>
      </c>
      <c r="D2209" s="11" t="inlineStr">
        <is>
          <t>At the beginning of combat on your turn, put a +1/+1 counter on each of up to two target creatures.</t>
        </is>
      </c>
      <c r="E2209" s="11" t="inlineStr">
        <is>
          <t>{2}{W}</t>
        </is>
      </c>
      <c r="F2209" s="11" t="inlineStr">
        <is>
          <t>Branco</t>
        </is>
      </c>
      <c r="G2209" s="8" t="n">
        <v>0.32</v>
      </c>
      <c r="H2209" s="11" t="inlineStr">
        <is>
          <t>Teenage Mutant Ninja Turtles (TMT)</t>
        </is>
      </c>
      <c r="I2209" s="11" t="inlineStr">
        <is>
          <t>Não</t>
        </is>
      </c>
      <c r="J2209" s="11" t="n">
        <v>2026</v>
      </c>
      <c r="K2209" s="10" t="n">
        <v>46054</v>
      </c>
      <c r="L2209" s="11" t="n">
        <v>1</v>
      </c>
      <c r="M2209" s="8">
        <f>L2209*G2209</f>
        <v/>
      </c>
      <c r="P2209" s="9" t="n"/>
    </row>
    <row r="2210">
      <c r="A2210" s="11" t="inlineStr">
        <is>
          <t>Agent Bishop, Man in Black</t>
        </is>
      </c>
      <c r="B2210" s="11" t="inlineStr">
        <is>
          <t>Legendary Creature — Human Soldier</t>
        </is>
      </c>
      <c r="C2210" s="11" t="inlineStr">
        <is>
          <t>Rare / Rara</t>
        </is>
      </c>
      <c r="D2210" s="11" t="inlineStr">
        <is>
          <t>At the beginning of combat on your turn, put a +1/+1 counter on each of up to two target creatures.</t>
        </is>
      </c>
      <c r="E2210" s="11" t="inlineStr">
        <is>
          <t>{2}{W}</t>
        </is>
      </c>
      <c r="F2210" s="11" t="inlineStr">
        <is>
          <t>Branco</t>
        </is>
      </c>
      <c r="G2210" s="8" t="n">
        <v>0.92</v>
      </c>
      <c r="H2210" s="11" t="inlineStr">
        <is>
          <t>Teenage Mutant Ninja Turtles (TMT)</t>
        </is>
      </c>
      <c r="I2210" s="11" t="inlineStr">
        <is>
          <t>Sim</t>
        </is>
      </c>
      <c r="J2210" s="11" t="n">
        <v>2026</v>
      </c>
      <c r="K2210" s="10" t="n">
        <v>46054</v>
      </c>
      <c r="L2210" s="11" t="n">
        <v>1</v>
      </c>
      <c r="M2210" s="8">
        <f>L2210*G2210</f>
        <v/>
      </c>
      <c r="P2210" s="9" t="n"/>
    </row>
    <row r="2211">
      <c r="A2211" s="11" t="inlineStr">
        <is>
          <t>Uneasy Alliance</t>
        </is>
      </c>
      <c r="B2211" s="11" t="inlineStr">
        <is>
          <t>Enchantment — Aura</t>
        </is>
      </c>
      <c r="C2211" s="11" t="inlineStr">
        <is>
          <t>Common / Comum</t>
        </is>
      </c>
      <c r="D2211" s="11" t="inlineStr">
        <is>
          <t>Enchant creature Enchanted creature can't attack or block. {5}, Sacrifice this Aura: Exile enchanted creature. You create a 1/1 black Ninja creature token. Activate only as a sorcery.</t>
        </is>
      </c>
      <c r="E2211" s="11" t="inlineStr">
        <is>
          <t>{1}{W}</t>
        </is>
      </c>
      <c r="F2211" s="11" t="inlineStr">
        <is>
          <t>Branco</t>
        </is>
      </c>
      <c r="G2211" s="8" t="n">
        <v>0.1</v>
      </c>
      <c r="H2211" s="11" t="inlineStr">
        <is>
          <t>Teenage Mutant Ninja Turtles (TMT)</t>
        </is>
      </c>
      <c r="I2211" s="11" t="inlineStr">
        <is>
          <t>Não</t>
        </is>
      </c>
      <c r="J2211" s="11" t="n">
        <v>2026</v>
      </c>
      <c r="L2211" s="11" t="n">
        <v>1</v>
      </c>
      <c r="M2211" s="8">
        <f>L2211*G2211</f>
        <v/>
      </c>
      <c r="P2211" s="9" t="n"/>
    </row>
    <row r="2212">
      <c r="A2212" s="11" t="inlineStr">
        <is>
          <t>Uneasy Alliance</t>
        </is>
      </c>
      <c r="B2212" s="11" t="inlineStr">
        <is>
          <t>Enchantment — Aura</t>
        </is>
      </c>
      <c r="C2212" s="11" t="inlineStr">
        <is>
          <t>Common / Comum</t>
        </is>
      </c>
      <c r="D2212" s="11" t="inlineStr">
        <is>
          <t>Enchant creature Enchanted creature can't attack or block. {5}, Sacrifice this Aura: Exile enchanted creature. You create a 1/1 black Ninja creature token. Activate only as a sorcery.</t>
        </is>
      </c>
      <c r="E2212" s="11" t="inlineStr">
        <is>
          <t>{1}{W}</t>
        </is>
      </c>
      <c r="F2212" s="11" t="inlineStr">
        <is>
          <t>Branco</t>
        </is>
      </c>
      <c r="G2212" s="8" t="n">
        <v>0.23</v>
      </c>
      <c r="H2212" s="11" t="inlineStr">
        <is>
          <t>Teenage Mutant Ninja Turtles (TMT)</t>
        </is>
      </c>
      <c r="I2212" s="11" t="inlineStr">
        <is>
          <t>Sim</t>
        </is>
      </c>
      <c r="J2212" s="11" t="n">
        <v>2026</v>
      </c>
      <c r="L2212" s="11" t="n">
        <v>1</v>
      </c>
      <c r="M2212" s="8">
        <f>L2212*G2212</f>
        <v/>
      </c>
      <c r="P2212" s="9" t="n"/>
    </row>
    <row r="2213">
      <c r="A2213" s="11" t="inlineStr">
        <is>
          <t>High-Flying Ace</t>
        </is>
      </c>
      <c r="B2213" s="11" t="inlineStr">
        <is>
          <t>Creature — Bird Mutant</t>
        </is>
      </c>
      <c r="C2213" s="11" t="inlineStr">
        <is>
          <t>Common / Comum</t>
        </is>
      </c>
      <c r="D2213" s="11" t="inlineStr">
        <is>
          <t>Flying {3}{W}: Target creature without flying gains flying until end of turn. Activate only as a sorcery.</t>
        </is>
      </c>
      <c r="E2213" s="11" t="inlineStr">
        <is>
          <t>{2}{W}</t>
        </is>
      </c>
      <c r="F2213" s="11" t="inlineStr">
        <is>
          <t>Branco</t>
        </is>
      </c>
      <c r="G2213" s="8" t="n">
        <v>0.05</v>
      </c>
      <c r="H2213" s="11" t="inlineStr">
        <is>
          <t>Teenage Mutant Ninja Turtles (TMT)</t>
        </is>
      </c>
      <c r="I2213" s="11" t="inlineStr">
        <is>
          <t>Não</t>
        </is>
      </c>
      <c r="J2213" s="11" t="n">
        <v>2026</v>
      </c>
      <c r="K2213" s="10" t="n">
        <v>46083</v>
      </c>
      <c r="L2213" s="11" t="n">
        <v>7</v>
      </c>
      <c r="M2213" s="8">
        <f>L2213*G2213</f>
        <v/>
      </c>
      <c r="P2213" s="9" t="n"/>
    </row>
    <row r="2214">
      <c r="A2214" s="11" t="inlineStr">
        <is>
          <t>Koya, Death from Above</t>
        </is>
      </c>
      <c r="B2214" s="11" t="inlineStr">
        <is>
          <t>Legendary Creature — Mutant Ninja Bird</t>
        </is>
      </c>
      <c r="C2214" s="11" t="inlineStr">
        <is>
          <t>Uncommon / Incomum</t>
        </is>
      </c>
      <c r="D2214" s="11" t="inlineStr">
        <is>
          <t>Flying When Koya enters, exile up to one other target creature. At the beginning of the next end step, you may pay {3}{B}. If you don't, return that card to the battlefield under its owner's control.</t>
        </is>
      </c>
      <c r="E2214" s="11" t="inlineStr">
        <is>
          <t>{2}{W}</t>
        </is>
      </c>
      <c r="F2214" s="11" t="inlineStr">
        <is>
          <t>Branco</t>
        </is>
      </c>
      <c r="G2214" s="8" t="n">
        <v>0.08</v>
      </c>
      <c r="H2214" s="11" t="inlineStr">
        <is>
          <t>Teenage Mutant Ninja Turtles (TMT)</t>
        </is>
      </c>
      <c r="I2214" s="11" t="inlineStr">
        <is>
          <t>Não</t>
        </is>
      </c>
      <c r="J2214" s="11" t="n">
        <v>2026</v>
      </c>
      <c r="K2214" s="10" t="n">
        <v>46024</v>
      </c>
      <c r="L2214" s="11" t="n">
        <v>1</v>
      </c>
      <c r="M2214" s="8">
        <f>L2214*G2214</f>
        <v/>
      </c>
      <c r="P2214" s="9" t="n"/>
    </row>
    <row r="2215">
      <c r="A2215" s="11" t="inlineStr">
        <is>
          <t>Dimensional Exile</t>
        </is>
      </c>
      <c r="B2215" s="11" t="inlineStr">
        <is>
          <t>Enchantment — Aura</t>
        </is>
      </c>
      <c r="C2215" s="11" t="inlineStr">
        <is>
          <t>Uncommon / Incomum</t>
        </is>
      </c>
      <c r="D2215" s="11" t="inlineStr">
        <is>
          <t>Enchant basic land you control When this Aura enters, exile target creature an opponent controls until this Aura leaves the battlefield.</t>
        </is>
      </c>
      <c r="E2215" s="11" t="inlineStr">
        <is>
          <t>{1}{W}</t>
        </is>
      </c>
      <c r="F2215" s="11" t="inlineStr">
        <is>
          <t>Branco</t>
        </is>
      </c>
      <c r="G2215" s="8" t="n">
        <v>0.18</v>
      </c>
      <c r="H2215" s="11" t="inlineStr">
        <is>
          <t>Teenage Mutant Ninja Turtles (TMT)</t>
        </is>
      </c>
      <c r="I2215" s="11" t="inlineStr">
        <is>
          <t>Não</t>
        </is>
      </c>
      <c r="J2215" s="11" t="n">
        <v>2026</v>
      </c>
      <c r="L2215" s="11" t="n">
        <v>1</v>
      </c>
      <c r="M2215" s="8">
        <f>L2215*G2215</f>
        <v/>
      </c>
      <c r="P2215" s="9" t="n"/>
    </row>
    <row r="2216">
      <c r="A2216" s="11" t="inlineStr">
        <is>
          <t>Dimensional Exile</t>
        </is>
      </c>
      <c r="B2216" s="11" t="inlineStr">
        <is>
          <t>Enchantment — Aura</t>
        </is>
      </c>
      <c r="C2216" s="11" t="inlineStr">
        <is>
          <t>Uncommon / Incomum</t>
        </is>
      </c>
      <c r="D2216" s="11" t="inlineStr">
        <is>
          <t>Enchant basic land you control When this Aura enters, exile target creature an opponent controls until this Aura leaves the battlefield.</t>
        </is>
      </c>
      <c r="E2216" s="11" t="inlineStr">
        <is>
          <t>{1}{W}</t>
        </is>
      </c>
      <c r="F2216" s="11" t="inlineStr">
        <is>
          <t>Branco</t>
        </is>
      </c>
      <c r="G2216" s="8" t="n">
        <v>0.25</v>
      </c>
      <c r="H2216" s="11" t="inlineStr">
        <is>
          <t>Teenage Mutant Ninja Turtles (TMT)</t>
        </is>
      </c>
      <c r="I2216" s="11" t="inlineStr">
        <is>
          <t>Sim</t>
        </is>
      </c>
      <c r="J2216" s="11" t="n">
        <v>2026</v>
      </c>
      <c r="L2216" s="11" t="n">
        <v>1</v>
      </c>
      <c r="M2216" s="8">
        <f>L2216*G2216</f>
        <v/>
      </c>
      <c r="P2216" s="9" t="n"/>
    </row>
    <row r="2217">
      <c r="A2217" s="11" t="inlineStr">
        <is>
          <t>Hamato Guardian Stance</t>
        </is>
      </c>
      <c r="B2217" s="11" t="inlineStr">
        <is>
          <t>Instant</t>
        </is>
      </c>
      <c r="C2217" s="11" t="inlineStr">
        <is>
          <t>Common / Comum</t>
        </is>
      </c>
      <c r="D2217" s="11" t="inlineStr">
        <is>
          <t>Target creature gets +1/+3 and gains flying until end of turn. Scry 1. (Look at the top card of your library. You may put that card on the bottom.)</t>
        </is>
      </c>
      <c r="E2217" s="11" t="inlineStr">
        <is>
          <t>{W}</t>
        </is>
      </c>
      <c r="F2217" s="11" t="inlineStr">
        <is>
          <t>Branco</t>
        </is>
      </c>
      <c r="G2217" s="8" t="n">
        <v>0.05</v>
      </c>
      <c r="H2217" s="11" t="inlineStr">
        <is>
          <t>Teenage Mutant Ninja Turtles (TMT)</t>
        </is>
      </c>
      <c r="I2217" s="11" t="inlineStr">
        <is>
          <t>Não</t>
        </is>
      </c>
      <c r="J2217" s="11" t="n">
        <v>2026</v>
      </c>
      <c r="L2217" s="11" t="n">
        <v>5</v>
      </c>
      <c r="M2217" s="8">
        <f>L2217*G2217</f>
        <v/>
      </c>
      <c r="P2217" s="9" t="n"/>
    </row>
    <row r="2218">
      <c r="A2218" s="11" t="inlineStr">
        <is>
          <t>Leonardo, Big Brother</t>
        </is>
      </c>
      <c r="B2218" s="11" t="inlineStr">
        <is>
          <t>Legendary Creature — Mutant Ninja Turtle</t>
        </is>
      </c>
      <c r="C2218" s="11" t="inlineStr">
        <is>
          <t>Common / Comum</t>
        </is>
      </c>
      <c r="D2218" s="11" t="inlineStr">
        <is>
          <t>Sneak {W} (You may cast this spell for {W} if you also return an unblocked attacker you control to hand during the declare blockers step. He enters tapped and attacking.) Leonardo gets +1/+0 for each other creature you control.</t>
        </is>
      </c>
      <c r="E2218" s="11" t="inlineStr">
        <is>
          <t>{2}{W}</t>
        </is>
      </c>
      <c r="F2218" s="11" t="inlineStr">
        <is>
          <t>Branco</t>
        </is>
      </c>
      <c r="G2218" s="8" t="n">
        <v>1.7</v>
      </c>
      <c r="H2218" s="11" t="inlineStr">
        <is>
          <t>Teenage Mutant Ninja Turtles (TMT)</t>
        </is>
      </c>
      <c r="I2218" s="11" t="inlineStr">
        <is>
          <t>Não</t>
        </is>
      </c>
      <c r="J2218" s="11" t="n">
        <v>2026</v>
      </c>
      <c r="K2218" s="10" t="n">
        <v>46082</v>
      </c>
      <c r="L2218" s="11" t="n">
        <v>1</v>
      </c>
      <c r="M2218" s="8">
        <f>L2218*G2218</f>
        <v/>
      </c>
      <c r="P2218" s="9" t="n"/>
    </row>
    <row r="2219">
      <c r="A2219" s="11" t="inlineStr">
        <is>
          <t>Leonardo, Leader in Blue</t>
        </is>
      </c>
      <c r="B2219" s="11" t="inlineStr">
        <is>
          <t>Legendary Creature — Mutant Ninja Turtle</t>
        </is>
      </c>
      <c r="C2219" s="11" t="inlineStr">
        <is>
          <t>Uncommon / Incomum</t>
        </is>
      </c>
      <c r="D2219" s="11" t="inlineStr">
        <is>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is>
      </c>
      <c r="E2219" s="11" t="inlineStr">
        <is>
          <t>{W}</t>
        </is>
      </c>
      <c r="F2219" s="11" t="inlineStr">
        <is>
          <t>Branco</t>
        </is>
      </c>
      <c r="G2219" s="8" t="n">
        <v>0.6</v>
      </c>
      <c r="H2219" s="11" t="inlineStr">
        <is>
          <t>Teenage Mutant Ninja Turtles (TMT)</t>
        </is>
      </c>
      <c r="I2219" s="11" t="inlineStr">
        <is>
          <t>Sim</t>
        </is>
      </c>
      <c r="J2219" s="11" t="n">
        <v>2026</v>
      </c>
      <c r="K2219" s="10" t="n">
        <v>46024</v>
      </c>
      <c r="L2219" s="11" t="n">
        <v>1</v>
      </c>
      <c r="M2219" s="8">
        <f>L2219*G2219</f>
        <v/>
      </c>
      <c r="P2219" s="9" t="n"/>
    </row>
    <row r="2220">
      <c r="A2220" s="11" t="inlineStr">
        <is>
          <t>Jennika, Bad Apple Big Sister</t>
        </is>
      </c>
      <c r="B2220" s="11" t="inlineStr">
        <is>
          <t>Legendary Creature — Mutant Ninja Turtle</t>
        </is>
      </c>
      <c r="C2220" s="11" t="inlineStr">
        <is>
          <t>Common / Comum</t>
        </is>
      </c>
      <c r="D2220" s="11" t="inlineStr">
        <is>
          <t>When Jennika enters, create a 2/2 red Mutant creature token. Plainscycling {2} ({2}, Discard this card: Search your library for a Plains card, reveal it, put it into your hand, then shuffle.)</t>
        </is>
      </c>
      <c r="E2220" s="11" t="inlineStr">
        <is>
          <t>{4}{W}</t>
        </is>
      </c>
      <c r="F2220" s="11" t="inlineStr">
        <is>
          <t>Branco</t>
        </is>
      </c>
      <c r="G2220" s="8" t="n">
        <v>0.1</v>
      </c>
      <c r="H2220" s="11" t="inlineStr">
        <is>
          <t>Teenage Mutant Ninja Turtles (TMT)</t>
        </is>
      </c>
      <c r="I2220" s="11" t="inlineStr">
        <is>
          <t>Não</t>
        </is>
      </c>
      <c r="J2220" s="11" t="n">
        <v>2026</v>
      </c>
      <c r="K2220" s="10" t="n">
        <v>46084</v>
      </c>
      <c r="L2220" s="11" t="n">
        <v>3</v>
      </c>
      <c r="M2220" s="8">
        <f>L2220*G2220</f>
        <v/>
      </c>
      <c r="P2220" s="9" t="n"/>
    </row>
    <row r="2221">
      <c r="A2221" s="11" t="inlineStr">
        <is>
          <t>Jennika, Bad Apple Big Sister</t>
        </is>
      </c>
      <c r="B2221" s="11" t="inlineStr">
        <is>
          <t>Legendary Creature — Mutant Ninja Turtle</t>
        </is>
      </c>
      <c r="C2221" s="11" t="inlineStr">
        <is>
          <t>Common / Comum</t>
        </is>
      </c>
      <c r="D2221" s="11" t="inlineStr">
        <is>
          <t>When Jennika enters, create a 2/2 red Mutant creature token. Plainscycling {2} ({2}, Discard this card: Search your library for a Plains card, reveal it, put it into your hand, then shuffle.)</t>
        </is>
      </c>
      <c r="E2221" s="11" t="inlineStr">
        <is>
          <t>{4}{W}</t>
        </is>
      </c>
      <c r="F2221" s="11" t="inlineStr">
        <is>
          <t>Branco</t>
        </is>
      </c>
      <c r="G2221" s="8" t="n">
        <v>0.15</v>
      </c>
      <c r="H2221" s="11" t="inlineStr">
        <is>
          <t>Teenage Mutant Ninja Turtles (TMT)</t>
        </is>
      </c>
      <c r="I2221" s="11" t="inlineStr">
        <is>
          <t>Sim</t>
        </is>
      </c>
      <c r="J2221" s="11" t="n">
        <v>2026</v>
      </c>
      <c r="K2221" s="10" t="n">
        <v>46084</v>
      </c>
      <c r="L2221" s="11" t="n">
        <v>1</v>
      </c>
      <c r="M2221" s="8">
        <f>L2221*G2221</f>
        <v/>
      </c>
      <c r="P2221" s="9" t="n"/>
    </row>
    <row r="2222">
      <c r="A2222" s="11" t="inlineStr">
        <is>
          <t>Grounded for Life</t>
        </is>
      </c>
      <c r="B2222" s="11" t="inlineStr">
        <is>
          <t>Instant</t>
        </is>
      </c>
      <c r="C2222" s="11" t="inlineStr">
        <is>
          <t>Common / Comum</t>
        </is>
      </c>
      <c r="D2222" s="11" t="inlineStr">
        <is>
          <t>This spell costs {3} less to cast if it targets a tapped creature. Destroy target creature.</t>
        </is>
      </c>
      <c r="E2222" s="11" t="inlineStr">
        <is>
          <t>{4}{W}</t>
        </is>
      </c>
      <c r="F2222" s="11" t="inlineStr">
        <is>
          <t>Branco</t>
        </is>
      </c>
      <c r="G2222" s="8" t="n">
        <v>0.1</v>
      </c>
      <c r="H2222" s="11" t="inlineStr">
        <is>
          <t>Teenage Mutant Ninja Turtles (TMT)</t>
        </is>
      </c>
      <c r="I2222" s="11" t="inlineStr">
        <is>
          <t>Não</t>
        </is>
      </c>
      <c r="J2222" s="11" t="n">
        <v>2026</v>
      </c>
      <c r="L2222" s="11" t="n">
        <v>4</v>
      </c>
      <c r="M2222" s="8">
        <f>L2222*G2222</f>
        <v/>
      </c>
      <c r="P2222" s="9" t="n"/>
    </row>
    <row r="2223">
      <c r="A2223" s="11" t="inlineStr">
        <is>
          <t>Plains / Planície</t>
        </is>
      </c>
      <c r="B2223" s="11" t="inlineStr">
        <is>
          <t>Basic Land — Plains / Terreno Básico — Planície</t>
        </is>
      </c>
      <c r="C2223" s="11" t="inlineStr">
        <is>
          <t>Common / Comum</t>
        </is>
      </c>
      <c r="D2223" s="11" t="inlineStr">
        <is>
          <t>({T}: Add {W}.) / W</t>
        </is>
      </c>
      <c r="F2223" s="11" t="inlineStr">
        <is>
          <t>Branco</t>
        </is>
      </c>
      <c r="G2223" s="8" t="n">
        <v>0.2</v>
      </c>
      <c r="H2223" s="11" t="inlineStr">
        <is>
          <t>Journey into Nyx (JOU)</t>
        </is>
      </c>
      <c r="I2223" s="11" t="inlineStr">
        <is>
          <t>Não</t>
        </is>
      </c>
      <c r="J2223" s="11" t="n">
        <v>2014</v>
      </c>
      <c r="L2223" s="11" t="n">
        <v>1</v>
      </c>
      <c r="M2223" s="8">
        <f>L2223*G2223</f>
        <v/>
      </c>
      <c r="P2223" s="9" t="n"/>
    </row>
    <row r="2224">
      <c r="A2224" s="11" t="inlineStr">
        <is>
          <t>Plains / Planície</t>
        </is>
      </c>
      <c r="B2224" s="11" t="inlineStr">
        <is>
          <t>Basic Land — Plains / Terreno Básico — Planície</t>
        </is>
      </c>
      <c r="C2224" s="11" t="inlineStr">
        <is>
          <t>Common / Comum</t>
        </is>
      </c>
      <c r="D2224" s="11" t="inlineStr">
        <is>
          <t>({T}: Add {W}.) / W</t>
        </is>
      </c>
      <c r="F2224" s="11" t="inlineStr">
        <is>
          <t>Branco</t>
        </is>
      </c>
      <c r="G2224" s="8" t="n">
        <v>0.35</v>
      </c>
      <c r="H2224" s="11" t="inlineStr">
        <is>
          <t>Journey into Nyx (JOU)</t>
        </is>
      </c>
      <c r="I2224" s="11" t="inlineStr">
        <is>
          <t>Não</t>
        </is>
      </c>
      <c r="J2224" s="11" t="n">
        <v>2014</v>
      </c>
      <c r="L2224" s="11" t="n">
        <v>1</v>
      </c>
      <c r="M2224" s="8">
        <f>L2224*G2224</f>
        <v/>
      </c>
      <c r="P2224" s="9" t="n"/>
    </row>
    <row r="2225">
      <c r="A2225" s="11" t="inlineStr">
        <is>
          <t>Kruphix's Insight / Visão de Crufix</t>
        </is>
      </c>
      <c r="B2225" s="11" t="inlineStr">
        <is>
          <t>Sorcery / Feitiço</t>
        </is>
      </c>
      <c r="C2225" s="11" t="inlineStr">
        <is>
          <t>Common / Comum</t>
        </is>
      </c>
      <c r="D2225" s="11" t="inlineStr">
        <is>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is>
      </c>
      <c r="E2225" s="11" t="inlineStr">
        <is>
          <t>{2}{G}</t>
        </is>
      </c>
      <c r="F2225" s="11" t="inlineStr">
        <is>
          <t>Verde</t>
        </is>
      </c>
      <c r="G2225" s="8" t="n">
        <v>0.09</v>
      </c>
      <c r="H2225" s="11" t="inlineStr">
        <is>
          <t>Journey into Nyx (JOU)</t>
        </is>
      </c>
      <c r="I2225" s="11" t="inlineStr">
        <is>
          <t>Não</t>
        </is>
      </c>
      <c r="J2225" s="11" t="n">
        <v>2014</v>
      </c>
      <c r="L2225" s="11" t="n">
        <v>4</v>
      </c>
      <c r="M2225" s="8">
        <f>L2225*G2225</f>
        <v/>
      </c>
      <c r="P2225" s="9" t="n"/>
    </row>
    <row r="2226">
      <c r="A2226" s="11" t="inlineStr">
        <is>
          <t>Satyr Grovedancer / Sátiro Dançarino do Bosque</t>
        </is>
      </c>
      <c r="B2226" s="11" t="inlineStr">
        <is>
          <t>Creature — Satyr Shaman / Criatura — Sátiro Xamã</t>
        </is>
      </c>
      <c r="C2226" s="11" t="inlineStr">
        <is>
          <t>Common / Comum</t>
        </is>
      </c>
      <c r="D2226" s="11" t="inlineStr">
        <is>
          <t>When this creature enters, put a +1/+1 counter on target creature. / Quando Sátiro Dançarino do Bosque entrar no campo de batalha, coloque um marcador +1/+1 na criatura alvo.</t>
        </is>
      </c>
      <c r="E2226" s="11" t="inlineStr">
        <is>
          <t>{1}{G}</t>
        </is>
      </c>
      <c r="F2226" s="11" t="inlineStr">
        <is>
          <t>Verde</t>
        </is>
      </c>
      <c r="G2226" s="8" t="n">
        <v>0.03</v>
      </c>
      <c r="H2226" s="11" t="inlineStr">
        <is>
          <t>Journey into Nyx (JOU)</t>
        </is>
      </c>
      <c r="I2226" s="11" t="inlineStr">
        <is>
          <t>Não</t>
        </is>
      </c>
      <c r="J2226" s="11" t="n">
        <v>2014</v>
      </c>
      <c r="K2226" s="10" t="n">
        <v>46023</v>
      </c>
      <c r="L2226" s="11" t="n">
        <v>4</v>
      </c>
      <c r="M2226" s="8">
        <f>L2226*G2226</f>
        <v/>
      </c>
      <c r="P2226" s="9" t="n"/>
    </row>
    <row r="2227">
      <c r="A2227" s="11" t="inlineStr">
        <is>
          <t>Desecration Plague / Praga da Profanação</t>
        </is>
      </c>
      <c r="B2227" s="11" t="inlineStr">
        <is>
          <t>Sorcery / Feitiço</t>
        </is>
      </c>
      <c r="C2227" s="11" t="inlineStr">
        <is>
          <t>Common / Comum</t>
        </is>
      </c>
      <c r="D2227" s="11" t="inlineStr">
        <is>
          <t>Destroy target enchantment or land. / Destrua o encantamento ou terreno alvo.</t>
        </is>
      </c>
      <c r="E2227" s="11" t="inlineStr">
        <is>
          <t>{3}{G}</t>
        </is>
      </c>
      <c r="F2227" s="11" t="inlineStr">
        <is>
          <t>Verde</t>
        </is>
      </c>
      <c r="G2227" s="8" t="n">
        <v>0.03</v>
      </c>
      <c r="H2227" s="11" t="inlineStr">
        <is>
          <t>Journey into Nyx (JOU)</t>
        </is>
      </c>
      <c r="I2227" s="11" t="inlineStr">
        <is>
          <t>Não</t>
        </is>
      </c>
      <c r="J2227" s="11" t="n">
        <v>2014</v>
      </c>
      <c r="L2227" s="11" t="n">
        <v>4</v>
      </c>
      <c r="M2227" s="8">
        <f>L2227*G2227</f>
        <v/>
      </c>
      <c r="P2227" s="9" t="n"/>
    </row>
    <row r="2228">
      <c r="A2228" s="11" t="inlineStr">
        <is>
          <t>Goldenhide Ox / Boi do Couro Dourado</t>
        </is>
      </c>
      <c r="B2228" s="11" t="inlineStr">
        <is>
          <t>Enchantment Creature — Ox / Criatura Encantamento — Boi</t>
        </is>
      </c>
      <c r="C2228" s="11" t="inlineStr">
        <is>
          <t>Uncommon / Incomum</t>
        </is>
      </c>
      <c r="D2228" s="11" t="inlineStr">
        <is>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is>
      </c>
      <c r="E2228" s="11" t="inlineStr">
        <is>
          <t>{5}{G}</t>
        </is>
      </c>
      <c r="F2228" s="11" t="inlineStr">
        <is>
          <t>Verde</t>
        </is>
      </c>
      <c r="G2228" s="8" t="n">
        <v>0.05</v>
      </c>
      <c r="H2228" s="11" t="inlineStr">
        <is>
          <t>Journey into Nyx (JOU)</t>
        </is>
      </c>
      <c r="I2228" s="11" t="inlineStr">
        <is>
          <t>Não</t>
        </is>
      </c>
      <c r="J2228" s="11" t="n">
        <v>2014</v>
      </c>
      <c r="K2228" s="10" t="n">
        <v>46117</v>
      </c>
      <c r="L2228" s="11" t="n">
        <v>2</v>
      </c>
      <c r="M2228" s="8">
        <f>L2228*G2228</f>
        <v/>
      </c>
      <c r="P2228" s="9" t="n"/>
    </row>
    <row r="2229">
      <c r="A2229" s="11" t="inlineStr">
        <is>
          <t>Oakheart Dryads / Dríades Coração-de-carvalho</t>
        </is>
      </c>
      <c r="B2229" s="11" t="inlineStr">
        <is>
          <t>Enchantment Creature — Nymph Dryad / Criatura Encantamento — Ninfa Dríade</t>
        </is>
      </c>
      <c r="C2229" s="11" t="inlineStr">
        <is>
          <t>Common / Comum</t>
        </is>
      </c>
      <c r="D2229" s="11" t="inlineStr">
        <is>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is>
      </c>
      <c r="E2229" s="11" t="inlineStr">
        <is>
          <t>{2}{G}</t>
        </is>
      </c>
      <c r="F2229" s="11" t="inlineStr">
        <is>
          <t>Verde</t>
        </is>
      </c>
      <c r="G2229" s="8" t="n">
        <v>0.03</v>
      </c>
      <c r="H2229" s="11" t="inlineStr">
        <is>
          <t>Journey into Nyx (JOU)</t>
        </is>
      </c>
      <c r="I2229" s="11" t="inlineStr">
        <is>
          <t>Não</t>
        </is>
      </c>
      <c r="J2229" s="11" t="n">
        <v>2014</v>
      </c>
      <c r="K2229" s="10" t="n">
        <v>46083</v>
      </c>
      <c r="L2229" s="11" t="n">
        <v>5</v>
      </c>
      <c r="M2229" s="8">
        <f>L2229*G2229</f>
        <v/>
      </c>
      <c r="P2229" s="9" t="n"/>
    </row>
    <row r="2230">
      <c r="A2230" s="11" t="inlineStr">
        <is>
          <t>Reviving Melody / Melodia Restauradora</t>
        </is>
      </c>
      <c r="B2230" s="11" t="inlineStr">
        <is>
          <t>Sorcery / Feitiço</t>
        </is>
      </c>
      <c r="C2230" s="11" t="inlineStr">
        <is>
          <t>Uncommon / Incomum</t>
        </is>
      </c>
      <c r="D2230" s="11" t="inlineStr">
        <is>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is>
      </c>
      <c r="E2230" s="11" t="inlineStr">
        <is>
          <t>{2}{G}</t>
        </is>
      </c>
      <c r="F2230" s="11" t="inlineStr">
        <is>
          <t>Verde</t>
        </is>
      </c>
      <c r="G2230" s="8" t="n">
        <v>0.05</v>
      </c>
      <c r="H2230" s="11" t="inlineStr">
        <is>
          <t>Journey into Nyx (JOU)</t>
        </is>
      </c>
      <c r="I2230" s="11" t="inlineStr">
        <is>
          <t>Não</t>
        </is>
      </c>
      <c r="J2230" s="11" t="n">
        <v>2014</v>
      </c>
      <c r="L2230" s="11" t="n">
        <v>2</v>
      </c>
      <c r="M2230" s="8">
        <f>L2230*G2230</f>
        <v/>
      </c>
      <c r="P2230" s="9" t="n"/>
    </row>
    <row r="2231">
      <c r="A2231" s="11" t="inlineStr">
        <is>
          <t>Ravenous Leucrocota / Leucrócota Voraz</t>
        </is>
      </c>
      <c r="B2231" s="11" t="inlineStr">
        <is>
          <t>Creature — Beast / Criatura — Besta</t>
        </is>
      </c>
      <c r="C2231" s="11" t="inlineStr">
        <is>
          <t>Common / Comum</t>
        </is>
      </c>
      <c r="D2231" s="11" t="inlineStr">
        <is>
          <t>Vigilance {6}{G}: Monstrosity 3. (If this creature isn't monstrous, put three +1/+1 counters on it and it becomes monstrous.) / Vigilância {6}{G}: Monstruosidade 3. (Se esta criatura não for monstruosa, coloque três marcadores +1/+1 nela e ela se tornará monstruosa.)</t>
        </is>
      </c>
      <c r="E2231" s="11" t="inlineStr">
        <is>
          <t>{3}{G}</t>
        </is>
      </c>
      <c r="F2231" s="11" t="inlineStr">
        <is>
          <t>Verde</t>
        </is>
      </c>
      <c r="G2231" s="8" t="n">
        <v>0.03</v>
      </c>
      <c r="H2231" s="11" t="inlineStr">
        <is>
          <t>Journey into Nyx (JOU)</t>
        </is>
      </c>
      <c r="I2231" s="11" t="inlineStr">
        <is>
          <t>Não</t>
        </is>
      </c>
      <c r="J2231" s="11" t="n">
        <v>2014</v>
      </c>
      <c r="K2231" s="10" t="n">
        <v>46114</v>
      </c>
      <c r="L2231" s="11" t="n">
        <v>2</v>
      </c>
      <c r="M2231" s="8">
        <f>L2231*G2231</f>
        <v/>
      </c>
      <c r="P2231" s="9" t="n"/>
    </row>
    <row r="2232">
      <c r="A2232" s="11" t="inlineStr">
        <is>
          <t>Strength from the Fallen / Força dos Caídos</t>
        </is>
      </c>
      <c r="B2232" s="11" t="inlineStr">
        <is>
          <t>Enchantment / Encantamento</t>
        </is>
      </c>
      <c r="C2232" s="11" t="inlineStr">
        <is>
          <t>Uncommon / Incomum</t>
        </is>
      </c>
      <c r="D2232" s="11" t="inlineStr">
        <is>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is>
      </c>
      <c r="E2232" s="11" t="inlineStr">
        <is>
          <t>{1}{G}</t>
        </is>
      </c>
      <c r="F2232" s="11" t="inlineStr">
        <is>
          <t>Verde</t>
        </is>
      </c>
      <c r="G2232" s="8" t="n">
        <v>0.05</v>
      </c>
      <c r="H2232" s="11" t="inlineStr">
        <is>
          <t>Journey into Nyx (JOU)</t>
        </is>
      </c>
      <c r="I2232" s="11" t="inlineStr">
        <is>
          <t>Não</t>
        </is>
      </c>
      <c r="J2232" s="11" t="n">
        <v>2014</v>
      </c>
      <c r="L2232" s="11" t="n">
        <v>4</v>
      </c>
      <c r="M2232" s="8">
        <f>L2232*G2232</f>
        <v/>
      </c>
      <c r="P2232" s="9" t="n"/>
    </row>
    <row r="2233">
      <c r="A2233" s="11" t="inlineStr">
        <is>
          <t>Renowned Weaver / Tecedora Renomada</t>
        </is>
      </c>
      <c r="B2233" s="11" t="inlineStr">
        <is>
          <t>Creature — Human Shaman / Criatura — Humano Xamã</t>
        </is>
      </c>
      <c r="C2233" s="11" t="inlineStr">
        <is>
          <t>Common / Comum</t>
        </is>
      </c>
      <c r="D2233" s="11" t="inlineStr">
        <is>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is>
      </c>
      <c r="E2233" s="11" t="inlineStr">
        <is>
          <t>{G}</t>
        </is>
      </c>
      <c r="F2233" s="11" t="inlineStr">
        <is>
          <t>Verde</t>
        </is>
      </c>
      <c r="G2233" s="8" t="n">
        <v>0.03</v>
      </c>
      <c r="H2233" s="11" t="inlineStr">
        <is>
          <t>Journey into Nyx (JOU)</t>
        </is>
      </c>
      <c r="I2233" s="11" t="inlineStr">
        <is>
          <t>Não</t>
        </is>
      </c>
      <c r="J2233" s="11" t="n">
        <v>2014</v>
      </c>
      <c r="K2233" s="10" t="n">
        <v>46023</v>
      </c>
      <c r="L2233" s="11" t="n">
        <v>5</v>
      </c>
      <c r="M2233" s="8">
        <f>L2233*G2233</f>
        <v/>
      </c>
      <c r="P2233" s="9" t="n"/>
    </row>
    <row r="2234">
      <c r="A2234" s="11" t="inlineStr">
        <is>
          <t>Swarmborn Giant / Gigante do Enxame</t>
        </is>
      </c>
      <c r="B2234" s="11" t="inlineStr">
        <is>
          <t>Creature — Giant / Criatura — Gigante</t>
        </is>
      </c>
      <c r="C2234" s="11" t="inlineStr">
        <is>
          <t>Uncommon / Incomum</t>
        </is>
      </c>
      <c r="D2234" s="11" t="inlineStr">
        <is>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is>
      </c>
      <c r="E2234" s="11" t="inlineStr">
        <is>
          <t>{2}{G}{G}</t>
        </is>
      </c>
      <c r="F2234" s="11" t="inlineStr">
        <is>
          <t>Verde</t>
        </is>
      </c>
      <c r="G2234" s="8" t="n">
        <v>0.05</v>
      </c>
      <c r="H2234" s="11" t="inlineStr">
        <is>
          <t>Journey into Nyx (JOU)</t>
        </is>
      </c>
      <c r="I2234" s="11" t="inlineStr">
        <is>
          <t>Não</t>
        </is>
      </c>
      <c r="J2234" s="11" t="n">
        <v>2014</v>
      </c>
      <c r="K2234" s="10" t="n">
        <v>46179</v>
      </c>
      <c r="L2234" s="11" t="n">
        <v>1</v>
      </c>
      <c r="M2234" s="8">
        <f>L2234*G2234</f>
        <v/>
      </c>
      <c r="P2234" s="9" t="n"/>
    </row>
    <row r="2235">
      <c r="A2235" s="11" t="inlineStr">
        <is>
          <t>Golden Hind / Cerva Dourada</t>
        </is>
      </c>
      <c r="B2235" s="11" t="inlineStr">
        <is>
          <t>Creature — Elk / Criatura — Alce</t>
        </is>
      </c>
      <c r="C2235" s="11" t="inlineStr">
        <is>
          <t>Common / Comum</t>
        </is>
      </c>
      <c r="D2235" s="11" t="inlineStr">
        <is>
          <t>{T}: Add {G}. / {T}: Adicione {G} à sua reserva de mana.</t>
        </is>
      </c>
      <c r="E2235" s="11" t="inlineStr">
        <is>
          <t>{1}{G}</t>
        </is>
      </c>
      <c r="F2235" s="11" t="inlineStr">
        <is>
          <t>Verde</t>
        </is>
      </c>
      <c r="G2235" s="8" t="n">
        <v>0.03</v>
      </c>
      <c r="H2235" s="11" t="inlineStr">
        <is>
          <t>Journey into Nyx (JOU)</t>
        </is>
      </c>
      <c r="I2235" s="11" t="inlineStr">
        <is>
          <t>Não</t>
        </is>
      </c>
      <c r="J2235" s="11" t="n">
        <v>2014</v>
      </c>
      <c r="K2235" s="10" t="n">
        <v>46024</v>
      </c>
      <c r="L2235" s="11" t="n">
        <v>1</v>
      </c>
      <c r="M2235" s="8">
        <f>L2235*G2235</f>
        <v/>
      </c>
      <c r="P2235" s="9" t="n"/>
    </row>
    <row r="2236">
      <c r="A2236" s="11" t="inlineStr">
        <is>
          <t>Solidarity of Heroes / Solidariedade dos Heróis</t>
        </is>
      </c>
      <c r="B2236" s="11" t="inlineStr">
        <is>
          <t>Instant / Mágica Instantânea</t>
        </is>
      </c>
      <c r="C2236" s="11" t="inlineStr">
        <is>
          <t>Uncommon / Incomum</t>
        </is>
      </c>
      <c r="D2236" s="11" t="inlineStr">
        <is>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is>
      </c>
      <c r="E2236" s="11" t="inlineStr">
        <is>
          <t>{1}{G}</t>
        </is>
      </c>
      <c r="F2236" s="11" t="inlineStr">
        <is>
          <t>Verde</t>
        </is>
      </c>
      <c r="G2236" s="8" t="n">
        <v>0.86</v>
      </c>
      <c r="H2236" s="11" t="inlineStr">
        <is>
          <t>Commander 2016 (C16)</t>
        </is>
      </c>
      <c r="I2236" s="11" t="inlineStr">
        <is>
          <t>Não</t>
        </is>
      </c>
      <c r="J2236" s="11" t="n">
        <v>2016</v>
      </c>
      <c r="L2236" s="11" t="n">
        <v>1</v>
      </c>
      <c r="M2236" s="8">
        <f>L2236*G2236</f>
        <v/>
      </c>
      <c r="P2236" s="9" t="n"/>
    </row>
    <row r="2237">
      <c r="A2237" s="11" t="inlineStr">
        <is>
          <t>Bassara Tower Archer / Arqueiro da Torre de Bassara</t>
        </is>
      </c>
      <c r="B2237" s="11" t="inlineStr">
        <is>
          <t>Creature — Human Archer / Criatura — Humano Arqueiro</t>
        </is>
      </c>
      <c r="C2237" s="11" t="inlineStr">
        <is>
          <t>Uncommon / Incomum</t>
        </is>
      </c>
      <c r="D2237" s="11" t="inlineStr">
        <is>
          <t>Hexproof, reach / Resistência a magia, alcance</t>
        </is>
      </c>
      <c r="E2237" s="11" t="inlineStr">
        <is>
          <t>{G}{G}</t>
        </is>
      </c>
      <c r="F2237" s="11" t="inlineStr">
        <is>
          <t>Verde</t>
        </is>
      </c>
      <c r="G2237" s="8" t="n">
        <v>0.2</v>
      </c>
      <c r="H2237" s="11" t="inlineStr">
        <is>
          <t>Journey into Nyx (JOU)</t>
        </is>
      </c>
      <c r="I2237" s="11" t="inlineStr">
        <is>
          <t>Não</t>
        </is>
      </c>
      <c r="J2237" s="11" t="n">
        <v>2014</v>
      </c>
      <c r="K2237" s="10" t="n">
        <v>46024</v>
      </c>
      <c r="L2237" s="11" t="n">
        <v>1</v>
      </c>
      <c r="M2237" s="8">
        <f>L2237*G2237</f>
        <v/>
      </c>
      <c r="P2237" s="9" t="n"/>
    </row>
    <row r="2238">
      <c r="A2238" s="11" t="inlineStr">
        <is>
          <t>Font of Fertility / Fonte da Fertilidade</t>
        </is>
      </c>
      <c r="B2238" s="11" t="inlineStr">
        <is>
          <t>Enchantment / Encantamento</t>
        </is>
      </c>
      <c r="C2238" s="11" t="inlineStr">
        <is>
          <t>Common / Comum</t>
        </is>
      </c>
      <c r="D2238" s="11" t="inlineStr">
        <is>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is>
      </c>
      <c r="E2238" s="11" t="inlineStr">
        <is>
          <t>{G}</t>
        </is>
      </c>
      <c r="F2238" s="11" t="inlineStr">
        <is>
          <t>Verde</t>
        </is>
      </c>
      <c r="G2238" s="8" t="n">
        <v>0.03</v>
      </c>
      <c r="H2238" s="11" t="inlineStr">
        <is>
          <t>Journey into Nyx (JOU)</t>
        </is>
      </c>
      <c r="I2238" s="11" t="inlineStr">
        <is>
          <t>Não</t>
        </is>
      </c>
      <c r="J2238" s="11" t="n">
        <v>2014</v>
      </c>
      <c r="L2238" s="11" t="n">
        <v>1</v>
      </c>
      <c r="M2238" s="8">
        <f>L2238*G2238</f>
        <v/>
      </c>
      <c r="P2238" s="9" t="n"/>
    </row>
    <row r="2239">
      <c r="A2239" s="11" t="inlineStr">
        <is>
          <t>Pheres-Band Thunderhoof / Casco-de-trovão do Bando Feres</t>
        </is>
      </c>
      <c r="B2239" s="11" t="inlineStr">
        <is>
          <t>Creature — Centaur Warrior / Criatura — Centauro Guerreiro</t>
        </is>
      </c>
      <c r="C2239" s="11" t="inlineStr">
        <is>
          <t>Common / Comum</t>
        </is>
      </c>
      <c r="D2239" s="11" t="inlineStr">
        <is>
          <t>Heroic — Whenever you cast a spell that targets this creature, put two +1/+1 counters on this creature. / Heroico — Toda vez que você conjurar uma mágica cujo alvo seja Casco-de-trovão do Bando Feres, coloque dois marcadores +1/+1 em Casco-de-trovão do Bando Feres.</t>
        </is>
      </c>
      <c r="E2239" s="11" t="inlineStr">
        <is>
          <t>{4}{G}</t>
        </is>
      </c>
      <c r="F2239" s="11" t="inlineStr">
        <is>
          <t>Verde</t>
        </is>
      </c>
      <c r="G2239" s="8" t="n">
        <v>0.03</v>
      </c>
      <c r="H2239" s="11" t="inlineStr">
        <is>
          <t>Journey into Nyx (JOU)</t>
        </is>
      </c>
      <c r="I2239" s="11" t="inlineStr">
        <is>
          <t>Não</t>
        </is>
      </c>
      <c r="J2239" s="11" t="n">
        <v>2014</v>
      </c>
      <c r="K2239" s="10" t="n">
        <v>46115</v>
      </c>
      <c r="L2239" s="11" t="n">
        <v>1</v>
      </c>
      <c r="M2239" s="8">
        <f>L2239*G2239</f>
        <v/>
      </c>
      <c r="P2239" s="9" t="n"/>
    </row>
    <row r="2240">
      <c r="A2240" s="11" t="inlineStr">
        <is>
          <t>Stormchaser Chimera / Quimera Caçadora de Tempestade</t>
        </is>
      </c>
      <c r="B2240" s="11" t="inlineStr">
        <is>
          <t>Creature — Chimera / Criatura — Quimera</t>
        </is>
      </c>
      <c r="C2240" s="11" t="inlineStr">
        <is>
          <t>Uncommon / Incomum</t>
        </is>
      </c>
      <c r="D2240" s="11" t="inlineStr">
        <is>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is>
      </c>
      <c r="E2240" s="11" t="inlineStr">
        <is>
          <t>{2}{U}{R}</t>
        </is>
      </c>
      <c r="F2240" s="11" t="inlineStr">
        <is>
          <t>Vermelho, Azul</t>
        </is>
      </c>
      <c r="G2240" s="8" t="n">
        <v>0.05</v>
      </c>
      <c r="H2240" s="11" t="inlineStr">
        <is>
          <t>Journey into Nyx (JOU)</t>
        </is>
      </c>
      <c r="I2240" s="11" t="inlineStr">
        <is>
          <t>Não</t>
        </is>
      </c>
      <c r="J2240" s="11" t="n">
        <v>2014</v>
      </c>
      <c r="K2240" s="10" t="n">
        <v>46083</v>
      </c>
      <c r="L2240" s="11" t="n">
        <v>1</v>
      </c>
      <c r="M2240" s="8">
        <f>L2240*G2240</f>
        <v/>
      </c>
      <c r="P2240" s="9" t="n"/>
    </row>
    <row r="2241">
      <c r="A2241" s="11" t="inlineStr">
        <is>
          <t>Desperate Stand / Resistência Desesperada</t>
        </is>
      </c>
      <c r="B2241" s="11" t="inlineStr">
        <is>
          <t>Sorcery / Feitiço</t>
        </is>
      </c>
      <c r="C2241" s="11" t="inlineStr">
        <is>
          <t>Uncommon / Incomum</t>
        </is>
      </c>
      <c r="D2241" s="11" t="inlineStr">
        <is>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is>
      </c>
      <c r="E2241" s="11" t="inlineStr">
        <is>
          <t>{R}{W}</t>
        </is>
      </c>
      <c r="F2241" s="11" t="inlineStr">
        <is>
          <t>Vermelho, Branco</t>
        </is>
      </c>
      <c r="G2241" s="8" t="n">
        <v>0.05</v>
      </c>
      <c r="H2241" s="11" t="inlineStr">
        <is>
          <t>Journey into Nyx (JOU)</t>
        </is>
      </c>
      <c r="I2241" s="11" t="inlineStr">
        <is>
          <t>Não</t>
        </is>
      </c>
      <c r="J2241" s="11" t="n">
        <v>2014</v>
      </c>
      <c r="L2241" s="11" t="n">
        <v>4</v>
      </c>
      <c r="M2241" s="8">
        <f>L2241*G2241</f>
        <v/>
      </c>
      <c r="P2241" s="9" t="n"/>
    </row>
    <row r="2242">
      <c r="A2242" s="11" t="inlineStr">
        <is>
          <t>Disciple of Deceit / Discípulo da Enganação</t>
        </is>
      </c>
      <c r="B2242" s="11" t="inlineStr">
        <is>
          <t>Creature — Human Rogue / Criatura — Humano Ladino</t>
        </is>
      </c>
      <c r="C2242" s="11" t="inlineStr">
        <is>
          <t>Uncommon / Incomum</t>
        </is>
      </c>
      <c r="D2242" s="11" t="inlineStr">
        <is>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is>
      </c>
      <c r="E2242" s="11" t="inlineStr">
        <is>
          <t>{U}{B}</t>
        </is>
      </c>
      <c r="F2242" s="11" t="inlineStr">
        <is>
          <t>Preto, Azul</t>
        </is>
      </c>
      <c r="G2242" s="8" t="n">
        <v>0.11</v>
      </c>
      <c r="H2242" s="11" t="inlineStr">
        <is>
          <t>Journey into Nyx (JOU)</t>
        </is>
      </c>
      <c r="I2242" s="11" t="inlineStr">
        <is>
          <t>Não</t>
        </is>
      </c>
      <c r="J2242" s="11" t="n">
        <v>2014</v>
      </c>
      <c r="K2242" s="10" t="n">
        <v>46082</v>
      </c>
      <c r="L2242" s="11" t="n">
        <v>1</v>
      </c>
      <c r="M2242" s="8">
        <f>L2242*G2242</f>
        <v/>
      </c>
      <c r="P2242" s="9" t="n"/>
    </row>
    <row r="2243">
      <c r="A2243" s="11" t="inlineStr">
        <is>
          <t>Underworld Coinsmith / Moedeiro do Submundo</t>
        </is>
      </c>
      <c r="B2243" s="11" t="inlineStr">
        <is>
          <t>Enchantment Creature — Human Cleric / Criatura Encantamento — Humano Clérigo</t>
        </is>
      </c>
      <c r="C2243" s="11" t="inlineStr">
        <is>
          <t>Uncommon / Incomum</t>
        </is>
      </c>
      <c r="D2243" s="11" t="inlineStr">
        <is>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is>
      </c>
      <c r="E2243" s="11" t="inlineStr">
        <is>
          <t>{W}{B}</t>
        </is>
      </c>
      <c r="F2243" s="11" t="inlineStr">
        <is>
          <t>Preto, Branco</t>
        </is>
      </c>
      <c r="G2243" s="8" t="n">
        <v>0.05</v>
      </c>
      <c r="H2243" s="11" t="inlineStr">
        <is>
          <t>Journey into Nyx (JOU)</t>
        </is>
      </c>
      <c r="I2243" s="11" t="inlineStr">
        <is>
          <t>Não</t>
        </is>
      </c>
      <c r="J2243" s="11" t="n">
        <v>2014</v>
      </c>
      <c r="K2243" s="10" t="n">
        <v>46055</v>
      </c>
      <c r="L2243" s="11" t="n">
        <v>1</v>
      </c>
      <c r="M2243" s="8">
        <f>L2243*G2243</f>
        <v/>
      </c>
      <c r="P2243" s="9" t="n"/>
    </row>
    <row r="2244">
      <c r="A2244" s="11" t="inlineStr">
        <is>
          <t>Launch the Fleet / Lançar a Frota</t>
        </is>
      </c>
      <c r="B2244" s="11" t="inlineStr">
        <is>
          <t>Sorcery / Feitiço</t>
        </is>
      </c>
      <c r="C2244" s="11" t="inlineStr">
        <is>
          <t>Rare / Rara</t>
        </is>
      </c>
      <c r="D2244" s="11" t="inlineStr">
        <is>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is>
      </c>
      <c r="E2244" s="11" t="inlineStr">
        <is>
          <t>{W}</t>
        </is>
      </c>
      <c r="F2244" s="11" t="inlineStr">
        <is>
          <t>Branco</t>
        </is>
      </c>
      <c r="G2244" s="8" t="n">
        <v>0.3</v>
      </c>
      <c r="H2244" s="11" t="inlineStr">
        <is>
          <t>Journey into Nyx (JOU)</t>
        </is>
      </c>
      <c r="I2244" s="11" t="inlineStr">
        <is>
          <t>Não</t>
        </is>
      </c>
      <c r="J2244" s="11" t="n">
        <v>2014</v>
      </c>
      <c r="L2244" s="11" t="n">
        <v>2</v>
      </c>
      <c r="M2244" s="8">
        <f>L2244*G2244</f>
        <v/>
      </c>
      <c r="P2244" s="9" t="n"/>
    </row>
    <row r="2245">
      <c r="A2245" s="11" t="inlineStr">
        <is>
          <t>Lagonna-Band Trailblazer / Pioneira do Bando de Lagonna</t>
        </is>
      </c>
      <c r="B2245" s="11" t="inlineStr">
        <is>
          <t>Creature — Centaur Scout / Criatura — Centauro Batedor</t>
        </is>
      </c>
      <c r="C2245" s="11" t="inlineStr">
        <is>
          <t>Common / Comum</t>
        </is>
      </c>
      <c r="D2245" s="11" t="inlineStr">
        <is>
          <t>Heroic — Whenever you cast a spell that targets this creature, put a +1/+1 counter on it. / Heroico — Toda vez que você conjurar uma mágica que tenha como alvo Pioneira do Bando de Lagonna, coloque um marcador +1/+1 em Pioneira do Bando de Lagonna.</t>
        </is>
      </c>
      <c r="E2245" s="11" t="inlineStr">
        <is>
          <t>{W}</t>
        </is>
      </c>
      <c r="F2245" s="11" t="inlineStr">
        <is>
          <t>Branco</t>
        </is>
      </c>
      <c r="G2245" s="8" t="n">
        <v>0.64</v>
      </c>
      <c r="H2245" s="11" t="inlineStr">
        <is>
          <t>Journey into Nyx (JOU)</t>
        </is>
      </c>
      <c r="I2245" s="11" t="inlineStr">
        <is>
          <t>Não</t>
        </is>
      </c>
      <c r="J2245" s="11" t="n">
        <v>2014</v>
      </c>
      <c r="K2245" s="11" t="inlineStr">
        <is>
          <t>0/4</t>
        </is>
      </c>
      <c r="L2245" s="11" t="n">
        <v>5</v>
      </c>
      <c r="M2245" s="8">
        <f>L2245*G2245</f>
        <v/>
      </c>
      <c r="P2245" s="9" t="n"/>
    </row>
    <row r="2246">
      <c r="A2246" s="11" t="inlineStr">
        <is>
          <t>Stonewise Fortifier / Fortificador Petrisábio</t>
        </is>
      </c>
      <c r="B2246" s="11" t="inlineStr">
        <is>
          <t>Creature — Human Wizard / Criatura — Humano Mago</t>
        </is>
      </c>
      <c r="C2246" s="11" t="inlineStr">
        <is>
          <t>Common / Comum</t>
        </is>
      </c>
      <c r="D2246" s="11" t="inlineStr">
        <is>
          <t>{4}{W}: Prevent all damage that would be dealt to this creature by target creature this turn. / {4}{W}: Previna todo o dano que seria causado a Fortificador Petrisábio pela criatura alvo neste turno.</t>
        </is>
      </c>
      <c r="E2246" s="11" t="inlineStr">
        <is>
          <t>{1}{W}</t>
        </is>
      </c>
      <c r="F2246" s="11" t="inlineStr">
        <is>
          <t>Branco</t>
        </is>
      </c>
      <c r="G2246" s="8" t="n">
        <v>0.03</v>
      </c>
      <c r="H2246" s="11" t="inlineStr">
        <is>
          <t>Journey into Nyx (JOU)</t>
        </is>
      </c>
      <c r="I2246" s="11" t="inlineStr">
        <is>
          <t>Não</t>
        </is>
      </c>
      <c r="J2246" s="11" t="n">
        <v>2014</v>
      </c>
      <c r="K2246" s="10" t="n">
        <v>46055</v>
      </c>
      <c r="L2246" s="11" t="n">
        <v>3</v>
      </c>
      <c r="M2246" s="8">
        <f>L2246*G2246</f>
        <v/>
      </c>
      <c r="P2246" s="9" t="n"/>
    </row>
    <row r="2247">
      <c r="A2247" s="11" t="inlineStr">
        <is>
          <t>Mortal Obstinacy / Obstinação dos Mortais</t>
        </is>
      </c>
      <c r="B2247" s="11" t="inlineStr">
        <is>
          <t>Enchantment — Aura / Encantamento — Aura</t>
        </is>
      </c>
      <c r="C2247" s="11" t="inlineStr">
        <is>
          <t>Common / Comum</t>
        </is>
      </c>
      <c r="D2247" s="11" t="inlineStr">
        <is>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is>
      </c>
      <c r="E2247" s="11" t="inlineStr">
        <is>
          <t>{W}</t>
        </is>
      </c>
      <c r="F2247" s="11" t="inlineStr">
        <is>
          <t>Branco</t>
        </is>
      </c>
      <c r="G2247" s="8" t="n">
        <v>0.03</v>
      </c>
      <c r="H2247" s="11" t="inlineStr">
        <is>
          <t>Journey into Nyx (JOU)</t>
        </is>
      </c>
      <c r="I2247" s="11" t="inlineStr">
        <is>
          <t>Não</t>
        </is>
      </c>
      <c r="J2247" s="11" t="n">
        <v>2014</v>
      </c>
      <c r="L2247" s="11" t="n">
        <v>3</v>
      </c>
      <c r="M2247" s="8">
        <f>L2247*G2247</f>
        <v/>
      </c>
      <c r="P2247" s="9" t="n"/>
    </row>
    <row r="2248">
      <c r="A2248" s="11" t="inlineStr">
        <is>
          <t>Eidolon of Rhetoric / Eidolon da Retórica</t>
        </is>
      </c>
      <c r="B2248" s="11" t="inlineStr">
        <is>
          <t>Enchantment Creature — Spirit / Criatura Encantamento — Espírito</t>
        </is>
      </c>
      <c r="C2248" s="11" t="inlineStr">
        <is>
          <t>Uncommon / Incomum</t>
        </is>
      </c>
      <c r="D2248" s="11" t="inlineStr">
        <is>
          <t>Each player can't cast more than one spell each turn. / Cada jogador não pode conjurar mais de uma mágica a cada turno.</t>
        </is>
      </c>
      <c r="E2248" s="11" t="inlineStr">
        <is>
          <t>{2}{W}</t>
        </is>
      </c>
      <c r="F2248" s="11" t="inlineStr">
        <is>
          <t>Branco</t>
        </is>
      </c>
      <c r="G2248" s="8" t="n">
        <v>6.5</v>
      </c>
      <c r="H2248" s="11" t="inlineStr">
        <is>
          <t>Journey into Nyx (JOU)</t>
        </is>
      </c>
      <c r="I2248" s="11" t="inlineStr">
        <is>
          <t>Não</t>
        </is>
      </c>
      <c r="J2248" s="11" t="n">
        <v>2014</v>
      </c>
      <c r="K2248" s="10" t="n">
        <v>46113</v>
      </c>
      <c r="L2248" s="11" t="n">
        <v>2</v>
      </c>
      <c r="M2248" s="8">
        <f>L2248*G2248</f>
        <v/>
      </c>
      <c r="P2248" s="9" t="n"/>
    </row>
    <row r="2249">
      <c r="A2249" s="11" t="inlineStr">
        <is>
          <t>Font of Vigor / Fonte do Vigor</t>
        </is>
      </c>
      <c r="B2249" s="11" t="inlineStr">
        <is>
          <t>Enchantment / Encantamento</t>
        </is>
      </c>
      <c r="C2249" s="11" t="inlineStr">
        <is>
          <t>Common / Comum</t>
        </is>
      </c>
      <c r="D2249" s="11" t="inlineStr">
        <is>
          <t>{2}{W}, Sacrifice this enchantment: You gain 7 life. / {2}{W}, Sacrifique Fonte do Vigor: Você ganha 7 pontos de vida.</t>
        </is>
      </c>
      <c r="E2249" s="11" t="inlineStr">
        <is>
          <t>{1}{W}</t>
        </is>
      </c>
      <c r="F2249" s="11" t="inlineStr">
        <is>
          <t>Branco</t>
        </is>
      </c>
      <c r="G2249" s="8" t="n">
        <v>0.03</v>
      </c>
      <c r="H2249" s="11" t="inlineStr">
        <is>
          <t>Journey into Nyx (JOU)</t>
        </is>
      </c>
      <c r="I2249" s="11" t="inlineStr">
        <is>
          <t>Não</t>
        </is>
      </c>
      <c r="J2249" s="11" t="n">
        <v>2014</v>
      </c>
      <c r="L2249" s="11" t="n">
        <v>2</v>
      </c>
      <c r="M2249" s="8">
        <f>L2249*G2249</f>
        <v/>
      </c>
      <c r="P2249" s="9" t="n"/>
    </row>
    <row r="2250">
      <c r="A2250" s="11" t="inlineStr">
        <is>
          <t>Supply-Line Cranes / Grous de Suprimento</t>
        </is>
      </c>
      <c r="B2250" s="11" t="inlineStr">
        <is>
          <t>Creature — Bird / Criatura — Ave</t>
        </is>
      </c>
      <c r="C2250" s="11" t="inlineStr">
        <is>
          <t>Common / Comum</t>
        </is>
      </c>
      <c r="D2250" s="11" t="inlineStr">
        <is>
          <t>Flying When this creature enters, put a +1/+1 counter on target creature. / Voar Quando Grous de Suprimento entrar no campo de batalha, coloque um marcador +1/+1 na criatura alvo.</t>
        </is>
      </c>
      <c r="E2250" s="11" t="inlineStr">
        <is>
          <t>{3}{W}{W}</t>
        </is>
      </c>
      <c r="F2250" s="11" t="inlineStr">
        <is>
          <t>Branco</t>
        </is>
      </c>
      <c r="G2250" s="8" t="n">
        <v>0.03</v>
      </c>
      <c r="H2250" s="11" t="inlineStr">
        <is>
          <t>Journey into Nyx (JOU)</t>
        </is>
      </c>
      <c r="I2250" s="11" t="inlineStr">
        <is>
          <t>Não</t>
        </is>
      </c>
      <c r="J2250" s="11" t="n">
        <v>2014</v>
      </c>
      <c r="K2250" s="10" t="n">
        <v>46114</v>
      </c>
      <c r="L2250" s="11" t="n">
        <v>2</v>
      </c>
      <c r="M2250" s="8">
        <f>L2250*G2250</f>
        <v/>
      </c>
      <c r="P2250" s="9" t="n"/>
    </row>
    <row r="2251">
      <c r="A2251" s="11" t="inlineStr">
        <is>
          <t>Akroan Mastiff / Mastim Acrosano</t>
        </is>
      </c>
      <c r="B2251" s="11" t="inlineStr">
        <is>
          <t>Creature — Dog / Criatura — Sabujo</t>
        </is>
      </c>
      <c r="C2251" s="11" t="inlineStr">
        <is>
          <t>Common / Comum</t>
        </is>
      </c>
      <c r="D2251" s="11" t="inlineStr">
        <is>
          <t>{W}, {T}: Tap target creature. / {W}, {T}: Vire a criatura alvo.</t>
        </is>
      </c>
      <c r="E2251" s="11" t="inlineStr">
        <is>
          <t>{3}{W}</t>
        </is>
      </c>
      <c r="F2251" s="11" t="inlineStr">
        <is>
          <t>Branco</t>
        </is>
      </c>
      <c r="G2251" s="8" t="n">
        <v>0.03</v>
      </c>
      <c r="H2251" s="11" t="inlineStr">
        <is>
          <t>Journey into Nyx (JOU)</t>
        </is>
      </c>
      <c r="I2251" s="11" t="inlineStr">
        <is>
          <t>Não</t>
        </is>
      </c>
      <c r="J2251" s="11" t="n">
        <v>2014</v>
      </c>
      <c r="K2251" s="10" t="n">
        <v>46055</v>
      </c>
      <c r="L2251" s="11" t="n">
        <v>5</v>
      </c>
      <c r="M2251" s="8">
        <f>L2251*G2251</f>
        <v/>
      </c>
      <c r="P2251" s="9" t="n"/>
    </row>
    <row r="2252">
      <c r="A2252" s="11" t="inlineStr">
        <is>
          <t>Nyx-Fleece Ram / Carneiro Velocino-de-Nyx</t>
        </is>
      </c>
      <c r="B2252" s="11" t="inlineStr">
        <is>
          <t>Enchantment Creature — Sheep / Criatura Encantamento — Ovelha</t>
        </is>
      </c>
      <c r="C2252" s="11" t="inlineStr">
        <is>
          <t>Uncommon / Incomum</t>
        </is>
      </c>
      <c r="D2252" s="11" t="inlineStr">
        <is>
          <t>At the beginning of your upkeep, you gain 1 life. / No início de sua manutenção, você ganha 1 ponto de vida.</t>
        </is>
      </c>
      <c r="E2252" s="11" t="inlineStr">
        <is>
          <t>{1}{W}</t>
        </is>
      </c>
      <c r="F2252" s="11" t="inlineStr">
        <is>
          <t>Branco</t>
        </is>
      </c>
      <c r="G2252" s="8" t="n">
        <v>0.44</v>
      </c>
      <c r="H2252" s="11" t="inlineStr">
        <is>
          <t>Historic Anthology 2 (HA2)</t>
        </is>
      </c>
      <c r="I2252" s="11" t="inlineStr">
        <is>
          <t>Não</t>
        </is>
      </c>
      <c r="J2252" s="11" t="n">
        <v>2020</v>
      </c>
      <c r="K2252" s="11" t="inlineStr">
        <is>
          <t>0/5</t>
        </is>
      </c>
      <c r="L2252" s="11" t="n">
        <v>2</v>
      </c>
      <c r="M2252" s="8">
        <f>L2252*G2252</f>
        <v/>
      </c>
      <c r="P2252" s="9" t="n"/>
    </row>
    <row r="2253">
      <c r="A2253" s="11" t="inlineStr">
        <is>
          <t>Oppressive Rays / Raios Opressores</t>
        </is>
      </c>
      <c r="B2253" s="11" t="inlineStr">
        <is>
          <t>Enchantment — Aura / Encantamento — Aura</t>
        </is>
      </c>
      <c r="C2253" s="11" t="inlineStr">
        <is>
          <t>Common / Comum</t>
        </is>
      </c>
      <c r="D2253" s="11" t="inlineStr">
        <is>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is>
      </c>
      <c r="E2253" s="11" t="inlineStr">
        <is>
          <t>{W}</t>
        </is>
      </c>
      <c r="F2253" s="11" t="inlineStr">
        <is>
          <t>Branco</t>
        </is>
      </c>
      <c r="G2253" s="8" t="n">
        <v>0.03</v>
      </c>
      <c r="H2253" s="11" t="inlineStr">
        <is>
          <t>Journey into Nyx (JOU)</t>
        </is>
      </c>
      <c r="I2253" s="11" t="inlineStr">
        <is>
          <t>Não</t>
        </is>
      </c>
      <c r="J2253" s="11" t="n">
        <v>2014</v>
      </c>
      <c r="L2253" s="11" t="n">
        <v>5</v>
      </c>
      <c r="M2253" s="8">
        <f>L2253*G2253</f>
        <v/>
      </c>
      <c r="P2253" s="9" t="n"/>
    </row>
    <row r="2254">
      <c r="A2254" s="11" t="inlineStr">
        <is>
          <t>Harvestguard Alseids / Alseídes da Colheita</t>
        </is>
      </c>
      <c r="B2254" s="11" t="inlineStr">
        <is>
          <t>Enchantment Creature — Nymph / Criatura Encantamento — Ninfa</t>
        </is>
      </c>
      <c r="C2254" s="11" t="inlineStr">
        <is>
          <t>Common / Comum</t>
        </is>
      </c>
      <c r="D2254" s="11" t="inlineStr">
        <is>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is>
      </c>
      <c r="E2254" s="11" t="inlineStr">
        <is>
          <t>{2}{W}</t>
        </is>
      </c>
      <c r="F2254" s="11" t="inlineStr">
        <is>
          <t>Branco</t>
        </is>
      </c>
      <c r="G2254" s="8" t="n">
        <v>0.03</v>
      </c>
      <c r="H2254" s="11" t="inlineStr">
        <is>
          <t>Journey into Nyx (JOU)</t>
        </is>
      </c>
      <c r="I2254" s="11" t="inlineStr">
        <is>
          <t>Não</t>
        </is>
      </c>
      <c r="J2254" s="11" t="n">
        <v>2014</v>
      </c>
      <c r="K2254" s="10" t="n">
        <v>46083</v>
      </c>
      <c r="L2254" s="11" t="n">
        <v>2</v>
      </c>
      <c r="M2254" s="8">
        <f>L2254*G2254</f>
        <v/>
      </c>
      <c r="P2254" s="9" t="n"/>
    </row>
    <row r="2255">
      <c r="A2255" s="11" t="inlineStr">
        <is>
          <t>Armament of Nyx / Armamento de Nyx</t>
        </is>
      </c>
      <c r="B2255" s="11" t="inlineStr">
        <is>
          <t>Enchantment — Aura / Encantamento — Aura</t>
        </is>
      </c>
      <c r="C2255" s="11" t="inlineStr">
        <is>
          <t>Common / Comum</t>
        </is>
      </c>
      <c r="D2255" s="11" t="inlineStr">
        <is>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is>
      </c>
      <c r="E2255" s="11" t="inlineStr">
        <is>
          <t>{2}{W}</t>
        </is>
      </c>
      <c r="F2255" s="11" t="inlineStr">
        <is>
          <t>Branco</t>
        </is>
      </c>
      <c r="G2255" s="8" t="n">
        <v>0.06</v>
      </c>
      <c r="H2255" s="11" t="inlineStr">
        <is>
          <t>Journey into Nyx (JOU)</t>
        </is>
      </c>
      <c r="I2255" s="11" t="inlineStr">
        <is>
          <t>Não</t>
        </is>
      </c>
      <c r="J2255" s="11" t="n">
        <v>2014</v>
      </c>
      <c r="L2255" s="11" t="n">
        <v>2</v>
      </c>
      <c r="M2255" s="8">
        <f>L2255*G2255</f>
        <v/>
      </c>
      <c r="P2255" s="9" t="n"/>
    </row>
    <row r="2256">
      <c r="A2256" s="11" t="inlineStr">
        <is>
          <t>Ajani's Presence / Presença de Ajani</t>
        </is>
      </c>
      <c r="B2256" s="11" t="inlineStr">
        <is>
          <t>Instant / Mágica Instantânea</t>
        </is>
      </c>
      <c r="C2256" s="11" t="inlineStr">
        <is>
          <t>Common / Comum</t>
        </is>
      </c>
      <c r="D2256" s="11" t="inlineStr">
        <is>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is>
      </c>
      <c r="E2256" s="11" t="inlineStr">
        <is>
          <t>{W}</t>
        </is>
      </c>
      <c r="F2256" s="11" t="inlineStr">
        <is>
          <t>Branco</t>
        </is>
      </c>
      <c r="G2256" s="8" t="n">
        <v>0.08</v>
      </c>
      <c r="H2256" s="11" t="inlineStr">
        <is>
          <t>Journey into Nyx (JOU)</t>
        </is>
      </c>
      <c r="I2256" s="11" t="inlineStr">
        <is>
          <t>Não</t>
        </is>
      </c>
      <c r="J2256" s="11" t="n">
        <v>2014</v>
      </c>
      <c r="L2256" s="11" t="n">
        <v>5</v>
      </c>
      <c r="M2256" s="8">
        <f>L2256*G2256</f>
        <v/>
      </c>
      <c r="P2256" s="9" t="n"/>
    </row>
    <row r="2257">
      <c r="A2257" s="11" t="inlineStr">
        <is>
          <t>Dictate of Heliod / Decreto de Heliode</t>
        </is>
      </c>
      <c r="B2257" s="11" t="inlineStr">
        <is>
          <t>Enchantment / Encantamento</t>
        </is>
      </c>
      <c r="C2257" s="11" t="inlineStr">
        <is>
          <t>Rare / Rara</t>
        </is>
      </c>
      <c r="D2257" s="11" t="inlineStr">
        <is>
          <t>Flash Creatures you control get +2/+2. / Lampejo As criaturas que você controla recebem +2/+2.</t>
        </is>
      </c>
      <c r="E2257" s="11" t="inlineStr">
        <is>
          <t>{3}{W}{W}</t>
        </is>
      </c>
      <c r="F2257" s="11" t="inlineStr">
        <is>
          <t>Branco</t>
        </is>
      </c>
      <c r="G2257" s="8" t="n">
        <v>0.68</v>
      </c>
      <c r="H2257" s="11" t="inlineStr">
        <is>
          <t>The List (PLST)</t>
        </is>
      </c>
      <c r="I2257" s="11" t="inlineStr">
        <is>
          <t>Não</t>
        </is>
      </c>
      <c r="J2257" s="11" t="n">
        <v>2019</v>
      </c>
      <c r="L2257" s="11" t="n">
        <v>2</v>
      </c>
      <c r="M2257" s="8">
        <f>L2257*G2257</f>
        <v/>
      </c>
      <c r="P2257" s="9" t="n"/>
    </row>
    <row r="2258">
      <c r="A2258" s="11" t="inlineStr">
        <is>
          <t>Eagle of the Watch / Águia da Vigia</t>
        </is>
      </c>
      <c r="B2258" s="11" t="inlineStr">
        <is>
          <t>Creature — Bird / Criatura — Ave</t>
        </is>
      </c>
      <c r="C2258" s="11" t="inlineStr">
        <is>
          <t>Common / Comum</t>
        </is>
      </c>
      <c r="D2258" s="11" t="inlineStr">
        <is>
          <t>Flying, vigilance / Voar, vigilância</t>
        </is>
      </c>
      <c r="E2258" s="11" t="inlineStr">
        <is>
          <t>{2}{W}</t>
        </is>
      </c>
      <c r="F2258" s="11" t="inlineStr">
        <is>
          <t>Branco</t>
        </is>
      </c>
      <c r="G2258" s="8" t="n">
        <v>0.03</v>
      </c>
      <c r="H2258" s="11" t="inlineStr">
        <is>
          <t>Journey into Nyx (JOU)</t>
        </is>
      </c>
      <c r="I2258" s="11" t="inlineStr">
        <is>
          <t>Não</t>
        </is>
      </c>
      <c r="J2258" s="11" t="n">
        <v>2014</v>
      </c>
      <c r="K2258" s="10" t="n">
        <v>46024</v>
      </c>
      <c r="L2258" s="11" t="n">
        <v>3</v>
      </c>
      <c r="M2258" s="8">
        <f>L2258*G2258</f>
        <v/>
      </c>
      <c r="P2258" s="9" t="n"/>
    </row>
    <row r="2259">
      <c r="A2259" s="11" t="inlineStr">
        <is>
          <t>Skyspear Cavalry / Cavalaria da Lança Celeste</t>
        </is>
      </c>
      <c r="B2259" s="11" t="inlineStr">
        <is>
          <t>Creature — Human Soldier / Criatura — Humano Soldado</t>
        </is>
      </c>
      <c r="C2259" s="11" t="inlineStr">
        <is>
          <t>Common / Comum</t>
        </is>
      </c>
      <c r="D2259" s="11" t="inlineStr">
        <is>
          <t>Flying Double strike (This creature deals both first-strike and regular combat damage.) / Voar Golpe duplo (Esta criatura causa tanto o dano de iniciativa quanto o de combate normal.)</t>
        </is>
      </c>
      <c r="E2259" s="11" t="inlineStr">
        <is>
          <t>{3}{W}{W}</t>
        </is>
      </c>
      <c r="F2259" s="11" t="inlineStr">
        <is>
          <t>Branco</t>
        </is>
      </c>
      <c r="G2259" s="8" t="n">
        <v>0.06</v>
      </c>
      <c r="H2259" s="11" t="inlineStr">
        <is>
          <t>Ultimate Masters (UMA)</t>
        </is>
      </c>
      <c r="I2259" s="11" t="inlineStr">
        <is>
          <t>Não</t>
        </is>
      </c>
      <c r="J2259" s="11" t="n">
        <v>2018</v>
      </c>
      <c r="K2259" s="10" t="n">
        <v>46055</v>
      </c>
      <c r="L2259" s="11" t="n">
        <v>1</v>
      </c>
      <c r="M2259" s="8">
        <f>L2259*G2259</f>
        <v/>
      </c>
      <c r="P2259" s="9" t="n"/>
    </row>
    <row r="2260">
      <c r="A2260" s="11" t="inlineStr">
        <is>
          <t>Quarry Colossus / Colosso da Pedreira</t>
        </is>
      </c>
      <c r="B2260" s="11" t="inlineStr">
        <is>
          <t>Creature — Giant / Criatura — Gigante</t>
        </is>
      </c>
      <c r="C2260" s="11" t="inlineStr">
        <is>
          <t>Uncommon / Incomum</t>
        </is>
      </c>
      <c r="D2260" s="11" t="inlineStr">
        <is>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is>
      </c>
      <c r="E2260" s="11" t="inlineStr">
        <is>
          <t>{5}{W}{W}</t>
        </is>
      </c>
      <c r="F2260" s="11" t="inlineStr">
        <is>
          <t>Branco</t>
        </is>
      </c>
      <c r="G2260" s="8" t="n">
        <v>0.05</v>
      </c>
      <c r="H2260" s="11" t="inlineStr">
        <is>
          <t>Journey into Nyx (JOU)</t>
        </is>
      </c>
      <c r="I2260" s="11" t="inlineStr">
        <is>
          <t>Não</t>
        </is>
      </c>
      <c r="J2260" s="11" t="n">
        <v>2014</v>
      </c>
      <c r="K2260" s="10" t="n">
        <v>46178</v>
      </c>
      <c r="L2260" s="11" t="n">
        <v>1</v>
      </c>
      <c r="M2260" s="8">
        <f>L2260*G2260</f>
        <v/>
      </c>
      <c r="P2260" s="9" t="n"/>
    </row>
    <row r="2261">
      <c r="A2261" s="11" t="inlineStr">
        <is>
          <t>Phalanx Formation / Formação de Falange</t>
        </is>
      </c>
      <c r="B2261" s="11" t="inlineStr">
        <is>
          <t>Instant / Mágica Instantânea</t>
        </is>
      </c>
      <c r="C2261" s="11" t="inlineStr">
        <is>
          <t>Uncommon / Incomum</t>
        </is>
      </c>
      <c r="D2261" s="11" t="inlineStr">
        <is>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is>
      </c>
      <c r="E2261" s="11" t="inlineStr">
        <is>
          <t>{2}{W}</t>
        </is>
      </c>
      <c r="F2261" s="11" t="inlineStr">
        <is>
          <t>Branco</t>
        </is>
      </c>
      <c r="G2261" s="8" t="n">
        <v>0.05</v>
      </c>
      <c r="H2261" s="11" t="inlineStr">
        <is>
          <t>Journey into Nyx (JOU)</t>
        </is>
      </c>
      <c r="I2261" s="11" t="inlineStr">
        <is>
          <t>Não</t>
        </is>
      </c>
      <c r="J2261" s="11" t="n">
        <v>2014</v>
      </c>
      <c r="L2261" s="11" t="n">
        <v>1</v>
      </c>
      <c r="M2261" s="8">
        <f>L2261*G2261</f>
        <v/>
      </c>
      <c r="P2261" s="9" t="n"/>
    </row>
    <row r="2262">
      <c r="A2262" s="11" t="inlineStr">
        <is>
          <t>Agent of Erebos / Agente de Érebo</t>
        </is>
      </c>
      <c r="B2262" s="11" t="inlineStr">
        <is>
          <t>Enchantment Creature — Zombie / Criatura Encantamento — Zumbi</t>
        </is>
      </c>
      <c r="C2262" s="11" t="inlineStr">
        <is>
          <t>Uncommon / Incomum</t>
        </is>
      </c>
      <c r="D2262" s="11" t="inlineStr">
        <is>
          <t>Constellation — Whenever this creature or another enchantment you control enters, exile target player's graveyard. / Constelação — Toda vez que Agente de Érebo ou outro encantamento entrar no campo de batalha sob seu controle, exile todos os cards do cemitério do jogador alvo.</t>
        </is>
      </c>
      <c r="E2262" s="11" t="inlineStr">
        <is>
          <t>{3}{B}</t>
        </is>
      </c>
      <c r="F2262" s="11" t="inlineStr">
        <is>
          <t>Preto</t>
        </is>
      </c>
      <c r="G2262" s="8" t="n">
        <v>0.48</v>
      </c>
      <c r="H2262" s="11" t="inlineStr">
        <is>
          <t>Journey into Nyx (JOU)</t>
        </is>
      </c>
      <c r="I2262" s="11" t="inlineStr">
        <is>
          <t>Não</t>
        </is>
      </c>
      <c r="J2262" s="11" t="n">
        <v>2014</v>
      </c>
      <c r="K2262" s="10" t="n">
        <v>46055</v>
      </c>
      <c r="L2262" s="11" t="n">
        <v>2</v>
      </c>
      <c r="M2262" s="8">
        <f>L2262*G2262</f>
        <v/>
      </c>
      <c r="P2262" s="9" t="n"/>
    </row>
    <row r="2263">
      <c r="A2263" s="11" t="inlineStr">
        <is>
          <t>Feast of Dreams / Banquete de Sonhos</t>
        </is>
      </c>
      <c r="B2263" s="11" t="inlineStr">
        <is>
          <t>Instant / Mágica Instantânea</t>
        </is>
      </c>
      <c r="C2263" s="11" t="inlineStr">
        <is>
          <t>Common / Comum</t>
        </is>
      </c>
      <c r="D2263" s="11" t="inlineStr">
        <is>
          <t>Destroy target enchanted creature or enchantment creature. / Destrua a criatura encantada ou a criatura encantamento alvo.</t>
        </is>
      </c>
      <c r="E2263" s="11" t="inlineStr">
        <is>
          <t>{1}{B}</t>
        </is>
      </c>
      <c r="F2263" s="11" t="inlineStr">
        <is>
          <t>Preto</t>
        </is>
      </c>
      <c r="G2263" s="8" t="n">
        <v>0.06</v>
      </c>
      <c r="H2263" s="11" t="inlineStr">
        <is>
          <t>Journey into Nyx (JOU)</t>
        </is>
      </c>
      <c r="I2263" s="11" t="inlineStr">
        <is>
          <t>Não</t>
        </is>
      </c>
      <c r="J2263" s="11" t="n">
        <v>2014</v>
      </c>
      <c r="L2263" s="11" t="n">
        <v>4</v>
      </c>
      <c r="M2263" s="8">
        <f>L2263*G2263</f>
        <v/>
      </c>
      <c r="P2263" s="9" t="n"/>
    </row>
    <row r="2264">
      <c r="A2264" s="11" t="inlineStr">
        <is>
          <t>Dreadbringer Lampads / Lâmpades Medonhas</t>
        </is>
      </c>
      <c r="B2264" s="11" t="inlineStr">
        <is>
          <t>Enchantment Creature — Nymph / Criatura Encantamento — Ninfa</t>
        </is>
      </c>
      <c r="C2264" s="11" t="inlineStr">
        <is>
          <t>Common / Comum</t>
        </is>
      </c>
      <c r="D2264" s="11" t="inlineStr">
        <is>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is>
      </c>
      <c r="E2264" s="11" t="inlineStr">
        <is>
          <t>{4}{B}</t>
        </is>
      </c>
      <c r="F2264" s="11" t="inlineStr">
        <is>
          <t>Preto</t>
        </is>
      </c>
      <c r="G2264" s="8" t="n">
        <v>0.03</v>
      </c>
      <c r="H2264" s="11" t="inlineStr">
        <is>
          <t>The List (PLST)</t>
        </is>
      </c>
      <c r="I2264" s="11" t="inlineStr">
        <is>
          <t>Não</t>
        </is>
      </c>
      <c r="J2264" s="11" t="n">
        <v>2019</v>
      </c>
      <c r="K2264" s="10" t="n">
        <v>46057</v>
      </c>
      <c r="L2264" s="11" t="n">
        <v>2</v>
      </c>
      <c r="M2264" s="8">
        <f>L2264*G2264</f>
        <v/>
      </c>
      <c r="P2264" s="9" t="n"/>
    </row>
    <row r="2265">
      <c r="A2265" s="11" t="inlineStr">
        <is>
          <t>Nightmarish End / Fim Aterrador</t>
        </is>
      </c>
      <c r="B2265" s="11" t="inlineStr">
        <is>
          <t>Instant / Mágica Instantânea</t>
        </is>
      </c>
      <c r="C2265" s="11" t="inlineStr">
        <is>
          <t>Uncommon / Incomum</t>
        </is>
      </c>
      <c r="D2265" s="11" t="inlineStr">
        <is>
          <t>Target creature gets -X/-X until end of turn, where X is the number of cards in your hand. / A criatura alvo recebe -X/-X até o final do turno, sendo X o número de cards na sua mão.</t>
        </is>
      </c>
      <c r="E2265" s="11" t="inlineStr">
        <is>
          <t>{2}{B}</t>
        </is>
      </c>
      <c r="F2265" s="11" t="inlineStr">
        <is>
          <t>Preto</t>
        </is>
      </c>
      <c r="G2265" s="8" t="n">
        <v>0.05</v>
      </c>
      <c r="H2265" s="11" t="inlineStr">
        <is>
          <t>Journey into Nyx (JOU)</t>
        </is>
      </c>
      <c r="I2265" s="11" t="inlineStr">
        <is>
          <t>Não</t>
        </is>
      </c>
      <c r="J2265" s="11" t="n">
        <v>2014</v>
      </c>
      <c r="L2265" s="11" t="n">
        <v>2</v>
      </c>
      <c r="M2265" s="8">
        <f>L2265*G2265</f>
        <v/>
      </c>
      <c r="P2265" s="9" t="n"/>
    </row>
    <row r="2266">
      <c r="A2266" s="11" t="inlineStr">
        <is>
          <t>Bloodcrazed Hoplite / Hoplita Sanguinário</t>
        </is>
      </c>
      <c r="B2266" s="11" t="inlineStr">
        <is>
          <t>Creature — Human Soldier / Criatura — Humano Soldado</t>
        </is>
      </c>
      <c r="C2266" s="11" t="inlineStr">
        <is>
          <t>Common / Comum</t>
        </is>
      </c>
      <c r="D2266" s="11" t="inlineStr">
        <is>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is>
      </c>
      <c r="E2266" s="11" t="inlineStr">
        <is>
          <t>{1}{B}</t>
        </is>
      </c>
      <c r="F2266" s="11" t="inlineStr">
        <is>
          <t>Preto</t>
        </is>
      </c>
      <c r="G2266" s="8" t="n">
        <v>0.03</v>
      </c>
      <c r="H2266" s="11" t="inlineStr">
        <is>
          <t>Journey into Nyx (JOU)</t>
        </is>
      </c>
      <c r="I2266" s="11" t="inlineStr">
        <is>
          <t>Não</t>
        </is>
      </c>
      <c r="J2266" s="11" t="n">
        <v>2014</v>
      </c>
      <c r="K2266" s="10" t="n">
        <v>46024</v>
      </c>
      <c r="L2266" s="11" t="n">
        <v>4</v>
      </c>
      <c r="M2266" s="8">
        <f>L2266*G2266</f>
        <v/>
      </c>
      <c r="P2266" s="9" t="n"/>
    </row>
    <row r="2267">
      <c r="A2267" s="11" t="inlineStr">
        <is>
          <t>Cast into Darkness / Lançar na Escuridão</t>
        </is>
      </c>
      <c r="B2267" s="11" t="inlineStr">
        <is>
          <t>Enchantment — Aura / Encantamento — Aura</t>
        </is>
      </c>
      <c r="C2267" s="11" t="inlineStr">
        <is>
          <t>Common / Comum</t>
        </is>
      </c>
      <c r="D2267" s="11" t="inlineStr">
        <is>
          <t>Enchant creature Enchanted creature gets -2/-0 and can't block. / Encantar criatura A criatura encantada recebe -2/-0 e não pode bloquear.</t>
        </is>
      </c>
      <c r="E2267" s="11" t="inlineStr">
        <is>
          <t>{1}{B}</t>
        </is>
      </c>
      <c r="F2267" s="11" t="inlineStr">
        <is>
          <t>Preto</t>
        </is>
      </c>
      <c r="G2267" s="8" t="n">
        <v>0.03</v>
      </c>
      <c r="H2267" s="11" t="inlineStr">
        <is>
          <t>Journey into Nyx (JOU)</t>
        </is>
      </c>
      <c r="I2267" s="11" t="inlineStr">
        <is>
          <t>Não</t>
        </is>
      </c>
      <c r="J2267" s="11" t="n">
        <v>2014</v>
      </c>
      <c r="L2267" s="11" t="n">
        <v>3</v>
      </c>
      <c r="M2267" s="8">
        <f>L2267*G2267</f>
        <v/>
      </c>
      <c r="P2267" s="9" t="n"/>
    </row>
    <row r="2268">
      <c r="A2268" s="11" t="inlineStr">
        <is>
          <t>Thoughtrender Lamia / Lâmia Enlouquecedora</t>
        </is>
      </c>
      <c r="B2268" s="11" t="inlineStr">
        <is>
          <t>Enchantment Creature — Lamia / Criatura Encantamento — Lâmia</t>
        </is>
      </c>
      <c r="C2268" s="11" t="inlineStr">
        <is>
          <t>Uncommon / Incomum</t>
        </is>
      </c>
      <c r="D2268" s="11" t="inlineStr">
        <is>
          <t>Constellation — Whenever this creature or another enchantment you control enters, each opponent discards a card. / Constelação — Toda vez que Lâmia Enlouquecedora ou outro encantamento entra no campo de batalha sob seu controle, cada oponente descarta um card.</t>
        </is>
      </c>
      <c r="E2268" s="11" t="inlineStr">
        <is>
          <t>{4}{B}{B}</t>
        </is>
      </c>
      <c r="F2268" s="11" t="inlineStr">
        <is>
          <t>Preto</t>
        </is>
      </c>
      <c r="G2268" s="8" t="n">
        <v>0.05</v>
      </c>
      <c r="H2268" s="11" t="inlineStr">
        <is>
          <t>Journey into Nyx (JOU)</t>
        </is>
      </c>
      <c r="I2268" s="11" t="inlineStr">
        <is>
          <t>Não</t>
        </is>
      </c>
      <c r="J2268" s="11" t="n">
        <v>2014</v>
      </c>
      <c r="K2268" s="10" t="n">
        <v>46086</v>
      </c>
      <c r="L2268" s="11" t="n">
        <v>1</v>
      </c>
      <c r="M2268" s="8">
        <f>L2268*G2268</f>
        <v/>
      </c>
      <c r="P2268" s="9" t="n"/>
    </row>
    <row r="2269">
      <c r="A2269" s="11" t="inlineStr">
        <is>
          <t>Cruel Feeding / Alimentação Cruel</t>
        </is>
      </c>
      <c r="B2269" s="11" t="inlineStr">
        <is>
          <t>Instant / Mágica Instantânea</t>
        </is>
      </c>
      <c r="C2269" s="11" t="inlineStr">
        <is>
          <t>Common / Comum</t>
        </is>
      </c>
      <c r="D2269" s="11" t="inlineStr">
        <is>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is>
      </c>
      <c r="E2269" s="11" t="inlineStr">
        <is>
          <t>{B}</t>
        </is>
      </c>
      <c r="F2269" s="11" t="inlineStr">
        <is>
          <t>Preto</t>
        </is>
      </c>
      <c r="G2269" s="8" t="n">
        <v>0.03</v>
      </c>
      <c r="H2269" s="11" t="inlineStr">
        <is>
          <t>Journey into Nyx (JOU)</t>
        </is>
      </c>
      <c r="I2269" s="11" t="inlineStr">
        <is>
          <t>Não</t>
        </is>
      </c>
      <c r="J2269" s="11" t="n">
        <v>2014</v>
      </c>
      <c r="L2269" s="11" t="n">
        <v>6</v>
      </c>
      <c r="M2269" s="8">
        <f>L2269*G2269</f>
        <v/>
      </c>
      <c r="P2269" s="9" t="n"/>
    </row>
    <row r="2270">
      <c r="A2270" s="11" t="inlineStr">
        <is>
          <t>Rotted Hulk / Brutamontes Apodrecido</t>
        </is>
      </c>
      <c r="B2270" s="11" t="inlineStr">
        <is>
          <t>Creature — Elemental / Criatura — Elemental</t>
        </is>
      </c>
      <c r="C2270" s="11" t="inlineStr">
        <is>
          <t>Common / Comum</t>
        </is>
      </c>
      <c r="E2270" s="11" t="inlineStr">
        <is>
          <t>{3}{B}</t>
        </is>
      </c>
      <c r="F2270" s="11" t="inlineStr">
        <is>
          <t>Preto</t>
        </is>
      </c>
      <c r="G2270" s="8" t="n">
        <v>0.03</v>
      </c>
      <c r="H2270" s="11" t="inlineStr">
        <is>
          <t>Journey into Nyx (JOU)</t>
        </is>
      </c>
      <c r="I2270" s="11" t="inlineStr">
        <is>
          <t>Não</t>
        </is>
      </c>
      <c r="J2270" s="11" t="n">
        <v>2014</v>
      </c>
      <c r="K2270" s="10" t="n">
        <v>46144</v>
      </c>
      <c r="L2270" s="11" t="n">
        <v>2</v>
      </c>
      <c r="M2270" s="8">
        <f>L2270*G2270</f>
        <v/>
      </c>
      <c r="P2270" s="9" t="n"/>
    </row>
    <row r="2271">
      <c r="A2271" s="11" t="inlineStr">
        <is>
          <t>Spiteful Blow / Golpe Malévolo</t>
        </is>
      </c>
      <c r="B2271" s="11" t="inlineStr">
        <is>
          <t>Sorcery / Feitiço</t>
        </is>
      </c>
      <c r="C2271" s="11" t="inlineStr">
        <is>
          <t>Uncommon / Incomum</t>
        </is>
      </c>
      <c r="D2271" s="11" t="inlineStr">
        <is>
          <t>Destroy target creature and target land. / Destrua a criatura alvo e o terreno alvo.</t>
        </is>
      </c>
      <c r="E2271" s="11" t="inlineStr">
        <is>
          <t>{4}{B}{B}</t>
        </is>
      </c>
      <c r="F2271" s="11" t="inlineStr">
        <is>
          <t>Preto</t>
        </is>
      </c>
      <c r="G2271" s="8" t="n">
        <v>0.05</v>
      </c>
      <c r="H2271" s="11" t="inlineStr">
        <is>
          <t>Journey into Nyx (JOU)</t>
        </is>
      </c>
      <c r="I2271" s="11" t="inlineStr">
        <is>
          <t>Não</t>
        </is>
      </c>
      <c r="J2271" s="11" t="n">
        <v>2014</v>
      </c>
      <c r="L2271" s="11" t="n">
        <v>2</v>
      </c>
      <c r="M2271" s="8">
        <f>L2271*G2271</f>
        <v/>
      </c>
      <c r="P2271" s="9" t="n"/>
    </row>
    <row r="2272">
      <c r="A2272" s="11" t="inlineStr">
        <is>
          <t>Nyx Infusion / Infusão de Nyx</t>
        </is>
      </c>
      <c r="B2272" s="11" t="inlineStr">
        <is>
          <t>Enchantment — Aura / Encantamento — Aura</t>
        </is>
      </c>
      <c r="C2272" s="11" t="inlineStr">
        <is>
          <t>Common / Comum</t>
        </is>
      </c>
      <c r="D2272" s="11" t="inlineStr">
        <is>
          <t>Enchant creature Enchanted creature gets +2/+2 as long as it's an enchantment. Otherwise, it gets -2/-2. / Encantar criatura A criatura encantada recebe +2/+2 enquanto for um encantamento. Do contrário, ela recebe -2/-2.</t>
        </is>
      </c>
      <c r="E2272" s="11" t="inlineStr">
        <is>
          <t>{2}{B}</t>
        </is>
      </c>
      <c r="F2272" s="11" t="inlineStr">
        <is>
          <t>Preto</t>
        </is>
      </c>
      <c r="G2272" s="8" t="n">
        <v>0.03</v>
      </c>
      <c r="H2272" s="11" t="inlineStr">
        <is>
          <t>Journey into Nyx (JOU)</t>
        </is>
      </c>
      <c r="I2272" s="11" t="inlineStr">
        <is>
          <t>Não</t>
        </is>
      </c>
      <c r="J2272" s="11" t="n">
        <v>2014</v>
      </c>
      <c r="L2272" s="11" t="n">
        <v>5</v>
      </c>
      <c r="M2272" s="8">
        <f>L2272*G2272</f>
        <v/>
      </c>
      <c r="P2272" s="9" t="n"/>
    </row>
    <row r="2273">
      <c r="A2273" s="11" t="inlineStr">
        <is>
          <t>Aspect of Gorgon / Aspecto de Górgona</t>
        </is>
      </c>
      <c r="B2273" s="11" t="inlineStr">
        <is>
          <t>Enchantment — Aura / Encantamento — Aura</t>
        </is>
      </c>
      <c r="C2273" s="11" t="inlineStr">
        <is>
          <t>Common / Comum</t>
        </is>
      </c>
      <c r="D2273" s="11" t="inlineStr">
        <is>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is>
      </c>
      <c r="E2273" s="11" t="inlineStr">
        <is>
          <t>{2}{B}</t>
        </is>
      </c>
      <c r="F2273" s="11" t="inlineStr">
        <is>
          <t>Preto</t>
        </is>
      </c>
      <c r="G2273" s="8" t="n">
        <v>0.03</v>
      </c>
      <c r="H2273" s="11" t="inlineStr">
        <is>
          <t>Journey into Nyx (JOU)</t>
        </is>
      </c>
      <c r="I2273" s="11" t="inlineStr">
        <is>
          <t>Não</t>
        </is>
      </c>
      <c r="J2273" s="11" t="n">
        <v>2014</v>
      </c>
      <c r="L2273" s="11" t="n">
        <v>4</v>
      </c>
      <c r="M2273" s="8">
        <f>L2273*G2273</f>
        <v/>
      </c>
      <c r="P2273" s="9" t="n"/>
    </row>
    <row r="2274">
      <c r="A2274" s="11" t="inlineStr">
        <is>
          <t>Pharika's Chosen / Escolhida de Fárica</t>
        </is>
      </c>
      <c r="B2274" s="11" t="inlineStr">
        <is>
          <t>Creature — Snake / Criatura — Cobra</t>
        </is>
      </c>
      <c r="C2274" s="11" t="inlineStr">
        <is>
          <t>Common / Comum</t>
        </is>
      </c>
      <c r="D2274" s="11" t="inlineStr">
        <is>
          <t>Deathtouch (Any amount of damage this deals to a creature is enough to destroy it.) / Toque mortífero (Qualquer quantidade de dano que esta criatura cause a uma criatura é suficiente para destruí-la.)</t>
        </is>
      </c>
      <c r="E2274" s="11" t="inlineStr">
        <is>
          <t>{B}</t>
        </is>
      </c>
      <c r="F2274" s="11" t="inlineStr">
        <is>
          <t>Preto</t>
        </is>
      </c>
      <c r="G2274" s="8" t="n">
        <v>0.06</v>
      </c>
      <c r="H2274" s="11" t="inlineStr">
        <is>
          <t>Journey into Nyx (JOU)</t>
        </is>
      </c>
      <c r="I2274" s="11" t="inlineStr">
        <is>
          <t>Não</t>
        </is>
      </c>
      <c r="J2274" s="11" t="n">
        <v>2014</v>
      </c>
      <c r="K2274" s="10" t="n">
        <v>46023</v>
      </c>
      <c r="L2274" s="11" t="n">
        <v>3</v>
      </c>
      <c r="M2274" s="8">
        <f>L2274*G2274</f>
        <v/>
      </c>
      <c r="P2274" s="9" t="n"/>
    </row>
    <row r="2275">
      <c r="A2275" s="11" t="inlineStr">
        <is>
          <t>Doomwake Giant / Gigante do Rastro Funesto</t>
        </is>
      </c>
      <c r="B2275" s="11" t="inlineStr">
        <is>
          <t>Enchantment Creature — Giant / Criatura Encantamento — Gigante</t>
        </is>
      </c>
      <c r="C2275" s="11" t="inlineStr">
        <is>
          <t>Rare / Rara</t>
        </is>
      </c>
      <c r="D2275" s="11"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2275" s="11" t="inlineStr">
        <is>
          <t>{4}{B}</t>
        </is>
      </c>
      <c r="F2275" s="11" t="inlineStr">
        <is>
          <t>Preto</t>
        </is>
      </c>
      <c r="G2275" s="8" t="n">
        <v>0.33</v>
      </c>
      <c r="H2275" s="11" t="inlineStr">
        <is>
          <t>Commander 2015 (C15)</t>
        </is>
      </c>
      <c r="I2275" s="11" t="inlineStr">
        <is>
          <t>Não</t>
        </is>
      </c>
      <c r="J2275" s="11" t="n">
        <v>2015</v>
      </c>
      <c r="K2275" s="10" t="n">
        <v>46177</v>
      </c>
      <c r="L2275" s="11" t="n">
        <v>1</v>
      </c>
      <c r="M2275" s="8">
        <f>L2275*G2275</f>
        <v/>
      </c>
      <c r="P2275" s="9" t="n"/>
    </row>
    <row r="2276">
      <c r="A2276" s="11" t="inlineStr">
        <is>
          <t>Master of the Feast / Mestre do Banquete</t>
        </is>
      </c>
      <c r="B2276" s="11" t="inlineStr">
        <is>
          <t>Enchantment Creature — Demon / Criatura Encantamento — Demônio</t>
        </is>
      </c>
      <c r="C2276" s="11" t="inlineStr">
        <is>
          <t>Rare / Rara</t>
        </is>
      </c>
      <c r="D2276" s="11" t="inlineStr">
        <is>
          <t>Flying At the beginning of your upkeep, each opponent draws a card. / Voar No início da sua manutenção, cada oponente compra um card.</t>
        </is>
      </c>
      <c r="E2276" s="11" t="inlineStr">
        <is>
          <t>{1}{B}{B}</t>
        </is>
      </c>
      <c r="F2276" s="11" t="inlineStr">
        <is>
          <t>Preto</t>
        </is>
      </c>
      <c r="G2276" s="8" t="n">
        <v>4.11</v>
      </c>
      <c r="H2276" s="11" t="inlineStr">
        <is>
          <t>Journey into Nyx (JOU)</t>
        </is>
      </c>
      <c r="I2276" s="11" t="inlineStr">
        <is>
          <t>Não</t>
        </is>
      </c>
      <c r="J2276" s="11" t="n">
        <v>2014</v>
      </c>
      <c r="K2276" s="10" t="n">
        <v>46147</v>
      </c>
      <c r="L2276" s="11" t="n">
        <v>1</v>
      </c>
      <c r="M2276" s="8">
        <f>L2276*G2276</f>
        <v/>
      </c>
      <c r="P2276" s="9" t="n"/>
    </row>
    <row r="2277">
      <c r="A2277" s="11" t="inlineStr">
        <is>
          <t>Ritual of the Returned / Ritual dos Ressurgidos</t>
        </is>
      </c>
      <c r="B2277" s="11" t="inlineStr">
        <is>
          <t>Instant / Mágica Instantânea</t>
        </is>
      </c>
      <c r="C2277" s="11" t="inlineStr">
        <is>
          <t>Uncommon / Incomum</t>
        </is>
      </c>
      <c r="D2277" s="11" t="inlineStr">
        <is>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is>
      </c>
      <c r="E2277" s="11" t="inlineStr">
        <is>
          <t>{3}{B}</t>
        </is>
      </c>
      <c r="F2277" s="11" t="inlineStr">
        <is>
          <t>Preto</t>
        </is>
      </c>
      <c r="G2277" s="8" t="n">
        <v>0.05</v>
      </c>
      <c r="H2277" s="11" t="inlineStr">
        <is>
          <t>Journey into Nyx (JOU)</t>
        </is>
      </c>
      <c r="I2277" s="11" t="inlineStr">
        <is>
          <t>Não</t>
        </is>
      </c>
      <c r="J2277" s="11" t="n">
        <v>2014</v>
      </c>
      <c r="L2277" s="11" t="n">
        <v>1</v>
      </c>
      <c r="M2277" s="8">
        <f>L2277*G2277</f>
        <v/>
      </c>
      <c r="P2277" s="9" t="n"/>
    </row>
    <row r="2278">
      <c r="A2278" s="11" t="inlineStr">
        <is>
          <t>Gnarled Scarhide / Mutilado das Cicatrizes</t>
        </is>
      </c>
      <c r="B2278" s="11" t="inlineStr">
        <is>
          <t>Enchantment Creature — Minotaur / Criatura Encantamento — Minotauro</t>
        </is>
      </c>
      <c r="C2278" s="11" t="inlineStr">
        <is>
          <t>Uncommon / Incomum</t>
        </is>
      </c>
      <c r="D2278" s="11" t="inlineStr">
        <is>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is>
      </c>
      <c r="E2278" s="11" t="inlineStr">
        <is>
          <t>{B}</t>
        </is>
      </c>
      <c r="F2278" s="11" t="inlineStr">
        <is>
          <t>Preto</t>
        </is>
      </c>
      <c r="G2278" s="8" t="n">
        <v>0.15</v>
      </c>
      <c r="H2278" s="11" t="inlineStr">
        <is>
          <t>Journey into Nyx (JOU)</t>
        </is>
      </c>
      <c r="I2278" s="11" t="inlineStr">
        <is>
          <t>Não</t>
        </is>
      </c>
      <c r="J2278" s="11" t="n">
        <v>2014</v>
      </c>
      <c r="K2278" s="10" t="n">
        <v>46024</v>
      </c>
      <c r="L2278" s="11" t="n">
        <v>1</v>
      </c>
      <c r="M2278" s="8">
        <f>L2278*G2278</f>
        <v/>
      </c>
      <c r="P2278" s="9" t="n"/>
    </row>
    <row r="2279">
      <c r="A2279" s="11" t="inlineStr">
        <is>
          <t>Returned Reveler / Festeiro Ressurgido</t>
        </is>
      </c>
      <c r="B2279" s="11" t="inlineStr">
        <is>
          <t>Creature — Zombie Satyr / Criatura — Zumbi Sátiro</t>
        </is>
      </c>
      <c r="C2279" s="11" t="inlineStr">
        <is>
          <t>Common / Comum</t>
        </is>
      </c>
      <c r="D2279" s="11" t="inlineStr">
        <is>
          <t>When this creature dies, each player mills three cards. / Quando Festeiro Ressurgido morre, cada jogador coloca os três primeiros cards do próprio grimório no próprio cemitério.</t>
        </is>
      </c>
      <c r="E2279" s="11" t="inlineStr">
        <is>
          <t>{1}{B}</t>
        </is>
      </c>
      <c r="F2279" s="11" t="inlineStr">
        <is>
          <t>Preto</t>
        </is>
      </c>
      <c r="G2279" s="8" t="n">
        <v>0.03</v>
      </c>
      <c r="H2279" s="11" t="inlineStr">
        <is>
          <t>Journey into Nyx (JOU)</t>
        </is>
      </c>
      <c r="I2279" s="11" t="inlineStr">
        <is>
          <t>Não</t>
        </is>
      </c>
      <c r="J2279" s="11" t="n">
        <v>2014</v>
      </c>
      <c r="K2279" s="10" t="n">
        <v>46082</v>
      </c>
      <c r="L2279" s="11" t="n">
        <v>2</v>
      </c>
      <c r="M2279" s="8">
        <f>L2279*G2279</f>
        <v/>
      </c>
      <c r="P2279" s="9" t="n"/>
    </row>
    <row r="2280">
      <c r="A2280" s="11" t="inlineStr">
        <is>
          <t>Font of Return / Fonte do Ressurgimento</t>
        </is>
      </c>
      <c r="B2280" s="11" t="inlineStr">
        <is>
          <t>Enchantment / Encantamento</t>
        </is>
      </c>
      <c r="C2280" s="11" t="inlineStr">
        <is>
          <t>Common / Comum</t>
        </is>
      </c>
      <c r="D2280" s="11" t="inlineStr">
        <is>
          <t>{3}{B}, Sacrifice this enchantment: Return up to three target creature cards from your graveyard to your hand. / {3}{B}, Sacrifique Fonte do Ressurgimento: Devolva até três cards de criatura alvo do seu cemitério para a sua mão.</t>
        </is>
      </c>
      <c r="E2280" s="11" t="inlineStr">
        <is>
          <t>{1}{B}</t>
        </is>
      </c>
      <c r="F2280" s="11" t="inlineStr">
        <is>
          <t>Preto</t>
        </is>
      </c>
      <c r="G2280" s="8" t="n">
        <v>0.06</v>
      </c>
      <c r="H2280" s="11" t="inlineStr">
        <is>
          <t>Journey into Nyx (JOU)</t>
        </is>
      </c>
      <c r="I2280" s="11" t="inlineStr">
        <is>
          <t>Não</t>
        </is>
      </c>
      <c r="J2280" s="11" t="n">
        <v>2014</v>
      </c>
      <c r="L2280" s="11" t="n">
        <v>1</v>
      </c>
      <c r="M2280" s="8">
        <f>L2280*G2280</f>
        <v/>
      </c>
      <c r="P2280" s="9" t="n"/>
    </row>
    <row r="2281">
      <c r="A2281" s="11" t="inlineStr">
        <is>
          <t>Tormented Thoughts / Pensamentos Atormentados</t>
        </is>
      </c>
      <c r="B2281" s="11" t="inlineStr">
        <is>
          <t>Sorcery / Feitiço</t>
        </is>
      </c>
      <c r="C2281" s="11" t="inlineStr">
        <is>
          <t>Uncommon / Incomum</t>
        </is>
      </c>
      <c r="D2281" s="11" t="inlineStr">
        <is>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is>
      </c>
      <c r="E2281" s="11" t="inlineStr">
        <is>
          <t>{2}{B}</t>
        </is>
      </c>
      <c r="F2281" s="11" t="inlineStr">
        <is>
          <t>Preto</t>
        </is>
      </c>
      <c r="G2281" s="8" t="n">
        <v>0.09</v>
      </c>
      <c r="H2281" s="11" t="inlineStr">
        <is>
          <t>Journey into Nyx (JOU)</t>
        </is>
      </c>
      <c r="I2281" s="11" t="inlineStr">
        <is>
          <t>Não</t>
        </is>
      </c>
      <c r="J2281" s="11" t="n">
        <v>2014</v>
      </c>
      <c r="L2281" s="11" t="n">
        <v>1</v>
      </c>
      <c r="M2281" s="8">
        <f>L2281*G2281</f>
        <v/>
      </c>
      <c r="P2281" s="9" t="n"/>
    </row>
    <row r="2282">
      <c r="A2282" s="11" t="inlineStr">
        <is>
          <t>Silence the Believers / Silenciar os Crentes</t>
        </is>
      </c>
      <c r="B2282" s="11" t="inlineStr">
        <is>
          <t>Instant / Mágica Instantânea</t>
        </is>
      </c>
      <c r="C2282" s="11" t="inlineStr">
        <is>
          <t>Rare / Rara</t>
        </is>
      </c>
      <c r="D2282" s="11" t="inlineStr">
        <is>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is>
      </c>
      <c r="E2282" s="11" t="inlineStr">
        <is>
          <t>{2}{B}{B}</t>
        </is>
      </c>
      <c r="F2282" s="11" t="inlineStr">
        <is>
          <t>Preto</t>
        </is>
      </c>
      <c r="G2282" s="8" t="n">
        <v>0.13</v>
      </c>
      <c r="H2282" s="11" t="inlineStr">
        <is>
          <t>Journey into Nyx (JOU)</t>
        </is>
      </c>
      <c r="I2282" s="11" t="inlineStr">
        <is>
          <t>Não</t>
        </is>
      </c>
      <c r="J2282" s="11" t="n">
        <v>2014</v>
      </c>
      <c r="L2282" s="11" t="n">
        <v>1</v>
      </c>
      <c r="M2282" s="8">
        <f>L2282*G2282</f>
        <v/>
      </c>
      <c r="P2282" s="9" t="n"/>
    </row>
    <row r="2283">
      <c r="A2283" s="11" t="inlineStr">
        <is>
          <t>Imperial Subduer / Subjugadora Imperial</t>
        </is>
      </c>
      <c r="B2283" s="11" t="inlineStr">
        <is>
          <t>Creature — Human Samurai / Criatura — Humano Samurai</t>
        </is>
      </c>
      <c r="C2283" s="11" t="inlineStr">
        <is>
          <t>Common / Comum</t>
        </is>
      </c>
      <c r="D2283" s="11" t="inlineStr">
        <is>
          <t>Whenever a Samurai or Warrior you control attacks alone, tap target creature you don't control. / Toda vez que um Samurai ou Guerreiro que você controla atacar sozinho, vire a criatura alvo que você não controla.</t>
        </is>
      </c>
      <c r="E2283" s="11" t="inlineStr">
        <is>
          <t>{2}{W}</t>
        </is>
      </c>
      <c r="F2283" s="11" t="inlineStr">
        <is>
          <t>Branco</t>
        </is>
      </c>
      <c r="G2283" s="8" t="n">
        <v>0.06</v>
      </c>
      <c r="H2283" s="11" t="inlineStr">
        <is>
          <t>Kamigawa: Neon Dynasty (NEO)</t>
        </is>
      </c>
      <c r="I2283" s="11" t="inlineStr">
        <is>
          <t>Não</t>
        </is>
      </c>
      <c r="J2283" s="11" t="n">
        <v>2022</v>
      </c>
      <c r="K2283" s="10" t="n">
        <v>46056</v>
      </c>
      <c r="L2283" s="11" t="n">
        <v>2</v>
      </c>
      <c r="M2283" s="8">
        <f>L2283*G2283</f>
        <v/>
      </c>
      <c r="P2283" s="9" t="n"/>
    </row>
    <row r="2284">
      <c r="A2284" s="11" t="inlineStr">
        <is>
          <t>Imperial Subduer / Subjugadora Imperial</t>
        </is>
      </c>
      <c r="B2284" s="11" t="inlineStr">
        <is>
          <t>Creature — Human Samurai / Criatura — Humano Samurai</t>
        </is>
      </c>
      <c r="C2284" s="11" t="inlineStr">
        <is>
          <t>Common / Comum</t>
        </is>
      </c>
      <c r="D2284" s="11" t="inlineStr">
        <is>
          <t>Whenever a Samurai or Warrior you control attacks alone, tap target creature you don't control. / Toda vez que um Samurai ou Guerreiro que você controla atacar sozinho, vire a criatura alvo que você não controla.</t>
        </is>
      </c>
      <c r="E2284" s="11" t="inlineStr">
        <is>
          <t>{2}{W}</t>
        </is>
      </c>
      <c r="F2284" s="11" t="inlineStr">
        <is>
          <t>Branco</t>
        </is>
      </c>
      <c r="G2284" s="8" t="n">
        <v>0.13</v>
      </c>
      <c r="H2284" s="11" t="inlineStr">
        <is>
          <t>Kamigawa: Neon Dynasty (NEO) V</t>
        </is>
      </c>
      <c r="I2284" s="11" t="inlineStr">
        <is>
          <t>Não</t>
        </is>
      </c>
      <c r="J2284" s="11" t="n">
        <v>2022</v>
      </c>
      <c r="K2284" s="10" t="n">
        <v>46056</v>
      </c>
      <c r="L2284" s="11" t="n">
        <v>1</v>
      </c>
      <c r="M2284" s="8">
        <f>L2284*G2284</f>
        <v/>
      </c>
      <c r="P2284" s="9" t="n"/>
    </row>
    <row r="2285">
      <c r="A2285" s="11" t="inlineStr">
        <is>
          <t>Kami of Restless Shadows / Kami das Sombras Inquietas</t>
        </is>
      </c>
      <c r="B2285" s="11" t="inlineStr">
        <is>
          <t>Creature — Spirit / Criatura — Espírito</t>
        </is>
      </c>
      <c r="C2285" s="11" t="inlineStr">
        <is>
          <t>Common / Comum</t>
        </is>
      </c>
      <c r="D2285" s="11" t="inlineStr">
        <is>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is>
      </c>
      <c r="E2285" s="11" t="inlineStr">
        <is>
          <t>{4}{B}</t>
        </is>
      </c>
      <c r="F2285" s="11" t="inlineStr">
        <is>
          <t>Preto</t>
        </is>
      </c>
      <c r="G2285" s="8" t="n">
        <v>0.05</v>
      </c>
      <c r="H2285" s="11" t="inlineStr">
        <is>
          <t>Kamigawa: Neon Dynasty (NEO)</t>
        </is>
      </c>
      <c r="I2285" s="11" t="inlineStr">
        <is>
          <t>Não</t>
        </is>
      </c>
      <c r="J2285" s="11" t="n">
        <v>2022</v>
      </c>
      <c r="K2285" s="10" t="n">
        <v>46084</v>
      </c>
      <c r="L2285" s="11" t="n">
        <v>1</v>
      </c>
      <c r="M2285" s="8">
        <f>L2285*G2285</f>
        <v/>
      </c>
      <c r="P2285" s="9" t="n"/>
    </row>
    <row r="2286">
      <c r="A2286" s="11" t="inlineStr">
        <is>
          <t>Dokuchi Shadow-Walker / Trilha-sombras Dokuchi</t>
        </is>
      </c>
      <c r="B2286" s="11" t="inlineStr">
        <is>
          <t>Creature — Ogre Ninja / Criatura — Ogro Ninja</t>
        </is>
      </c>
      <c r="C2286" s="11" t="inlineStr">
        <is>
          <t>Common / Comum</t>
        </is>
      </c>
      <c r="D2286" s="11"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2286" s="11" t="inlineStr">
        <is>
          <t>{4}{B}{B}</t>
        </is>
      </c>
      <c r="F2286" s="11" t="inlineStr">
        <is>
          <t>Preto</t>
        </is>
      </c>
      <c r="G2286" s="8" t="n">
        <v>0.1</v>
      </c>
      <c r="H2286" s="11" t="inlineStr">
        <is>
          <t>Kamigawa: Neon Dynasty (NEO)</t>
        </is>
      </c>
      <c r="I2286" s="11" t="inlineStr">
        <is>
          <t>Não</t>
        </is>
      </c>
      <c r="J2286" s="11" t="n">
        <v>2022</v>
      </c>
      <c r="K2286" s="10" t="n">
        <v>46147</v>
      </c>
      <c r="L2286" s="11" t="n">
        <v>1</v>
      </c>
      <c r="M2286" s="8">
        <f>L2286*G2286</f>
        <v/>
      </c>
      <c r="P2286" s="9" t="n"/>
    </row>
    <row r="2287">
      <c r="A2287" s="11" t="inlineStr">
        <is>
          <t>Simian Sling / Lançador Símio</t>
        </is>
      </c>
      <c r="B2287" s="11" t="inlineStr">
        <is>
          <t>Artifact Creature — Equipment Monkey / Criatura Artefato — Equipamento Macaco</t>
        </is>
      </c>
      <c r="C2287" s="11" t="inlineStr">
        <is>
          <t>Common / Comum</t>
        </is>
      </c>
      <c r="D2287" s="11" t="inlineStr">
        <is>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is>
      </c>
      <c r="E2287" s="11" t="inlineStr">
        <is>
          <t>{R}</t>
        </is>
      </c>
      <c r="F2287" s="11" t="inlineStr">
        <is>
          <t>Vermelho</t>
        </is>
      </c>
      <c r="G2287" s="8" t="n">
        <v>0.1</v>
      </c>
      <c r="H2287" s="11" t="inlineStr">
        <is>
          <t>Kamigawa: Neon Dynasty (NEO)</t>
        </is>
      </c>
      <c r="I2287" s="11" t="inlineStr">
        <is>
          <t>Não</t>
        </is>
      </c>
      <c r="J2287" s="11" t="n">
        <v>2022</v>
      </c>
      <c r="K2287" s="10" t="n">
        <v>46023</v>
      </c>
      <c r="L2287" s="11" t="n">
        <v>1</v>
      </c>
      <c r="M2287" s="8">
        <f>L2287*G2287</f>
        <v/>
      </c>
      <c r="P2287" s="9" t="n"/>
    </row>
    <row r="2288">
      <c r="A2288" s="11" t="inlineStr">
        <is>
          <t>Kami of Industry / Kami da Diligência</t>
        </is>
      </c>
      <c r="B2288" s="11" t="inlineStr">
        <is>
          <t>Creature — Spirit / Criatura — Espírito</t>
        </is>
      </c>
      <c r="C2288" s="11" t="inlineStr">
        <is>
          <t>Common / Comum</t>
        </is>
      </c>
      <c r="D2288" s="11" t="inlineStr">
        <is>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is>
      </c>
      <c r="E2288" s="11" t="inlineStr">
        <is>
          <t>{4}{R}</t>
        </is>
      </c>
      <c r="F2288" s="11" t="inlineStr">
        <is>
          <t>Vermelho</t>
        </is>
      </c>
      <c r="G2288" s="8" t="n">
        <v>0.06</v>
      </c>
      <c r="H2288" s="11" t="inlineStr">
        <is>
          <t>Kamigawa: Neon Dynasty (NEO)</t>
        </is>
      </c>
      <c r="I2288" s="11" t="inlineStr">
        <is>
          <t>Não</t>
        </is>
      </c>
      <c r="J2288" s="11" t="n">
        <v>2022</v>
      </c>
      <c r="K2288" s="10" t="n">
        <v>46176</v>
      </c>
      <c r="L2288" s="11" t="n">
        <v>1</v>
      </c>
      <c r="M2288" s="8">
        <f>L2288*G2288</f>
        <v/>
      </c>
      <c r="P2288" s="9" t="n"/>
    </row>
    <row r="2289">
      <c r="A2289" s="11" t="inlineStr">
        <is>
          <t>Season of Renewal / Temporada de Renovação</t>
        </is>
      </c>
      <c r="B2289" s="11" t="inlineStr">
        <is>
          <t>Instant / Mágica Instantânea</t>
        </is>
      </c>
      <c r="C2289" s="11" t="inlineStr">
        <is>
          <t>Common / Comum</t>
        </is>
      </c>
      <c r="D2289" s="11" t="inlineStr">
        <is>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is>
      </c>
      <c r="E2289" s="11" t="inlineStr">
        <is>
          <t>{2}{G}</t>
        </is>
      </c>
      <c r="F2289" s="11" t="inlineStr">
        <is>
          <t>Verde</t>
        </is>
      </c>
      <c r="G2289" s="8" t="n">
        <v>0.13</v>
      </c>
      <c r="H2289" s="11" t="inlineStr">
        <is>
          <t>Kamigawa: Neon Dynasty (NEO)</t>
        </is>
      </c>
      <c r="I2289" s="11" t="inlineStr">
        <is>
          <t>Não</t>
        </is>
      </c>
      <c r="J2289" s="11" t="n">
        <v>2022</v>
      </c>
      <c r="L2289" s="11" t="n">
        <v>1</v>
      </c>
      <c r="M2289" s="8">
        <f>L2289*G2289</f>
        <v/>
      </c>
      <c r="P2289" s="9" t="n"/>
    </row>
    <row r="2290">
      <c r="A2290" s="11" t="inlineStr">
        <is>
          <t>Jukai Trainee / Aprendiz Jukai</t>
        </is>
      </c>
      <c r="B2290" s="11" t="inlineStr">
        <is>
          <t>Creature — Human Samurai / Criatura — Humano Samurai</t>
        </is>
      </c>
      <c r="C2290" s="11" t="inlineStr">
        <is>
          <t>Common / Comum</t>
        </is>
      </c>
      <c r="D2290" s="11" t="inlineStr">
        <is>
          <t>Whenever this creature blocks or becomes blocked, it gets +1/+1 until end of turn. / Toda vez que Aprendiz Jukai bloqueia ou se torna bloqueada, ela recebe +1/+1 até o final do turno.</t>
        </is>
      </c>
      <c r="E2290" s="11" t="inlineStr">
        <is>
          <t>{1}{G}</t>
        </is>
      </c>
      <c r="F2290" s="11" t="inlineStr">
        <is>
          <t>Verde</t>
        </is>
      </c>
      <c r="G2290" s="8" t="n">
        <v>0.06</v>
      </c>
      <c r="H2290" s="11" t="inlineStr">
        <is>
          <t>Kamigawa: Neon Dynasty (NEO)</t>
        </is>
      </c>
      <c r="I2290" s="11" t="inlineStr">
        <is>
          <t>Não</t>
        </is>
      </c>
      <c r="J2290" s="11" t="n">
        <v>2022</v>
      </c>
      <c r="K2290" s="10" t="n">
        <v>46055</v>
      </c>
      <c r="L2290" s="11" t="n">
        <v>1</v>
      </c>
      <c r="M2290" s="8">
        <f>L2290*G2290</f>
        <v/>
      </c>
      <c r="P2290" s="9" t="n"/>
    </row>
    <row r="2291">
      <c r="A2291" s="11" t="inlineStr">
        <is>
          <t>Master's Rebuke / Repreensão da Mestra</t>
        </is>
      </c>
      <c r="B2291" s="11" t="inlineStr">
        <is>
          <t>Instant / Mágica Instantânea</t>
        </is>
      </c>
      <c r="C2291" s="11" t="inlineStr">
        <is>
          <t>Common / Comum</t>
        </is>
      </c>
      <c r="D2291" s="11" t="inlineStr">
        <is>
          <t>Target creature you control deals damage equal to its power to target creature or planeswalker you don't control. / A criatura alvo que você controla causa dano igual ao seu poder à criatura ou ao planeswalker alvo que você não controla.</t>
        </is>
      </c>
      <c r="E2291" s="11" t="inlineStr">
        <is>
          <t>{1}{G}</t>
        </is>
      </c>
      <c r="F2291" s="11" t="inlineStr">
        <is>
          <t>Verde</t>
        </is>
      </c>
      <c r="G2291" s="8" t="n">
        <v>0.16</v>
      </c>
      <c r="H2291" s="11" t="inlineStr">
        <is>
          <t>Kamigawa: Neon Dynasty (NEO)</t>
        </is>
      </c>
      <c r="I2291" s="11" t="inlineStr">
        <is>
          <t>Não</t>
        </is>
      </c>
      <c r="J2291" s="11" t="n">
        <v>2022</v>
      </c>
      <c r="L2291" s="11" t="n">
        <v>1</v>
      </c>
      <c r="M2291" s="8">
        <f>L2291*G2291</f>
        <v/>
      </c>
      <c r="P2291" s="9" t="n"/>
    </row>
    <row r="2292">
      <c r="A2292" s="11" t="inlineStr">
        <is>
          <t>Tales of Master Seshiro // Seshiro's Living Legacy / Contos do Mestre Seshiro // Legado Vivo de Seshiro</t>
        </is>
      </c>
      <c r="B2292" s="11" t="inlineStr">
        <is>
          <t>Enchantment — Saga // Enchantment Creature — Snake Warrior / Encantamento — Saga</t>
        </is>
      </c>
      <c r="C2292" s="11" t="inlineStr">
        <is>
          <t>Common / Comum</t>
        </is>
      </c>
      <c r="D2292" s="11" t="inlineStr">
        <is>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is>
      </c>
      <c r="E2292" s="11" t="inlineStr">
        <is>
          <t>{4}{G}</t>
        </is>
      </c>
      <c r="F2292" s="11" t="inlineStr">
        <is>
          <t>Verde</t>
        </is>
      </c>
      <c r="G2292" s="8" t="n">
        <v>0.06</v>
      </c>
      <c r="H2292" s="11" t="inlineStr">
        <is>
          <t>Kamigawa: Neon Dynasty (NEO)</t>
        </is>
      </c>
      <c r="I2292" s="11" t="inlineStr">
        <is>
          <t>Não</t>
        </is>
      </c>
      <c r="J2292" s="11" t="n">
        <v>2022</v>
      </c>
      <c r="K2292" s="10" t="n">
        <v>46147</v>
      </c>
      <c r="L2292" s="11" t="n">
        <v>1</v>
      </c>
      <c r="M2292" s="8">
        <f>L2292*G2292</f>
        <v/>
      </c>
      <c r="P2292" s="9" t="n"/>
    </row>
    <row r="2293">
      <c r="A2293" s="11" t="inlineStr">
        <is>
          <t>Lethal Exploit / Façanha Letal</t>
        </is>
      </c>
      <c r="B2293" s="11" t="inlineStr">
        <is>
          <t>Instant / Mágica Instantânea</t>
        </is>
      </c>
      <c r="C2293" s="11" t="inlineStr">
        <is>
          <t>Common / Comum</t>
        </is>
      </c>
      <c r="D2293" s="11" t="inlineStr">
        <is>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is>
      </c>
      <c r="E2293" s="11" t="inlineStr">
        <is>
          <t>{1}{B}</t>
        </is>
      </c>
      <c r="F2293" s="11" t="inlineStr">
        <is>
          <t>Preto</t>
        </is>
      </c>
      <c r="G2293" s="8" t="n">
        <v>0.06</v>
      </c>
      <c r="H2293" s="11" t="inlineStr">
        <is>
          <t>Kamigawa: Neon Dynasty (NEO)</t>
        </is>
      </c>
      <c r="I2293" s="11" t="inlineStr">
        <is>
          <t>Não</t>
        </is>
      </c>
      <c r="J2293" s="11" t="n">
        <v>2022</v>
      </c>
      <c r="L2293" s="11" t="n">
        <v>1</v>
      </c>
      <c r="M2293" s="8">
        <f>L2293*G2293</f>
        <v/>
      </c>
      <c r="P2293" s="9" t="n"/>
    </row>
    <row r="2294">
      <c r="A2294" s="11" t="inlineStr">
        <is>
          <t>Careful Cultivation / Cultivo Cuidadoso</t>
        </is>
      </c>
      <c r="B2294" s="11" t="inlineStr">
        <is>
          <t>Enchantment — Aura / Encantamento — Aura</t>
        </is>
      </c>
      <c r="C2294" s="11" t="inlineStr">
        <is>
          <t>Common / Comum</t>
        </is>
      </c>
      <c r="D2294" s="11" t="inlineStr">
        <is>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is>
      </c>
      <c r="E2294" s="11" t="inlineStr">
        <is>
          <t>{2}{G}</t>
        </is>
      </c>
      <c r="F2294" s="11" t="inlineStr">
        <is>
          <t>Verde</t>
        </is>
      </c>
      <c r="G2294" s="8" t="n">
        <v>0.14</v>
      </c>
      <c r="H2294" s="11" t="inlineStr">
        <is>
          <t>Kamigawa: Neon Dynasty (NEO)</t>
        </is>
      </c>
      <c r="I2294" s="11" t="inlineStr">
        <is>
          <t>Não</t>
        </is>
      </c>
      <c r="J2294" s="11" t="n">
        <v>2022</v>
      </c>
      <c r="L2294" s="11" t="n">
        <v>1</v>
      </c>
      <c r="M2294" s="8">
        <f>L2294*G2294</f>
        <v/>
      </c>
      <c r="P2294" s="9" t="n"/>
    </row>
    <row r="2295">
      <c r="A2295" s="11" t="inlineStr">
        <is>
          <t>Dragonfly Suit / Traje de Libélula</t>
        </is>
      </c>
      <c r="B2295" s="11" t="inlineStr">
        <is>
          <t>Artifact — Vehicle / Artefato — Veículo</t>
        </is>
      </c>
      <c r="C2295" s="11" t="inlineStr">
        <is>
          <t>Common / Comum</t>
        </is>
      </c>
      <c r="D2295" s="11" t="inlineStr">
        <is>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is>
      </c>
      <c r="E2295" s="11" t="inlineStr">
        <is>
          <t>{2}{W}</t>
        </is>
      </c>
      <c r="F2295" s="11" t="inlineStr">
        <is>
          <t>Branco</t>
        </is>
      </c>
      <c r="G2295" s="8" t="n">
        <v>0.06</v>
      </c>
      <c r="H2295" s="11" t="inlineStr">
        <is>
          <t>Kamigawa: Neon Dynasty (NEO)</t>
        </is>
      </c>
      <c r="I2295" s="11" t="inlineStr">
        <is>
          <t>Não</t>
        </is>
      </c>
      <c r="J2295" s="11" t="n">
        <v>2022</v>
      </c>
      <c r="K2295" s="10" t="n">
        <v>46056</v>
      </c>
      <c r="L2295" s="11" t="n">
        <v>1</v>
      </c>
      <c r="M2295" s="8">
        <f>L2295*G2295</f>
        <v/>
      </c>
      <c r="P2295" s="9" t="n"/>
    </row>
    <row r="2296">
      <c r="A2296" s="11" t="inlineStr">
        <is>
          <t>Favor of Jukai / Proteção de Jukai</t>
        </is>
      </c>
      <c r="B2296" s="11" t="inlineStr">
        <is>
          <t>Enchantment — Aura / Encantamento — Aura</t>
        </is>
      </c>
      <c r="C2296" s="11" t="inlineStr">
        <is>
          <t>Common / Comum</t>
        </is>
      </c>
      <c r="D2296" s="11" t="inlineStr">
        <is>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is>
      </c>
      <c r="E2296" s="11" t="inlineStr">
        <is>
          <t>{3}{G}</t>
        </is>
      </c>
      <c r="F2296" s="11" t="inlineStr">
        <is>
          <t>Verde</t>
        </is>
      </c>
      <c r="G2296" s="8" t="n">
        <v>0.04</v>
      </c>
      <c r="H2296" s="11" t="inlineStr">
        <is>
          <t>Kamigawa: Neon Dynasty (NEO)</t>
        </is>
      </c>
      <c r="I2296" s="11" t="inlineStr">
        <is>
          <t>Não</t>
        </is>
      </c>
      <c r="J2296" s="11" t="n">
        <v>2022</v>
      </c>
      <c r="L2296" s="11" t="n">
        <v>1</v>
      </c>
      <c r="M2296" s="8">
        <f>L2296*G2296</f>
        <v/>
      </c>
      <c r="P2296" s="9" t="n"/>
    </row>
    <row r="2297">
      <c r="A2297" s="11" t="inlineStr">
        <is>
          <t>Mothrider Patrol / Patrulheira Ginete de Mariposa</t>
        </is>
      </c>
      <c r="B2297" s="11" t="inlineStr">
        <is>
          <t>Creature — Fox Warrior / Criatura — Raposa Guerreiro</t>
        </is>
      </c>
      <c r="C2297" s="11" t="inlineStr">
        <is>
          <t>Common / Comum</t>
        </is>
      </c>
      <c r="D2297" s="11" t="inlineStr">
        <is>
          <t>Flying {3}{W}, {T}: Tap target creature. / Voar {3}{W}, {T}: Vire a criatura alvo.</t>
        </is>
      </c>
      <c r="E2297" s="11" t="inlineStr">
        <is>
          <t>{W}</t>
        </is>
      </c>
      <c r="F2297" s="11" t="inlineStr">
        <is>
          <t>Branco</t>
        </is>
      </c>
      <c r="G2297" s="8" t="n">
        <v>0.05</v>
      </c>
      <c r="H2297" s="11" t="inlineStr">
        <is>
          <t>Kamigawa: Neon Dynasty (NEO)</t>
        </is>
      </c>
      <c r="I2297" s="11" t="inlineStr">
        <is>
          <t>Não</t>
        </is>
      </c>
      <c r="J2297" s="11" t="n">
        <v>2022</v>
      </c>
      <c r="K2297" s="10" t="n">
        <v>46023</v>
      </c>
      <c r="L2297" s="11" t="n">
        <v>1</v>
      </c>
      <c r="M2297" s="8">
        <f>L2297*G2297</f>
        <v/>
      </c>
      <c r="P2297" s="9" t="n"/>
    </row>
    <row r="2298">
      <c r="A2298" s="11" t="inlineStr">
        <is>
          <t>Sunblade Samurai / Samurai da Lâmina Solar</t>
        </is>
      </c>
      <c r="B2298" s="11" t="inlineStr">
        <is>
          <t>Enchantment Creature — Human Samurai / Criatura Encantamento — Humano Samurai</t>
        </is>
      </c>
      <c r="C2298" s="11" t="inlineStr">
        <is>
          <t>Common / Comum</t>
        </is>
      </c>
      <c r="D2298" s="11" t="inlineStr">
        <is>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is>
      </c>
      <c r="E2298" s="11" t="inlineStr">
        <is>
          <t>{4}{W}</t>
        </is>
      </c>
      <c r="F2298" s="11" t="inlineStr">
        <is>
          <t>Branco</t>
        </is>
      </c>
      <c r="G2298" s="8" t="n">
        <v>0.12</v>
      </c>
      <c r="H2298" s="11" t="inlineStr">
        <is>
          <t>Kamigawa: Neon Dynasty (NEO) V</t>
        </is>
      </c>
      <c r="I2298" s="11" t="inlineStr">
        <is>
          <t>Não</t>
        </is>
      </c>
      <c r="J2298" s="11" t="n">
        <v>2022</v>
      </c>
      <c r="K2298" s="10" t="n">
        <v>46116</v>
      </c>
      <c r="L2298" s="11" t="n">
        <v>1</v>
      </c>
      <c r="M2298" s="8">
        <f>L2298*G2298</f>
        <v/>
      </c>
      <c r="P2298" s="9" t="n"/>
    </row>
    <row r="2299">
      <c r="A2299" s="11" t="inlineStr">
        <is>
          <t>Mukotai Ambusher / Emboscador Mukotai</t>
        </is>
      </c>
      <c r="B2299" s="11" t="inlineStr">
        <is>
          <t>Artifact Creature - Rat Ninja</t>
        </is>
      </c>
      <c r="C2299" s="11" t="inlineStr">
        <is>
          <t>Common / Comum</t>
        </is>
      </c>
      <c r="D2299" s="11" t="inlineStr">
        <is>
          <t>Ninjutso 1{B} vinculo com a vida</t>
        </is>
      </c>
      <c r="E2299" s="11" t="inlineStr">
        <is>
          <t>{3}{R}</t>
        </is>
      </c>
      <c r="F2299" s="11" t="inlineStr">
        <is>
          <t>Preto</t>
        </is>
      </c>
      <c r="G2299" s="8" t="n">
        <v>1</v>
      </c>
      <c r="H2299" s="11" t="inlineStr">
        <is>
          <t>Kamigawa: Neon Dynasty (NEO) V</t>
        </is>
      </c>
      <c r="I2299" s="11" t="inlineStr">
        <is>
          <t>Não</t>
        </is>
      </c>
      <c r="J2299" s="11" t="n">
        <v>2022</v>
      </c>
      <c r="L2299" s="11" t="n">
        <v>1</v>
      </c>
      <c r="M2299" s="8">
        <f>L2299*G2299</f>
        <v/>
      </c>
      <c r="P2299" s="9" t="n"/>
    </row>
    <row r="2300">
      <c r="A2300" s="11" t="inlineStr">
        <is>
          <t>Seven-Tail Mentor / Mentora das Sete Caudas</t>
        </is>
      </c>
      <c r="B2300" s="11" t="inlineStr">
        <is>
          <t>Creature — Fox Samurai / Criatura — Raposa Samurai</t>
        </is>
      </c>
      <c r="C2300" s="11" t="inlineStr">
        <is>
          <t>Common / Comum</t>
        </is>
      </c>
      <c r="D2300" s="11" t="inlineStr">
        <is>
          <t>When this creature enters or dies, put a +1/+1 counter on target creature or Vehicle you control. / Quando Mentora das Sete Caudas entrar no campo de batalha ou morrer, coloque um marcador +1/+1 na criatura ou no Veículo alvo que você controla.</t>
        </is>
      </c>
      <c r="E2300" s="11" t="inlineStr">
        <is>
          <t>{3}{W}</t>
        </is>
      </c>
      <c r="F2300" s="11" t="inlineStr">
        <is>
          <t>Branco</t>
        </is>
      </c>
      <c r="G2300" s="8" t="n">
        <v>0.11</v>
      </c>
      <c r="H2300" s="11" t="inlineStr">
        <is>
          <t>Kamigawa: Neon Dynasty (NEO)</t>
        </is>
      </c>
      <c r="I2300" s="11" t="inlineStr">
        <is>
          <t>Não</t>
        </is>
      </c>
      <c r="J2300" s="11" t="n">
        <v>2022</v>
      </c>
      <c r="K2300" s="10" t="n">
        <v>46083</v>
      </c>
      <c r="L2300" s="11" t="n">
        <v>1</v>
      </c>
      <c r="M2300" s="8">
        <f>L2300*G2300</f>
        <v/>
      </c>
      <c r="P2300" s="9" t="n"/>
    </row>
    <row r="2301">
      <c r="A2301" s="11" t="inlineStr">
        <is>
          <t>Pestilence / Pestilência</t>
        </is>
      </c>
      <c r="B2301" s="11" t="inlineStr">
        <is>
          <t>Enchantment</t>
        </is>
      </c>
      <c r="C2301" s="11" t="inlineStr">
        <is>
          <t>Common / Comum</t>
        </is>
      </c>
      <c r="D2301" s="11" t="inlineStr">
        <is>
          <t>At the beginning of the end step, if no creatures are on the battlefield, sacrifice this enchantment. {B}: This enchantment deals 1 damage to each creature and each player.</t>
        </is>
      </c>
      <c r="E2301" s="11" t="inlineStr">
        <is>
          <t>{2}{B}{B}</t>
        </is>
      </c>
      <c r="F2301" s="11" t="inlineStr">
        <is>
          <t>Preto</t>
        </is>
      </c>
      <c r="G2301" s="8" t="n">
        <v>0.99</v>
      </c>
      <c r="H2301" s="11" t="inlineStr">
        <is>
          <t>Quarta edição</t>
        </is>
      </c>
      <c r="I2301" s="11" t="inlineStr">
        <is>
          <t>Não</t>
        </is>
      </c>
      <c r="J2301" s="11" t="n">
        <v>1995</v>
      </c>
      <c r="L2301" s="11" t="n">
        <v>3</v>
      </c>
      <c r="M2301" s="8">
        <f>L2301*G2301</f>
        <v/>
      </c>
      <c r="P2301" s="9" t="n"/>
    </row>
    <row r="2302">
      <c r="A2302" s="11" t="inlineStr">
        <is>
          <t>Pestilence / Pestilência</t>
        </is>
      </c>
      <c r="B2302" s="11" t="inlineStr">
        <is>
          <t>Enchantment</t>
        </is>
      </c>
      <c r="C2302" s="11" t="inlineStr">
        <is>
          <t>Common / Comum</t>
        </is>
      </c>
      <c r="D2302" s="11" t="inlineStr">
        <is>
          <t>At the beginning of the end step, if no creatures are on the battlefield, sacrifice this enchantment. {B}: This enchantment deals 1 damage to each creature and each player.</t>
        </is>
      </c>
      <c r="E2302" s="11" t="inlineStr">
        <is>
          <t>{2}{B}{B}</t>
        </is>
      </c>
      <c r="F2302" s="11" t="inlineStr">
        <is>
          <t>Preto</t>
        </is>
      </c>
      <c r="G2302" s="8" t="n">
        <v>3.12</v>
      </c>
      <c r="H2302" s="11" t="inlineStr">
        <is>
          <t>Revised Edition</t>
        </is>
      </c>
      <c r="I2302" s="11" t="inlineStr">
        <is>
          <t>Não</t>
        </is>
      </c>
      <c r="J2302" s="11" t="n">
        <v>1993</v>
      </c>
      <c r="L2302" s="11" t="n">
        <v>1</v>
      </c>
      <c r="M2302" s="8">
        <f>L2302*G2302</f>
        <v/>
      </c>
      <c r="P2302" s="9" t="n"/>
    </row>
    <row r="2303">
      <c r="A2303" s="11" t="inlineStr">
        <is>
          <t>Word of Binding / Palavras de Poder</t>
        </is>
      </c>
      <c r="B2303" s="11" t="inlineStr">
        <is>
          <t>Sorcery</t>
        </is>
      </c>
      <c r="C2303" s="11" t="inlineStr">
        <is>
          <t>Common / Comum</t>
        </is>
      </c>
      <c r="D2303" s="11" t="inlineStr">
        <is>
          <t>Tap X target creatures.</t>
        </is>
      </c>
      <c r="E2303" s="11" t="inlineStr">
        <is>
          <t>{X}{B}{B}</t>
        </is>
      </c>
      <c r="F2303" s="11" t="inlineStr">
        <is>
          <t>Preto</t>
        </is>
      </c>
      <c r="G2303" s="8" t="n">
        <v>0.08</v>
      </c>
      <c r="H2303" s="11" t="inlineStr">
        <is>
          <t>Quarta Edição (BB)</t>
        </is>
      </c>
      <c r="I2303" s="11" t="inlineStr">
        <is>
          <t>Não</t>
        </is>
      </c>
      <c r="J2303" s="11" t="n">
        <v>1995</v>
      </c>
      <c r="L2303" s="11" t="n">
        <v>3</v>
      </c>
      <c r="M2303" s="8">
        <f>L2303*G2303</f>
        <v/>
      </c>
      <c r="P2303" s="9" t="n"/>
    </row>
    <row r="2304">
      <c r="A2304" s="11" t="inlineStr">
        <is>
          <t>Word of Binding / Palavras de Poder</t>
        </is>
      </c>
      <c r="B2304" s="11" t="inlineStr">
        <is>
          <t>Sorcery</t>
        </is>
      </c>
      <c r="C2304" s="11" t="inlineStr">
        <is>
          <t>Common / Comum</t>
        </is>
      </c>
      <c r="D2304" s="11" t="inlineStr">
        <is>
          <t>Tap X target creatures.</t>
        </is>
      </c>
      <c r="E2304" s="11" t="inlineStr">
        <is>
          <t>{X}{B}{B}</t>
        </is>
      </c>
      <c r="F2304" s="11" t="inlineStr">
        <is>
          <t>Preto</t>
        </is>
      </c>
      <c r="G2304" s="8" t="n">
        <v>0.06</v>
      </c>
      <c r="H2304" s="11" t="inlineStr">
        <is>
          <t>Quarta Edição</t>
        </is>
      </c>
      <c r="I2304" s="11" t="inlineStr">
        <is>
          <t>Não</t>
        </is>
      </c>
      <c r="J2304" s="11" t="n">
        <v>1995</v>
      </c>
      <c r="L2304" s="11" t="n">
        <v>2</v>
      </c>
      <c r="M2304" s="8">
        <f>L2304*G2304</f>
        <v/>
      </c>
      <c r="P2304" s="9" t="n"/>
    </row>
    <row r="2305">
      <c r="A2305" s="11" t="inlineStr">
        <is>
          <t>Feast or Famine / Fartura ou Penúria</t>
        </is>
      </c>
      <c r="B2305" s="11" t="inlineStr">
        <is>
          <t>Instant</t>
        </is>
      </c>
      <c r="C2305" s="11" t="inlineStr">
        <is>
          <t>Common / Comum</t>
        </is>
      </c>
      <c r="D2305" s="11" t="inlineStr">
        <is>
          <t>Choose one — • Create a 2/2 black Zombie creature token. • Destroy target nonartifact, nonblack creature. It can't be regenerated.</t>
        </is>
      </c>
      <c r="E2305" s="11" t="inlineStr">
        <is>
          <t>{3}{B}</t>
        </is>
      </c>
      <c r="F2305" s="11" t="inlineStr">
        <is>
          <t>Preto</t>
        </is>
      </c>
      <c r="G2305" s="8" t="n">
        <v>0.08</v>
      </c>
      <c r="H2305" s="11" t="inlineStr">
        <is>
          <t>Alliances (ALL)</t>
        </is>
      </c>
      <c r="I2305" s="11" t="inlineStr">
        <is>
          <t>Não</t>
        </is>
      </c>
      <c r="J2305" s="11" t="n">
        <v>1996</v>
      </c>
      <c r="L2305" s="11" t="n">
        <v>2</v>
      </c>
      <c r="M2305" s="8">
        <f>L2305*G2305</f>
        <v/>
      </c>
      <c r="P2305" s="9" t="n"/>
    </row>
    <row r="2306">
      <c r="A2306" s="11" t="inlineStr">
        <is>
          <t>Paralyze / Paralizar</t>
        </is>
      </c>
      <c r="B2306" s="11" t="inlineStr">
        <is>
          <t>Enchantment — Aura</t>
        </is>
      </c>
      <c r="C2306" s="11" t="inlineStr">
        <is>
          <t>Common / Comum</t>
        </is>
      </c>
      <c r="D2306"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6" s="11" t="inlineStr">
        <is>
          <t>{B}</t>
        </is>
      </c>
      <c r="F2306" s="11" t="inlineStr">
        <is>
          <t>Preto</t>
        </is>
      </c>
      <c r="G2306" s="8" t="n">
        <v>0.12</v>
      </c>
      <c r="H2306" s="11" t="inlineStr">
        <is>
          <t>Quarta Edição (BB)</t>
        </is>
      </c>
      <c r="I2306" s="11" t="inlineStr">
        <is>
          <t>Não</t>
        </is>
      </c>
      <c r="J2306" s="11" t="n">
        <v>1995</v>
      </c>
      <c r="L2306" s="11" t="n">
        <v>2</v>
      </c>
      <c r="M2306" s="8">
        <f>L2306*G2306</f>
        <v/>
      </c>
      <c r="P2306" s="9" t="n"/>
    </row>
    <row r="2307">
      <c r="A2307" s="11" t="inlineStr">
        <is>
          <t>Paralyze / Paralizar</t>
        </is>
      </c>
      <c r="B2307" s="11" t="inlineStr">
        <is>
          <t>Enchantment — Aura</t>
        </is>
      </c>
      <c r="C2307" s="11" t="inlineStr">
        <is>
          <t>Common / Comum</t>
        </is>
      </c>
      <c r="D2307"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7" s="11" t="inlineStr">
        <is>
          <t>{B}</t>
        </is>
      </c>
      <c r="F2307" s="11" t="inlineStr">
        <is>
          <t>Preto</t>
        </is>
      </c>
      <c r="G2307" s="8" t="n">
        <v>0.05</v>
      </c>
      <c r="H2307" s="11" t="inlineStr">
        <is>
          <t>Quarta Edição</t>
        </is>
      </c>
      <c r="I2307" s="11" t="inlineStr">
        <is>
          <t>Não</t>
        </is>
      </c>
      <c r="J2307" s="11" t="n">
        <v>1995</v>
      </c>
      <c r="L2307" s="11" t="n">
        <v>2</v>
      </c>
      <c r="M2307" s="8">
        <f>L2307*G2307</f>
        <v/>
      </c>
      <c r="P2307" s="9" t="n"/>
    </row>
    <row r="2308">
      <c r="A2308" s="11" t="inlineStr">
        <is>
          <t>Paralyze / Paralizar</t>
        </is>
      </c>
      <c r="B2308" s="11" t="inlineStr">
        <is>
          <t>Enchantment — Aura</t>
        </is>
      </c>
      <c r="C2308" s="11" t="inlineStr">
        <is>
          <t>Common / Comum</t>
        </is>
      </c>
      <c r="D2308" s="11"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308" s="11" t="inlineStr">
        <is>
          <t>{B}</t>
        </is>
      </c>
      <c r="F2308" s="11" t="inlineStr">
        <is>
          <t>Preto</t>
        </is>
      </c>
      <c r="G2308" s="8" t="n">
        <v>0.48</v>
      </c>
      <c r="H2308" s="11" t="inlineStr">
        <is>
          <t>Revised Edition</t>
        </is>
      </c>
      <c r="I2308" s="11" t="inlineStr">
        <is>
          <t>Não</t>
        </is>
      </c>
      <c r="J2308" s="11" t="n">
        <v>1994</v>
      </c>
      <c r="L2308" s="11" t="n">
        <v>2</v>
      </c>
      <c r="M2308" s="8">
        <f>L2308*G2308</f>
        <v/>
      </c>
      <c r="P2308" s="9" t="n"/>
    </row>
    <row r="2309">
      <c r="A2309" s="11" t="inlineStr">
        <is>
          <t>Cuombajj Witches / Bruxas Cuombajj</t>
        </is>
      </c>
      <c r="B2309" s="11" t="inlineStr">
        <is>
          <t>Creature — Human Wizard / Criatura — Humano Mago</t>
        </is>
      </c>
      <c r="C2309" s="11" t="inlineStr">
        <is>
          <t>Common / Comum</t>
        </is>
      </c>
      <c r="D2309" s="11" t="inlineStr">
        <is>
          <t>{T}: This creature deals 1 damage to any target and 1 damage to any target of an opponent's choice. / {T}: Bruxas Cuombajj causa 1 ponto de dano a qualquer alvo e 1 ponto de dano a qualquer alvo à escolha de um oponente.</t>
        </is>
      </c>
      <c r="E2309" s="11" t="inlineStr">
        <is>
          <t>{B}{B}</t>
        </is>
      </c>
      <c r="F2309" s="11" t="inlineStr">
        <is>
          <t>Preto</t>
        </is>
      </c>
      <c r="G2309" s="8" t="n">
        <v>1.02</v>
      </c>
      <c r="H2309" s="11" t="inlineStr">
        <is>
          <t>Chronicles</t>
        </is>
      </c>
      <c r="I2309" s="11" t="inlineStr">
        <is>
          <t>Não</t>
        </is>
      </c>
      <c r="J2309" s="11" t="n">
        <v>1995</v>
      </c>
      <c r="K2309" s="10" t="n">
        <v>46082</v>
      </c>
      <c r="L2309" s="11" t="n">
        <v>4</v>
      </c>
      <c r="M2309" s="8">
        <f>L2309*G2309</f>
        <v/>
      </c>
      <c r="P2309" s="9" t="n"/>
    </row>
    <row r="2310">
      <c r="A2310" s="11" t="inlineStr">
        <is>
          <t>Torture / Tortura</t>
        </is>
      </c>
      <c r="B2310" s="11" t="inlineStr">
        <is>
          <t>Enchantment — Aura / Encantamento — Aura</t>
        </is>
      </c>
      <c r="C2310" s="11" t="inlineStr">
        <is>
          <t>Common / Comum</t>
        </is>
      </c>
      <c r="D2310" s="11" t="inlineStr">
        <is>
          <t>Enchant creature {1}{B}: Put a -1/-1 counter on enchanted creature. / Encantar criatura {1}{B}: Coloque um marcador -1/-1 na criatura encantada.</t>
        </is>
      </c>
      <c r="E2310" s="11" t="inlineStr">
        <is>
          <t>{B}</t>
        </is>
      </c>
      <c r="F2310" s="11" t="inlineStr">
        <is>
          <t>Preto</t>
        </is>
      </c>
      <c r="G2310" s="8" t="n">
        <v>0.06</v>
      </c>
      <c r="H2310" s="11" t="inlineStr">
        <is>
          <t>Homelands (HML)</t>
        </is>
      </c>
      <c r="I2310" s="11" t="inlineStr">
        <is>
          <t>Não</t>
        </is>
      </c>
      <c r="J2310" s="11" t="n">
        <v>1995</v>
      </c>
      <c r="L2310" s="11" t="n">
        <v>2</v>
      </c>
      <c r="M2310" s="8">
        <f>L2310*G2310</f>
        <v/>
      </c>
      <c r="P2310" s="9" t="n"/>
    </row>
    <row r="2311">
      <c r="A2311" s="11" t="inlineStr">
        <is>
          <t>Gaze of Pain / Olhar de Dor</t>
        </is>
      </c>
      <c r="B2311" s="11" t="inlineStr">
        <is>
          <t>Sorcery</t>
        </is>
      </c>
      <c r="C2311" s="11" t="inlineStr">
        <is>
          <t>Common / Comum</t>
        </is>
      </c>
      <c r="D2311" s="11" t="inlineStr">
        <is>
          <t>Until end of turn, whenever a creature you control attacks and isn't blocked, you may choose to have it deal damage equal to its power to a target creature. If you do, it assigns no combat damage this turn.</t>
        </is>
      </c>
      <c r="E2311" s="11" t="inlineStr">
        <is>
          <t>{1}{B}</t>
        </is>
      </c>
      <c r="F2311" s="11" t="inlineStr">
        <is>
          <t>Preto</t>
        </is>
      </c>
      <c r="G2311" s="8" t="n">
        <v>0.05</v>
      </c>
      <c r="H2311" s="11" t="inlineStr">
        <is>
          <t>Ice Age (ICE)</t>
        </is>
      </c>
      <c r="I2311" s="11" t="inlineStr">
        <is>
          <t>Não</t>
        </is>
      </c>
      <c r="J2311" s="11" t="n">
        <v>1995</v>
      </c>
      <c r="L2311" s="11" t="n">
        <v>2</v>
      </c>
      <c r="M2311" s="8">
        <f>L2311*G2311</f>
        <v/>
      </c>
      <c r="P2311" s="9" t="n"/>
    </row>
    <row r="2312">
      <c r="A2312" s="11" t="inlineStr">
        <is>
          <t>Mind Ravel / Emaranhado Mental</t>
        </is>
      </c>
      <c r="B2312" s="11" t="inlineStr">
        <is>
          <t>Sorcery</t>
        </is>
      </c>
      <c r="C2312" s="11" t="inlineStr">
        <is>
          <t>Common / Comum</t>
        </is>
      </c>
      <c r="D2312" s="11" t="inlineStr">
        <is>
          <t>Target player discards a card. Draw a card at the beginning of the next turn's upkeep.</t>
        </is>
      </c>
      <c r="E2312" s="11" t="inlineStr">
        <is>
          <t>{2}{B}</t>
        </is>
      </c>
      <c r="F2312" s="11" t="inlineStr">
        <is>
          <t>Preto</t>
        </is>
      </c>
      <c r="G2312" s="8" t="n">
        <v>0.05</v>
      </c>
      <c r="H2312" s="11" t="inlineStr">
        <is>
          <t>Ice Age (ICE)</t>
        </is>
      </c>
      <c r="I2312" s="11" t="inlineStr">
        <is>
          <t>Não</t>
        </is>
      </c>
      <c r="J2312" s="11" t="n">
        <v>1995</v>
      </c>
      <c r="L2312" s="11" t="n">
        <v>2</v>
      </c>
      <c r="M2312" s="8">
        <f>L2312*G2312</f>
        <v/>
      </c>
      <c r="P2312" s="9" t="n"/>
    </row>
    <row r="2313">
      <c r="A2313" s="11" t="inlineStr">
        <is>
          <t>Krovikan Fetish / Fetiche Krovikano</t>
        </is>
      </c>
      <c r="B2313" s="11" t="inlineStr">
        <is>
          <t>Enchantment — Aura</t>
        </is>
      </c>
      <c r="C2313" s="11" t="inlineStr">
        <is>
          <t>Common / Comum</t>
        </is>
      </c>
      <c r="D2313" s="11" t="inlineStr">
        <is>
          <t>Enchant creature When this Aura enters, draw a card at the beginning of the next turn's upkeep. Enchanted creature gets +1/+1.</t>
        </is>
      </c>
      <c r="E2313" s="11" t="inlineStr">
        <is>
          <t>{2}{B}</t>
        </is>
      </c>
      <c r="F2313" s="11" t="inlineStr">
        <is>
          <t>Preto</t>
        </is>
      </c>
      <c r="G2313" s="8" t="n">
        <v>0.08</v>
      </c>
      <c r="H2313" s="11" t="inlineStr">
        <is>
          <t>Ice Age (ICE)</t>
        </is>
      </c>
      <c r="I2313" s="11" t="inlineStr">
        <is>
          <t>Não</t>
        </is>
      </c>
      <c r="J2313" s="11" t="n">
        <v>1995</v>
      </c>
      <c r="L2313" s="11" t="n">
        <v>1</v>
      </c>
      <c r="M2313" s="8">
        <f>L2313*G2313</f>
        <v/>
      </c>
      <c r="P2313" s="9" t="n"/>
    </row>
    <row r="2314">
      <c r="A2314" s="11" t="inlineStr">
        <is>
          <t>Soul Kiss / Beijo da Alma</t>
        </is>
      </c>
      <c r="B2314" s="11" t="inlineStr">
        <is>
          <t>Enchantment — Aura</t>
        </is>
      </c>
      <c r="C2314" s="11" t="inlineStr">
        <is>
          <t>Common / Comum</t>
        </is>
      </c>
      <c r="D2314" s="11" t="inlineStr">
        <is>
          <t>Enchant creature {B}, Pay 1 life: Enchanted creature gets +2/+2 until end of turn. Activate no more than three times each turn.</t>
        </is>
      </c>
      <c r="E2314" s="11" t="inlineStr">
        <is>
          <t>{2}{B}</t>
        </is>
      </c>
      <c r="F2314" s="11" t="inlineStr">
        <is>
          <t>Preto</t>
        </is>
      </c>
      <c r="G2314" s="8" t="n">
        <v>0.05</v>
      </c>
      <c r="H2314" s="11" t="inlineStr">
        <is>
          <t>Ice Age (ICE)</t>
        </is>
      </c>
      <c r="I2314" s="11" t="inlineStr">
        <is>
          <t>Não</t>
        </is>
      </c>
      <c r="J2314" s="11" t="n">
        <v>1995</v>
      </c>
      <c r="L2314" s="11" t="n">
        <v>1</v>
      </c>
      <c r="M2314" s="8">
        <f>L2314*G2314</f>
        <v/>
      </c>
      <c r="P2314" s="9" t="n"/>
    </row>
    <row r="2315">
      <c r="A2315" s="11" t="inlineStr">
        <is>
          <t>Norritt</t>
        </is>
      </c>
      <c r="B2315" s="11" t="inlineStr">
        <is>
          <t>Creature — Imp</t>
        </is>
      </c>
      <c r="C2315" s="11" t="inlineStr">
        <is>
          <t>Common / Comum</t>
        </is>
      </c>
      <c r="D2315" s="11" t="inlineStr">
        <is>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is>
      </c>
      <c r="E2315" s="11" t="inlineStr">
        <is>
          <t>{3}{B}</t>
        </is>
      </c>
      <c r="F2315" s="11" t="inlineStr">
        <is>
          <t>Preto</t>
        </is>
      </c>
      <c r="G2315" s="8" t="n">
        <v>0.05</v>
      </c>
      <c r="H2315" s="11" t="inlineStr">
        <is>
          <t>Ice Age (ICE)</t>
        </is>
      </c>
      <c r="I2315" s="11" t="inlineStr">
        <is>
          <t>Não</t>
        </is>
      </c>
      <c r="J2315" s="11" t="n">
        <v>1995</v>
      </c>
      <c r="K2315" s="10" t="n">
        <v>46023</v>
      </c>
      <c r="L2315" s="11" t="n">
        <v>2</v>
      </c>
      <c r="M2315" s="8">
        <f>L2315*G2315</f>
        <v/>
      </c>
      <c r="P2315" s="9" t="n"/>
    </row>
    <row r="2316">
      <c r="A2316" s="11" t="inlineStr">
        <is>
          <t>Legions of Lim-Dûl / Legiões de Lim-Dûl</t>
        </is>
      </c>
      <c r="B2316" s="11" t="inlineStr">
        <is>
          <t>Creature — Zombie</t>
        </is>
      </c>
      <c r="C2316" s="11" t="inlineStr">
        <is>
          <t>Common / Comum</t>
        </is>
      </c>
      <c r="D2316" s="11" t="inlineStr">
        <is>
          <t>Snow swampwalk (This creature can't be blocked as long as defending player controls a snow Swamp.)</t>
        </is>
      </c>
      <c r="E2316" s="11" t="inlineStr">
        <is>
          <t>{1}{B}{B}</t>
        </is>
      </c>
      <c r="F2316" s="11" t="inlineStr">
        <is>
          <t>Preto</t>
        </is>
      </c>
      <c r="G2316" s="8" t="n">
        <v>0.05</v>
      </c>
      <c r="H2316" s="11" t="inlineStr">
        <is>
          <t>Ice Age (ICE)</t>
        </is>
      </c>
      <c r="I2316" s="11" t="inlineStr">
        <is>
          <t>Não</t>
        </is>
      </c>
      <c r="J2316" s="11" t="n">
        <v>1995</v>
      </c>
      <c r="K2316" s="10" t="n">
        <v>46083</v>
      </c>
      <c r="L2316" s="11" t="n">
        <v>2</v>
      </c>
      <c r="M2316" s="8">
        <f>L2316*G2316</f>
        <v/>
      </c>
      <c r="P2316" s="9" t="n"/>
    </row>
    <row r="2317">
      <c r="A2317" s="11" t="inlineStr">
        <is>
          <t>Wall of Bone / Barreira de Ossos</t>
        </is>
      </c>
      <c r="B2317" s="11" t="inlineStr">
        <is>
          <t>Creature — Skeleton Wall / Criatura — Esqueleto Barreira</t>
        </is>
      </c>
      <c r="C2317" s="11" t="inlineStr">
        <is>
          <t>Uncommon / Incomum</t>
        </is>
      </c>
      <c r="D2317" s="11" t="inlineStr">
        <is>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is>
      </c>
      <c r="E2317" s="11" t="inlineStr">
        <is>
          <t>{2}{B}</t>
        </is>
      </c>
      <c r="F2317" s="11" t="inlineStr">
        <is>
          <t>Preto</t>
        </is>
      </c>
      <c r="G2317" s="8" t="n">
        <v>0.09</v>
      </c>
      <c r="H2317" s="11" t="inlineStr">
        <is>
          <t>Quarta Edição</t>
        </is>
      </c>
      <c r="I2317" s="11" t="inlineStr">
        <is>
          <t>Não</t>
        </is>
      </c>
      <c r="J2317" s="11" t="n">
        <v>1995</v>
      </c>
      <c r="K2317" s="10" t="n">
        <v>46113</v>
      </c>
      <c r="L2317" s="11" t="n">
        <v>2</v>
      </c>
      <c r="M2317" s="8">
        <f>L2317*G2317</f>
        <v/>
      </c>
      <c r="P2317" s="9" t="n"/>
    </row>
    <row r="2318">
      <c r="A2318" s="11" t="inlineStr">
        <is>
          <t>Unholy Strength / Força Profana</t>
        </is>
      </c>
      <c r="B2318" s="11" t="inlineStr">
        <is>
          <t>Enchantment — Aura / Encantamento — Aura</t>
        </is>
      </c>
      <c r="C2318" s="11" t="inlineStr">
        <is>
          <t>Common / Comum</t>
        </is>
      </c>
      <c r="D2318" s="11" t="inlineStr">
        <is>
          <t>Enchant creature Enchanted creature gets +2/+1. / Encantar criatura A criatura encantada recebe +2/+1.</t>
        </is>
      </c>
      <c r="E2318" s="11" t="inlineStr">
        <is>
          <t>{B}</t>
        </is>
      </c>
      <c r="F2318" s="11" t="inlineStr">
        <is>
          <t>Preto</t>
        </is>
      </c>
      <c r="G2318" s="8" t="n">
        <v>0.2</v>
      </c>
      <c r="H2318" s="11" t="inlineStr">
        <is>
          <t>Quarta Edição (BB)</t>
        </is>
      </c>
      <c r="I2318" s="11" t="inlineStr">
        <is>
          <t>Não</t>
        </is>
      </c>
      <c r="J2318" s="11" t="n">
        <v>1995</v>
      </c>
      <c r="L2318" s="11" t="n">
        <v>4</v>
      </c>
      <c r="M2318" s="8">
        <f>L2318*G2318</f>
        <v/>
      </c>
      <c r="P2318" s="9" t="n"/>
    </row>
    <row r="2319">
      <c r="A2319" s="11" t="inlineStr">
        <is>
          <t>Unholy Strength / Força Profana</t>
        </is>
      </c>
      <c r="B2319" s="11" t="inlineStr">
        <is>
          <t>Enchantment — Aura / Encantamento — Aura</t>
        </is>
      </c>
      <c r="C2319" s="11" t="inlineStr">
        <is>
          <t>Common / Comum</t>
        </is>
      </c>
      <c r="D2319" s="11" t="inlineStr">
        <is>
          <t>Enchant creature Enchanted creature gets +2/+1. / Encantar criatura A criatura encantada recebe +2/+1.</t>
        </is>
      </c>
      <c r="E2319" s="11" t="inlineStr">
        <is>
          <t>{B}</t>
        </is>
      </c>
      <c r="F2319" s="11" t="inlineStr">
        <is>
          <t>Preto</t>
        </is>
      </c>
      <c r="G2319" s="8" t="n">
        <v>0.09</v>
      </c>
      <c r="H2319" s="11" t="inlineStr">
        <is>
          <t>Quarta Edição</t>
        </is>
      </c>
      <c r="I2319" s="11" t="inlineStr">
        <is>
          <t>Não</t>
        </is>
      </c>
      <c r="J2319" s="11" t="n">
        <v>1995</v>
      </c>
      <c r="L2319" s="11" t="n">
        <v>5</v>
      </c>
      <c r="M2319" s="8">
        <f>L2319*G2319</f>
        <v/>
      </c>
      <c r="P2319" s="9" t="n"/>
    </row>
    <row r="2320">
      <c r="A2320" s="11" t="inlineStr">
        <is>
          <t>Unholy Strength / Força Profana</t>
        </is>
      </c>
      <c r="B2320" s="11" t="inlineStr">
        <is>
          <t>Enchantment — Aura / Encantamento — Aura</t>
        </is>
      </c>
      <c r="C2320" s="11" t="inlineStr">
        <is>
          <t>Common / Comum</t>
        </is>
      </c>
      <c r="D2320" s="11" t="inlineStr">
        <is>
          <t>Enchant creature Enchanted creature gets +2/+1. / Encantar criatura A criatura encantada recebe +2/+1.</t>
        </is>
      </c>
      <c r="E2320" s="11" t="inlineStr">
        <is>
          <t>{B}</t>
        </is>
      </c>
      <c r="F2320" s="11" t="inlineStr">
        <is>
          <t>Preto</t>
        </is>
      </c>
      <c r="G2320" s="8" t="n">
        <v>0.68</v>
      </c>
      <c r="H2320" s="11" t="inlineStr">
        <is>
          <t>Revised Edition</t>
        </is>
      </c>
      <c r="I2320" s="11" t="inlineStr">
        <is>
          <t>Não</t>
        </is>
      </c>
      <c r="J2320" s="11" t="n">
        <v>1994</v>
      </c>
      <c r="L2320" s="11" t="n">
        <v>1</v>
      </c>
      <c r="M2320" s="8">
        <f>L2320*G2320</f>
        <v/>
      </c>
      <c r="P2320" s="9" t="n"/>
    </row>
    <row r="2321">
      <c r="A2321" s="11" t="inlineStr">
        <is>
          <t>Fear / Amedrontar</t>
        </is>
      </c>
      <c r="B2321" s="11" t="inlineStr">
        <is>
          <t>Enchantment — Aura / Encantamento — Aura</t>
        </is>
      </c>
      <c r="C2321" s="11" t="inlineStr">
        <is>
          <t>Common / Comum</t>
        </is>
      </c>
      <c r="D2321"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1" s="11" t="inlineStr">
        <is>
          <t>{B}{B}</t>
        </is>
      </c>
      <c r="F2321" s="11" t="inlineStr">
        <is>
          <t>Preto</t>
        </is>
      </c>
      <c r="G2321" s="8" t="n">
        <v>0.21</v>
      </c>
      <c r="H2321" s="11" t="inlineStr">
        <is>
          <t>Quarta Edição (BB)</t>
        </is>
      </c>
      <c r="I2321" s="11" t="inlineStr">
        <is>
          <t>Não</t>
        </is>
      </c>
      <c r="J2321" s="11" t="n">
        <v>1995</v>
      </c>
      <c r="L2321" s="11" t="n">
        <v>3</v>
      </c>
      <c r="M2321" s="8">
        <f>L2321*G2321</f>
        <v/>
      </c>
      <c r="P2321" s="9" t="n"/>
    </row>
    <row r="2322">
      <c r="A2322" s="11" t="inlineStr">
        <is>
          <t>Fear / Amedrontar</t>
        </is>
      </c>
      <c r="B2322" s="11" t="inlineStr">
        <is>
          <t>Enchantment — Aura / Encantamento — Aura</t>
        </is>
      </c>
      <c r="C2322" s="11" t="inlineStr">
        <is>
          <t>Common / Comum</t>
        </is>
      </c>
      <c r="D2322"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2" s="11" t="inlineStr">
        <is>
          <t>{B}{B}</t>
        </is>
      </c>
      <c r="F2322" s="11" t="inlineStr">
        <is>
          <t>Preto</t>
        </is>
      </c>
      <c r="G2322" s="8" t="n">
        <v>0.08</v>
      </c>
      <c r="H2322" s="11" t="inlineStr">
        <is>
          <t>Quarta Edição</t>
        </is>
      </c>
      <c r="I2322" s="11" t="inlineStr">
        <is>
          <t>Não</t>
        </is>
      </c>
      <c r="J2322" s="11" t="n">
        <v>1995</v>
      </c>
      <c r="L2322" s="11" t="n">
        <v>3</v>
      </c>
      <c r="M2322" s="8">
        <f>L2322*G2322</f>
        <v/>
      </c>
      <c r="P2322" s="9" t="n"/>
    </row>
    <row r="2323">
      <c r="A2323" s="11" t="inlineStr">
        <is>
          <t>Fear / Amedrontar</t>
        </is>
      </c>
      <c r="B2323" s="11" t="inlineStr">
        <is>
          <t>Enchantment — Aura / Encantamento — Aura</t>
        </is>
      </c>
      <c r="C2323" s="11" t="inlineStr">
        <is>
          <t>Common / Comum</t>
        </is>
      </c>
      <c r="D2323" s="11"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23" s="11" t="inlineStr">
        <is>
          <t>{B}{B}</t>
        </is>
      </c>
      <c r="F2323" s="11" t="inlineStr">
        <is>
          <t>Preto</t>
        </is>
      </c>
      <c r="G2323" s="8" t="n">
        <v>0.15</v>
      </c>
      <c r="H2323" s="11" t="inlineStr">
        <is>
          <t>Revised Edition</t>
        </is>
      </c>
      <c r="I2323" s="11" t="inlineStr">
        <is>
          <t>Não</t>
        </is>
      </c>
      <c r="J2323" s="11" t="n">
        <v>1995</v>
      </c>
      <c r="L2323" s="11" t="n">
        <v>2</v>
      </c>
      <c r="M2323" s="8">
        <f>L2323*G2323</f>
        <v/>
      </c>
      <c r="P2323" s="9" t="n"/>
    </row>
    <row r="2324">
      <c r="A2324" s="11" t="inlineStr">
        <is>
          <t>The Fallen</t>
        </is>
      </c>
      <c r="B2324" s="11" t="inlineStr">
        <is>
          <t>Creature — Zombie</t>
        </is>
      </c>
      <c r="C2324" s="11" t="inlineStr">
        <is>
          <t>Uncommon / Incomum</t>
        </is>
      </c>
      <c r="D2324" s="11" t="inlineStr">
        <is>
          <t>At the beginning of your upkeep, this creature deals 1 damage to each opponent and planeswalker it has dealt damage to this game.</t>
        </is>
      </c>
      <c r="E2324" s="11" t="inlineStr">
        <is>
          <t>{1}{B}{B}{B}</t>
        </is>
      </c>
      <c r="F2324" s="11" t="inlineStr">
        <is>
          <t>Preto</t>
        </is>
      </c>
      <c r="G2324" s="8" t="n">
        <v>0.19</v>
      </c>
      <c r="H2324" s="11" t="inlineStr">
        <is>
          <t>Chronicles</t>
        </is>
      </c>
      <c r="I2324" s="11" t="inlineStr">
        <is>
          <t>Não</t>
        </is>
      </c>
      <c r="J2324" s="11" t="n">
        <v>1995</v>
      </c>
      <c r="K2324" s="10" t="n">
        <v>46083</v>
      </c>
      <c r="L2324" s="11" t="n">
        <v>2</v>
      </c>
      <c r="M2324" s="8">
        <f>L2324*G2324</f>
        <v/>
      </c>
      <c r="P2324" s="9" t="n"/>
    </row>
    <row r="2325">
      <c r="A2325" s="11" t="inlineStr">
        <is>
          <t>Frozen Shade / Sombra Materializada</t>
        </is>
      </c>
      <c r="B2325" s="11" t="inlineStr">
        <is>
          <t>Creature — Shade</t>
        </is>
      </c>
      <c r="C2325" s="11" t="inlineStr">
        <is>
          <t>Common / Comum</t>
        </is>
      </c>
      <c r="D2325" s="11" t="inlineStr">
        <is>
          <t>{B}: This creature gets +1/+1 until end of turn.</t>
        </is>
      </c>
      <c r="E2325" s="11" t="inlineStr">
        <is>
          <t>{2}{B}</t>
        </is>
      </c>
      <c r="F2325" s="11" t="inlineStr">
        <is>
          <t>Preto</t>
        </is>
      </c>
      <c r="G2325" s="8" t="n">
        <v>0.17</v>
      </c>
      <c r="H2325" s="11" t="inlineStr">
        <is>
          <t>Quarta Edição (BB)</t>
        </is>
      </c>
      <c r="I2325" s="11" t="inlineStr">
        <is>
          <t>Não</t>
        </is>
      </c>
      <c r="J2325" s="11" t="n">
        <v>1995</v>
      </c>
      <c r="K2325" s="11" t="inlineStr">
        <is>
          <t>0/1</t>
        </is>
      </c>
      <c r="L2325" s="11" t="n">
        <v>2</v>
      </c>
      <c r="M2325" s="8">
        <f>L2325*G2325</f>
        <v/>
      </c>
      <c r="P2325" s="9" t="n"/>
    </row>
    <row r="2326">
      <c r="A2326" s="11" t="inlineStr">
        <is>
          <t>Frozen Shade / Sombra Materializada</t>
        </is>
      </c>
      <c r="B2326" s="11" t="inlineStr">
        <is>
          <t>Creature — Shade</t>
        </is>
      </c>
      <c r="C2326" s="11" t="inlineStr">
        <is>
          <t>Common / Comum</t>
        </is>
      </c>
      <c r="D2326" s="11" t="inlineStr">
        <is>
          <t>{B}: This creature gets +1/+1 until end of turn.</t>
        </is>
      </c>
      <c r="E2326" s="11" t="inlineStr">
        <is>
          <t>{2}{B}</t>
        </is>
      </c>
      <c r="F2326" s="11" t="inlineStr">
        <is>
          <t>Preto</t>
        </is>
      </c>
      <c r="G2326" s="8" t="n">
        <v>0.08</v>
      </c>
      <c r="H2326" s="11" t="inlineStr">
        <is>
          <t>Quarta Edição</t>
        </is>
      </c>
      <c r="I2326" s="11" t="inlineStr">
        <is>
          <t>Não</t>
        </is>
      </c>
      <c r="J2326" s="11" t="n">
        <v>1995</v>
      </c>
      <c r="K2326" s="11" t="inlineStr">
        <is>
          <t>0/1</t>
        </is>
      </c>
      <c r="L2326" s="11" t="n">
        <v>1</v>
      </c>
      <c r="M2326" s="8">
        <f>L2326*G2326</f>
        <v/>
      </c>
      <c r="P2326" s="9" t="n"/>
    </row>
    <row r="2327">
      <c r="A2327" s="11" t="inlineStr">
        <is>
          <t>Frozen Shade / Sombra Materializada</t>
        </is>
      </c>
      <c r="B2327" s="11" t="inlineStr">
        <is>
          <t>Creature — Shade</t>
        </is>
      </c>
      <c r="C2327" s="11" t="inlineStr">
        <is>
          <t>Common / Comum</t>
        </is>
      </c>
      <c r="D2327" s="11" t="inlineStr">
        <is>
          <t>{B}: This creature gets +1/+1 until end of turn.</t>
        </is>
      </c>
      <c r="E2327" s="11" t="inlineStr">
        <is>
          <t>{2}{B}</t>
        </is>
      </c>
      <c r="F2327" s="11" t="inlineStr">
        <is>
          <t>Preto</t>
        </is>
      </c>
      <c r="G2327" s="8" t="n">
        <v>0.21</v>
      </c>
      <c r="H2327" s="11" t="inlineStr">
        <is>
          <t>Revised Edition</t>
        </is>
      </c>
      <c r="I2327" s="11" t="inlineStr">
        <is>
          <t>Não</t>
        </is>
      </c>
      <c r="J2327" s="11" t="n">
        <v>1994</v>
      </c>
      <c r="K2327" s="11" t="inlineStr">
        <is>
          <t>0/1</t>
        </is>
      </c>
      <c r="L2327" s="11" t="n">
        <v>3</v>
      </c>
      <c r="M2327" s="8">
        <f>L2327*G2327</f>
        <v/>
      </c>
      <c r="P2327" s="9" t="n"/>
    </row>
    <row r="2328">
      <c r="A2328" s="11" t="inlineStr">
        <is>
          <t>Bog Imp / Diabrete do Pântano</t>
        </is>
      </c>
      <c r="B2328" s="11" t="inlineStr">
        <is>
          <t>Creature — Imp / Criatura — Diabrete</t>
        </is>
      </c>
      <c r="C2328" s="11" t="inlineStr">
        <is>
          <t>Common / Comum</t>
        </is>
      </c>
      <c r="D2328" s="11" t="inlineStr">
        <is>
          <t>Flying (This creature can't be blocked except by creatures with flying or reach.) / Voar (Esta criatura só pode ser bloqueada por criaturas com a habilidade de voar.)</t>
        </is>
      </c>
      <c r="E2328" s="11" t="inlineStr">
        <is>
          <t>{1}{B}</t>
        </is>
      </c>
      <c r="F2328" s="11" t="inlineStr">
        <is>
          <t>Preto</t>
        </is>
      </c>
      <c r="G2328" s="8" t="n">
        <v>0.06</v>
      </c>
      <c r="H2328" s="11" t="inlineStr">
        <is>
          <t>Quarta Edição (BB)</t>
        </is>
      </c>
      <c r="I2328" s="11" t="inlineStr">
        <is>
          <t>Não</t>
        </is>
      </c>
      <c r="J2328" s="11" t="n">
        <v>1997</v>
      </c>
      <c r="K2328" s="10" t="n">
        <v>46023</v>
      </c>
      <c r="L2328" s="11" t="n">
        <v>2</v>
      </c>
      <c r="M2328" s="8">
        <f>L2328*G2328</f>
        <v/>
      </c>
      <c r="P2328" s="9" t="n"/>
    </row>
    <row r="2329">
      <c r="A2329" s="11" t="inlineStr">
        <is>
          <t>Bog Imp / Diabrete do Pântano</t>
        </is>
      </c>
      <c r="B2329" s="11" t="inlineStr">
        <is>
          <t>Creature — Imp / Criatura — Diabrete</t>
        </is>
      </c>
      <c r="C2329" s="11" t="inlineStr">
        <is>
          <t>Common / Comum</t>
        </is>
      </c>
      <c r="D2329" s="11" t="inlineStr">
        <is>
          <t>Flying (This creature can't be blocked except by creatures with flying or reach.) / Voar (Esta criatura só pode ser bloqueada por criaturas com a habilidade de voar.)</t>
        </is>
      </c>
      <c r="E2329" s="11" t="inlineStr">
        <is>
          <t>{1}{B}</t>
        </is>
      </c>
      <c r="F2329" s="11" t="inlineStr">
        <is>
          <t>Preto</t>
        </is>
      </c>
      <c r="G2329" s="8" t="n">
        <v>0.06</v>
      </c>
      <c r="H2329" s="11" t="inlineStr">
        <is>
          <t>Quarta Edição</t>
        </is>
      </c>
      <c r="I2329" s="11" t="inlineStr">
        <is>
          <t>Não</t>
        </is>
      </c>
      <c r="J2329" s="11" t="n">
        <v>1997</v>
      </c>
      <c r="K2329" s="10" t="n">
        <v>46023</v>
      </c>
      <c r="L2329" s="11" t="n">
        <v>1</v>
      </c>
      <c r="M2329" s="8">
        <f>L2329*G2329</f>
        <v/>
      </c>
      <c r="P2329" s="9" t="n"/>
    </row>
    <row r="2330">
      <c r="A2330" s="11" t="inlineStr">
        <is>
          <t>Lost Soul / Alma Desgarrada</t>
        </is>
      </c>
      <c r="B2330" s="11" t="inlineStr">
        <is>
          <t>Creature — Spirit Minion</t>
        </is>
      </c>
      <c r="C2330" s="11" t="inlineStr">
        <is>
          <t>Common / Comum</t>
        </is>
      </c>
      <c r="D2330" s="11" t="inlineStr">
        <is>
          <t>Swampwalk (This creature can't be blocked as long as defending player controls a Swamp.)</t>
        </is>
      </c>
      <c r="E2330" s="11" t="inlineStr">
        <is>
          <t>{1}{B}{B}</t>
        </is>
      </c>
      <c r="F2330" s="11" t="inlineStr">
        <is>
          <t>Preto</t>
        </is>
      </c>
      <c r="G2330" s="8" t="n">
        <v>0.06</v>
      </c>
      <c r="H2330" s="11" t="inlineStr">
        <is>
          <t>Quarta Edição (BB)</t>
        </is>
      </c>
      <c r="I2330" s="11" t="inlineStr">
        <is>
          <t>Não</t>
        </is>
      </c>
      <c r="J2330" s="11" t="n">
        <v>1995</v>
      </c>
      <c r="K2330" s="10" t="n">
        <v>46024</v>
      </c>
      <c r="L2330" s="11" t="n">
        <v>2</v>
      </c>
      <c r="M2330" s="8">
        <f>L2330*G2330</f>
        <v/>
      </c>
      <c r="P2330" s="9" t="n"/>
    </row>
    <row r="2331">
      <c r="A2331" s="11" t="inlineStr">
        <is>
          <t>Lost Soul / Alma Desgarrada</t>
        </is>
      </c>
      <c r="B2331" s="11" t="inlineStr">
        <is>
          <t>Creature — Spirit Minion</t>
        </is>
      </c>
      <c r="C2331" s="11" t="inlineStr">
        <is>
          <t>Common / Comum</t>
        </is>
      </c>
      <c r="D2331" s="11" t="inlineStr">
        <is>
          <t>Swampwalk (This creature can't be blocked as long as defending player controls a Swamp.)</t>
        </is>
      </c>
      <c r="E2331" s="11" t="inlineStr">
        <is>
          <t>{1}{B}{B}</t>
        </is>
      </c>
      <c r="F2331" s="11" t="inlineStr">
        <is>
          <t>Preto</t>
        </is>
      </c>
      <c r="G2331" s="8" t="n">
        <v>0.05</v>
      </c>
      <c r="H2331" s="11" t="inlineStr">
        <is>
          <t>Quarta Edição</t>
        </is>
      </c>
      <c r="I2331" s="11" t="inlineStr">
        <is>
          <t>Não</t>
        </is>
      </c>
      <c r="J2331" s="11" t="n">
        <v>1995</v>
      </c>
      <c r="K2331" s="10" t="n">
        <v>46024</v>
      </c>
      <c r="L2331" s="11" t="n">
        <v>2</v>
      </c>
      <c r="M2331" s="8">
        <f>L2331*G2331</f>
        <v/>
      </c>
      <c r="P2331" s="9" t="n"/>
    </row>
    <row r="2332">
      <c r="A2332" s="11" t="inlineStr">
        <is>
          <t>Insidious Bookworms / Traças de Livro Insidiosas</t>
        </is>
      </c>
      <c r="B2332" s="11" t="inlineStr">
        <is>
          <t>Creature — Worm</t>
        </is>
      </c>
      <c r="C2332" s="11" t="inlineStr">
        <is>
          <t>Common / Comum</t>
        </is>
      </c>
      <c r="D2332" s="11" t="inlineStr">
        <is>
          <t>When this creature dies, you may pay {1}{B}. If you do, target player discards a card at random.</t>
        </is>
      </c>
      <c r="E2332" s="11" t="inlineStr">
        <is>
          <t>{B}</t>
        </is>
      </c>
      <c r="F2332" s="11" t="inlineStr">
        <is>
          <t>Preto</t>
        </is>
      </c>
      <c r="G2332" s="8" t="n">
        <v>0.08</v>
      </c>
      <c r="H2332" s="11" t="inlineStr">
        <is>
          <t>Alliances (ALL)</t>
        </is>
      </c>
      <c r="I2332" s="11" t="inlineStr">
        <is>
          <t>Não</t>
        </is>
      </c>
      <c r="J2332" s="11" t="n">
        <v>1996</v>
      </c>
      <c r="K2332" s="10" t="n">
        <v>46023</v>
      </c>
      <c r="L2332" s="11" t="n">
        <v>3</v>
      </c>
      <c r="M2332" s="8">
        <f>L2332*G2332</f>
        <v/>
      </c>
      <c r="P2332" s="9" t="n"/>
    </row>
    <row r="2333">
      <c r="A2333" s="11" t="inlineStr">
        <is>
          <t>Krovikan Plague / Peste Krovikana</t>
        </is>
      </c>
      <c r="B2333" s="11" t="inlineStr">
        <is>
          <t>Enchantment — Aura</t>
        </is>
      </c>
      <c r="C2333" s="11" t="inlineStr">
        <is>
          <t>Uncommon / Incomum</t>
        </is>
      </c>
      <c r="D2333" s="11" t="inlineStr">
        <is>
          <t>Enchant non-Wall creature you control When this Aura enters, draw a card at the beginning of the next turn's upkeep. Tap enchanted creature: This Aura deals 1 damage to any target. Put a -0/-1 counter on enchanted creature. Activate only if enchanted creature is untapped.</t>
        </is>
      </c>
      <c r="E2333" s="11" t="inlineStr">
        <is>
          <t>{2}{B}</t>
        </is>
      </c>
      <c r="F2333" s="11" t="inlineStr">
        <is>
          <t>Preto</t>
        </is>
      </c>
      <c r="G2333" s="8" t="n">
        <v>0.12</v>
      </c>
      <c r="H2333" s="11" t="inlineStr">
        <is>
          <t>Alliances (ALL)</t>
        </is>
      </c>
      <c r="I2333" s="11" t="inlineStr">
        <is>
          <t>Não</t>
        </is>
      </c>
      <c r="J2333" s="11" t="n">
        <v>1996</v>
      </c>
      <c r="L2333" s="11" t="n">
        <v>1</v>
      </c>
      <c r="M2333" s="8">
        <f>L2333*G2333</f>
        <v/>
      </c>
      <c r="P2333" s="9" t="n"/>
    </row>
    <row r="2334">
      <c r="A2334" s="11" t="inlineStr">
        <is>
          <t>Casting of Bones / Osteomancia</t>
        </is>
      </c>
      <c r="B2334" s="11" t="inlineStr">
        <is>
          <t>Enchantment — Aura</t>
        </is>
      </c>
      <c r="C2334" s="11" t="inlineStr">
        <is>
          <t>Common / Comum</t>
        </is>
      </c>
      <c r="D2334" s="11" t="inlineStr">
        <is>
          <t>Enchant creature When enchanted creature dies, draw three cards, then discard one of them.</t>
        </is>
      </c>
      <c r="E2334" s="11" t="inlineStr">
        <is>
          <t>{2}{B}</t>
        </is>
      </c>
      <c r="F2334" s="11" t="inlineStr">
        <is>
          <t>Preto</t>
        </is>
      </c>
      <c r="G2334" s="8" t="n">
        <v>0.1</v>
      </c>
      <c r="H2334" s="11" t="inlineStr">
        <is>
          <t>Alliances (ALL)</t>
        </is>
      </c>
      <c r="I2334" s="11" t="inlineStr">
        <is>
          <t>Não</t>
        </is>
      </c>
      <c r="J2334" s="11" t="n">
        <v>1996</v>
      </c>
      <c r="L2334" s="11" t="n">
        <v>1</v>
      </c>
      <c r="M2334" s="8">
        <f>L2334*G2334</f>
        <v/>
      </c>
      <c r="P2334" s="9" t="n"/>
    </row>
    <row r="2335">
      <c r="A2335" s="11" t="inlineStr">
        <is>
          <t>Hoar Shade / Sombra Álgida</t>
        </is>
      </c>
      <c r="B2335" s="11" t="inlineStr">
        <is>
          <t>Creature — Shade</t>
        </is>
      </c>
      <c r="C2335" s="11" t="inlineStr">
        <is>
          <t>Common / Comum</t>
        </is>
      </c>
      <c r="D2335" s="11" t="inlineStr">
        <is>
          <t>{B}: This creature gets +1/+1 until end of turn.</t>
        </is>
      </c>
      <c r="E2335" s="11" t="inlineStr">
        <is>
          <t>{3}{B}</t>
        </is>
      </c>
      <c r="F2335" s="11" t="inlineStr">
        <is>
          <t>Preto</t>
        </is>
      </c>
      <c r="G2335" s="8" t="n">
        <v>0.07000000000000001</v>
      </c>
      <c r="H2335" s="11" t="inlineStr">
        <is>
          <t>Ice Age (ICE)</t>
        </is>
      </c>
      <c r="I2335" s="11" t="inlineStr">
        <is>
          <t>Não</t>
        </is>
      </c>
      <c r="J2335" s="11" t="n">
        <v>1995</v>
      </c>
      <c r="K2335" s="10" t="n">
        <v>46054</v>
      </c>
      <c r="L2335" s="11" t="n">
        <v>2</v>
      </c>
      <c r="M2335" s="8">
        <f>L2335*G2335</f>
        <v/>
      </c>
      <c r="P2335" s="9" t="n"/>
    </row>
    <row r="2336">
      <c r="A2336" s="11" t="inlineStr">
        <is>
          <t>Tourach's Chant</t>
        </is>
      </c>
      <c r="B2336" s="11" t="inlineStr">
        <is>
          <t>Enchantment</t>
        </is>
      </c>
      <c r="C2336" s="11" t="inlineStr">
        <is>
          <t>Uncommon / Incomum</t>
        </is>
      </c>
      <c r="D2336" s="11" t="inlineStr">
        <is>
          <t>At the beginning of your upkeep, sacrifice this enchantment unless you pay {B}. Whenever a player puts a Forest onto the battlefield, this enchantment deals 3 damage to that player unless they put a -1/-1 counter on a creature they control.</t>
        </is>
      </c>
      <c r="E2336" s="11" t="inlineStr">
        <is>
          <t>{1}{B}{B}</t>
        </is>
      </c>
      <c r="F2336" s="11" t="inlineStr">
        <is>
          <t>Preto</t>
        </is>
      </c>
      <c r="G2336" s="8" t="n">
        <v>0.3</v>
      </c>
      <c r="H2336" s="11" t="inlineStr">
        <is>
          <t>Fallen Empires (FEM)</t>
        </is>
      </c>
      <c r="I2336" s="11" t="inlineStr">
        <is>
          <t>Não</t>
        </is>
      </c>
      <c r="J2336" s="11" t="n">
        <v>1994</v>
      </c>
      <c r="L2336" s="11" t="n">
        <v>1</v>
      </c>
      <c r="M2336" s="8">
        <f>L2336*G2336</f>
        <v/>
      </c>
      <c r="P2336" s="9" t="n"/>
    </row>
    <row r="2337">
      <c r="A2337" s="11" t="inlineStr">
        <is>
          <t>Feast of the Unicorn / Festim de Unicórnio</t>
        </is>
      </c>
      <c r="B2337" s="11" t="inlineStr">
        <is>
          <t>Enchantment — Aura</t>
        </is>
      </c>
      <c r="C2337" s="11" t="inlineStr">
        <is>
          <t>Common / Comum</t>
        </is>
      </c>
      <c r="D2337" s="11" t="inlineStr">
        <is>
          <t>Enchant creature Enchanted creature gets +4/+0.</t>
        </is>
      </c>
      <c r="E2337" s="11" t="inlineStr">
        <is>
          <t>{3}{B}</t>
        </is>
      </c>
      <c r="F2337" s="11" t="inlineStr">
        <is>
          <t>Preto</t>
        </is>
      </c>
      <c r="G2337" s="8" t="n">
        <v>0.09</v>
      </c>
      <c r="H2337" s="11" t="inlineStr">
        <is>
          <t>Homelands (HML)</t>
        </is>
      </c>
      <c r="I2337" s="11" t="inlineStr">
        <is>
          <t>Não</t>
        </is>
      </c>
      <c r="J2337" s="11" t="n">
        <v>1995</v>
      </c>
      <c r="L2337" s="11" t="n">
        <v>1</v>
      </c>
      <c r="M2337" s="8">
        <f>L2337*G2337</f>
        <v/>
      </c>
      <c r="P2337" s="9" t="n"/>
    </row>
    <row r="2338">
      <c r="A2338" s="11" t="inlineStr">
        <is>
          <t>Oath of Lim-Dûl / Juramento de Lim-Dûl</t>
        </is>
      </c>
      <c r="B2338" s="11" t="inlineStr">
        <is>
          <t>Enchantment</t>
        </is>
      </c>
      <c r="C2338" s="11" t="inlineStr">
        <is>
          <t>Rare / Rara</t>
        </is>
      </c>
      <c r="D2338" s="11" t="inlineStr">
        <is>
          <t>Whenever you lose life, for each 1 life you lost, sacrifice a permanent other than this enchantment unless you discard a card. (Damage dealt to you causes you to lose life.) {B}{B}: Draw a card.</t>
        </is>
      </c>
      <c r="E2338" s="11" t="inlineStr">
        <is>
          <t>{3}{B}</t>
        </is>
      </c>
      <c r="F2338" s="11" t="inlineStr">
        <is>
          <t>Preto</t>
        </is>
      </c>
      <c r="G2338" s="8" t="n">
        <v>0.95</v>
      </c>
      <c r="H2338" s="11" t="inlineStr">
        <is>
          <t>Ice Age (ICE)</t>
        </is>
      </c>
      <c r="I2338" s="11" t="inlineStr">
        <is>
          <t>Não</t>
        </is>
      </c>
      <c r="J2338" s="11" t="n">
        <v>1995</v>
      </c>
      <c r="L2338" s="11" t="n">
        <v>1</v>
      </c>
      <c r="M2338" s="8">
        <f>L2338*G2338</f>
        <v/>
      </c>
      <c r="P2338" s="9" t="n"/>
    </row>
    <row r="2339">
      <c r="A2339" s="11" t="inlineStr">
        <is>
          <t>Torture / Tortura</t>
        </is>
      </c>
      <c r="B2339" s="11" t="inlineStr">
        <is>
          <t>Enchantment — Aura / Encantamento — Aura</t>
        </is>
      </c>
      <c r="C2339" s="11" t="inlineStr">
        <is>
          <t>Common / Comum</t>
        </is>
      </c>
      <c r="D2339" s="11" t="inlineStr">
        <is>
          <t>Enchant creature {1}{B}: Put a -1/-1 counter on enchanted creature. / Encantar criatura {1}{B}: Coloque um marcador -1/-1 na criatura encantada.</t>
        </is>
      </c>
      <c r="E2339" s="11" t="inlineStr">
        <is>
          <t>{B}</t>
        </is>
      </c>
      <c r="F2339" s="11" t="inlineStr">
        <is>
          <t>Preto</t>
        </is>
      </c>
      <c r="G2339" s="8" t="n">
        <v>0.09</v>
      </c>
      <c r="H2339" s="11" t="inlineStr">
        <is>
          <t>Homelands (HML)</t>
        </is>
      </c>
      <c r="I2339" s="11" t="inlineStr">
        <is>
          <t>Não</t>
        </is>
      </c>
      <c r="J2339" s="11" t="n">
        <v>1995</v>
      </c>
      <c r="L2339" s="11" t="n">
        <v>1</v>
      </c>
      <c r="M2339" s="8">
        <f>L2339*G2339</f>
        <v/>
      </c>
      <c r="P2339" s="9" t="n"/>
    </row>
    <row r="2340">
      <c r="A2340" s="11" t="inlineStr">
        <is>
          <t>Cosmic Horror / Horror Cósmico</t>
        </is>
      </c>
      <c r="B2340" s="11" t="inlineStr">
        <is>
          <t>Creature — Horror</t>
        </is>
      </c>
      <c r="C2340" s="11" t="inlineStr">
        <is>
          <t>Rare / Rara</t>
        </is>
      </c>
      <c r="D2340" s="11" t="inlineStr">
        <is>
          <t>First strike At the beginning of your upkeep, destroy this creature unless you pay {3}{B}{B}{B}. If this creature is destroyed this way, it deals 7 damage to you.</t>
        </is>
      </c>
      <c r="E2340" s="11" t="inlineStr">
        <is>
          <t>{3}{B}{B}{B}</t>
        </is>
      </c>
      <c r="F2340" s="11" t="inlineStr">
        <is>
          <t>Preto</t>
        </is>
      </c>
      <c r="G2340" s="8" t="n">
        <v>5</v>
      </c>
      <c r="H2340" s="11" t="inlineStr">
        <is>
          <t>Quarta Edição (BB)</t>
        </is>
      </c>
      <c r="I2340" s="11" t="inlineStr">
        <is>
          <t>Não</t>
        </is>
      </c>
      <c r="J2340" s="11" t="n">
        <v>1995</v>
      </c>
      <c r="K2340" s="10" t="n">
        <v>46210</v>
      </c>
      <c r="L2340" s="11" t="n">
        <v>1</v>
      </c>
      <c r="M2340" s="8">
        <f>L2340*G2340</f>
        <v/>
      </c>
      <c r="P2340" s="9" t="n"/>
    </row>
    <row r="2341">
      <c r="A2341" s="11" t="inlineStr">
        <is>
          <t>Nightmare / Pesadelo</t>
        </is>
      </c>
      <c r="B2341" s="11" t="inlineStr">
        <is>
          <t>Creature — Nightmare Horse / Criatura — Pesadelo Cavalo</t>
        </is>
      </c>
      <c r="C2341" s="11" t="inlineStr">
        <is>
          <t>Rare / Rara</t>
        </is>
      </c>
      <c r="D2341" s="11" t="inlineStr">
        <is>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is>
      </c>
      <c r="E2341" s="11" t="inlineStr">
        <is>
          <t>{5}{B}</t>
        </is>
      </c>
      <c r="F2341" s="11" t="inlineStr">
        <is>
          <t>Preto</t>
        </is>
      </c>
      <c r="G2341" s="8" t="n">
        <v>1</v>
      </c>
      <c r="H2341" s="11" t="inlineStr">
        <is>
          <t>Fourth Edition (4ED)</t>
        </is>
      </c>
      <c r="I2341" s="11" t="inlineStr">
        <is>
          <t>Não</t>
        </is>
      </c>
      <c r="J2341" s="11" t="n">
        <v>1995</v>
      </c>
      <c r="K2341" s="11" t="inlineStr">
        <is>
          <t>*/*</t>
        </is>
      </c>
      <c r="L2341" s="11" t="n">
        <v>1</v>
      </c>
      <c r="M2341" s="8">
        <f>L2341*G2341</f>
        <v/>
      </c>
      <c r="P2341" s="9" t="n"/>
    </row>
    <row r="2342">
      <c r="A2342" s="11" t="inlineStr">
        <is>
          <t>Sengir Vampire / Vampiro de Sengir</t>
        </is>
      </c>
      <c r="B2342" s="11" t="inlineStr">
        <is>
          <t>Creature — Vampire / Criatura — Vampiro</t>
        </is>
      </c>
      <c r="C2342" s="11" t="inlineStr">
        <is>
          <t>Uncommon / Incomum</t>
        </is>
      </c>
      <c r="D2342" s="11" t="inlineStr">
        <is>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is>
      </c>
      <c r="E2342" s="11" t="inlineStr">
        <is>
          <t>{3}{B}{B}</t>
        </is>
      </c>
      <c r="F2342" s="11" t="inlineStr">
        <is>
          <t>Preto</t>
        </is>
      </c>
      <c r="G2342" s="8" t="n">
        <v>0.5</v>
      </c>
      <c r="H2342" s="11" t="inlineStr">
        <is>
          <t>Quarta Edição</t>
        </is>
      </c>
      <c r="I2342" s="11" t="inlineStr">
        <is>
          <t>Não</t>
        </is>
      </c>
      <c r="J2342" s="11" t="n">
        <v>1995</v>
      </c>
      <c r="K2342" s="10" t="n">
        <v>46116</v>
      </c>
      <c r="L2342" s="11" t="n">
        <v>1</v>
      </c>
      <c r="M2342" s="8">
        <f>L2342*G2342</f>
        <v/>
      </c>
      <c r="P2342" s="9" t="n"/>
    </row>
    <row r="2343">
      <c r="A2343" s="11" t="inlineStr">
        <is>
          <t>Abomination / Abominação</t>
        </is>
      </c>
      <c r="B2343" s="11" t="inlineStr">
        <is>
          <t>Creature — Horror</t>
        </is>
      </c>
      <c r="C2343" s="11" t="inlineStr">
        <is>
          <t>Uncommon / Incomum</t>
        </is>
      </c>
      <c r="D2343" s="11" t="inlineStr">
        <is>
          <t>Whenever this creature blocks or becomes blocked by a green or white creature, destroy that creature at end of combat.</t>
        </is>
      </c>
      <c r="E2343" s="11" t="inlineStr">
        <is>
          <t>{3}{B}{B}</t>
        </is>
      </c>
      <c r="F2343" s="11" t="inlineStr">
        <is>
          <t>Preto</t>
        </is>
      </c>
      <c r="G2343" s="8" t="n">
        <v>0.2</v>
      </c>
      <c r="H2343" s="11" t="inlineStr">
        <is>
          <t>Quarta Edição</t>
        </is>
      </c>
      <c r="I2343" s="11" t="inlineStr">
        <is>
          <t>Não</t>
        </is>
      </c>
      <c r="J2343" s="11" t="n">
        <v>1995</v>
      </c>
      <c r="K2343" s="10" t="n">
        <v>46175</v>
      </c>
      <c r="L2343" s="11" t="n">
        <v>1</v>
      </c>
      <c r="M2343" s="8">
        <f>L2343*G2343</f>
        <v/>
      </c>
      <c r="P2343" s="9" t="n"/>
    </row>
    <row r="2344">
      <c r="A2344" s="11" t="inlineStr">
        <is>
          <t>Scavenging Ghoul / Carniçal Necrófago</t>
        </is>
      </c>
      <c r="B2344" s="11" t="inlineStr">
        <is>
          <t>Creature — Zombie</t>
        </is>
      </c>
      <c r="C2344" s="11" t="inlineStr">
        <is>
          <t>Uncommon / Incomum</t>
        </is>
      </c>
      <c r="D2344" s="11" t="inlineStr">
        <is>
          <t>At the beginning of each end step, put a corpse counter on this creature for each creature that died this turn. Remove a corpse counter from this creature: Regenerate this creature.</t>
        </is>
      </c>
      <c r="E2344" s="11" t="inlineStr">
        <is>
          <t>{3}{B}</t>
        </is>
      </c>
      <c r="F2344" s="11" t="inlineStr">
        <is>
          <t>Preto</t>
        </is>
      </c>
      <c r="G2344" s="8" t="n">
        <v>0.49</v>
      </c>
      <c r="H2344" s="11" t="inlineStr">
        <is>
          <t>Quarta Edição (BB)</t>
        </is>
      </c>
      <c r="I2344" s="11" t="inlineStr">
        <is>
          <t>Não</t>
        </is>
      </c>
      <c r="J2344" s="11" t="n">
        <v>1995</v>
      </c>
      <c r="K2344" s="10" t="n">
        <v>46055</v>
      </c>
      <c r="L2344" s="11" t="n">
        <v>3</v>
      </c>
      <c r="M2344" s="8">
        <f>L2344*G2344</f>
        <v/>
      </c>
      <c r="P2344" s="9" t="n"/>
    </row>
    <row r="2345">
      <c r="A2345" s="11" t="inlineStr">
        <is>
          <t>Scavenging Ghoul / Carniçal Necrófago</t>
        </is>
      </c>
      <c r="B2345" s="11" t="inlineStr">
        <is>
          <t>Creature — Zombie</t>
        </is>
      </c>
      <c r="C2345" s="11" t="inlineStr">
        <is>
          <t>Uncommon / Incomum</t>
        </is>
      </c>
      <c r="D2345" s="11" t="inlineStr">
        <is>
          <t>At the beginning of each end step, put a corpse counter on this creature for each creature that died this turn. Remove a corpse counter from this creature: Regenerate this creature.</t>
        </is>
      </c>
      <c r="E2345" s="11" t="inlineStr">
        <is>
          <t>{3}{B}</t>
        </is>
      </c>
      <c r="F2345" s="11" t="inlineStr">
        <is>
          <t>Preto</t>
        </is>
      </c>
      <c r="G2345" s="8" t="n">
        <v>0.06</v>
      </c>
      <c r="H2345" s="11" t="inlineStr">
        <is>
          <t>Quarta Edição</t>
        </is>
      </c>
      <c r="I2345" s="11" t="inlineStr">
        <is>
          <t>Não</t>
        </is>
      </c>
      <c r="J2345" s="11" t="n">
        <v>1995</v>
      </c>
      <c r="K2345" s="10" t="n">
        <v>46055</v>
      </c>
      <c r="L2345" s="11" t="n">
        <v>2</v>
      </c>
      <c r="M2345" s="8">
        <f>L2345*G2345</f>
        <v/>
      </c>
      <c r="P2345" s="9" t="n"/>
    </row>
    <row r="2346">
      <c r="A2346" s="11" t="inlineStr">
        <is>
          <t>Sengir Bats / Morcegos de Sengir</t>
        </is>
      </c>
      <c r="B2346" s="11" t="inlineStr">
        <is>
          <t>Creature — Bat</t>
        </is>
      </c>
      <c r="C2346" s="11" t="inlineStr">
        <is>
          <t>Common / Comum</t>
        </is>
      </c>
      <c r="D2346" s="11" t="inlineStr">
        <is>
          <t>Flying Whenever a creature dealt damage by this creature this turn dies, put a +1/+1 counter on this creature.</t>
        </is>
      </c>
      <c r="E2346" s="11" t="inlineStr">
        <is>
          <t>{1}{B}{B}</t>
        </is>
      </c>
      <c r="F2346" s="11" t="inlineStr">
        <is>
          <t>Preto</t>
        </is>
      </c>
      <c r="G2346" s="8" t="n">
        <v>0.08</v>
      </c>
      <c r="H2346" s="11" t="inlineStr">
        <is>
          <t>Homelands (HML)</t>
        </is>
      </c>
      <c r="I2346" s="11" t="inlineStr">
        <is>
          <t>Não</t>
        </is>
      </c>
      <c r="J2346" s="11" t="n">
        <v>1995</v>
      </c>
      <c r="K2346" s="10" t="n">
        <v>46054</v>
      </c>
      <c r="L2346" s="11" t="n">
        <v>2</v>
      </c>
      <c r="M2346" s="8">
        <f>L2346*G2346</f>
        <v/>
      </c>
      <c r="P2346" s="9" t="n"/>
    </row>
    <row r="2347">
      <c r="A2347" s="11" t="inlineStr">
        <is>
          <t>Hyalopterous Lemure / Lêmure Hialóptero</t>
        </is>
      </c>
      <c r="B2347" s="11" t="inlineStr">
        <is>
          <t>Creature — Spirit / Criatura — Espírito</t>
        </is>
      </c>
      <c r="C2347" s="11" t="inlineStr">
        <is>
          <t>Uncommon / Incomum</t>
        </is>
      </c>
      <c r="D2347" s="11" t="inlineStr">
        <is>
          <t>{0}: This creature gets -1/-0 and gains flying until end of turn. / {0}: Lêmure Hialóptero recebe -1/-0 e ganha voar até o final do turno.</t>
        </is>
      </c>
      <c r="E2347" s="11" t="inlineStr">
        <is>
          <t>{4}{B}</t>
        </is>
      </c>
      <c r="F2347" s="11" t="inlineStr">
        <is>
          <t>Preto</t>
        </is>
      </c>
      <c r="G2347" s="8" t="n">
        <v>0.05</v>
      </c>
      <c r="H2347" s="11" t="inlineStr">
        <is>
          <t>Ice Age (ICE)</t>
        </is>
      </c>
      <c r="I2347" s="11" t="inlineStr">
        <is>
          <t>Não</t>
        </is>
      </c>
      <c r="J2347" s="11" t="n">
        <v>1995</v>
      </c>
      <c r="K2347" s="10" t="n">
        <v>46085</v>
      </c>
      <c r="L2347" s="11" t="n">
        <v>1</v>
      </c>
      <c r="M2347" s="8">
        <f>L2347*G2347</f>
        <v/>
      </c>
      <c r="P2347" s="9" t="n"/>
    </row>
    <row r="2348">
      <c r="A2348" s="11" t="inlineStr">
        <is>
          <t>Lord of the Pit / Senhor das Profundezas</t>
        </is>
      </c>
      <c r="B2348" s="11" t="inlineStr">
        <is>
          <t>Creature — Demon / Criatura — Demônio</t>
        </is>
      </c>
      <c r="C2348" s="11" t="inlineStr">
        <is>
          <t>Rare / Rara</t>
        </is>
      </c>
      <c r="D2348" s="11" t="inlineStr">
        <is>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is>
      </c>
      <c r="E2348" s="11" t="inlineStr">
        <is>
          <t>{4}{B}{B}{B}</t>
        </is>
      </c>
      <c r="F2348" s="11" t="inlineStr">
        <is>
          <t>Preto</t>
        </is>
      </c>
      <c r="G2348" s="8" t="n">
        <v>2.49</v>
      </c>
      <c r="H2348" s="11" t="inlineStr">
        <is>
          <t>Quarta Edição</t>
        </is>
      </c>
      <c r="I2348" s="11" t="inlineStr">
        <is>
          <t>Não</t>
        </is>
      </c>
      <c r="J2348" s="11" t="n">
        <v>1995</v>
      </c>
      <c r="K2348" s="10" t="n">
        <v>46210</v>
      </c>
      <c r="L2348" s="11" t="n">
        <v>1</v>
      </c>
      <c r="M2348" s="8">
        <f>L2348*G2348</f>
        <v/>
      </c>
      <c r="P2348" s="9" t="n"/>
    </row>
    <row r="2349">
      <c r="A2349" s="11" t="inlineStr">
        <is>
          <t>Vampire Bats / Morcegos Vampiros</t>
        </is>
      </c>
      <c r="B2349" s="11" t="inlineStr">
        <is>
          <t>Creature — Bat / Criatura — Morcego</t>
        </is>
      </c>
      <c r="C2349" s="11" t="inlineStr">
        <is>
          <t>Common / Comum</t>
        </is>
      </c>
      <c r="D2349" s="11"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49" s="11" t="inlineStr">
        <is>
          <t>{B}</t>
        </is>
      </c>
      <c r="F2349" s="11" t="inlineStr">
        <is>
          <t>Preto</t>
        </is>
      </c>
      <c r="G2349" s="8" t="n">
        <v>0.2</v>
      </c>
      <c r="H2349" s="11" t="inlineStr">
        <is>
          <t>Quarta Edição (BB)</t>
        </is>
      </c>
      <c r="I2349" s="11" t="inlineStr">
        <is>
          <t>Não</t>
        </is>
      </c>
      <c r="J2349" s="11" t="n">
        <v>1995</v>
      </c>
      <c r="K2349" s="11" t="inlineStr">
        <is>
          <t>0/1</t>
        </is>
      </c>
      <c r="L2349" s="11" t="n">
        <v>5</v>
      </c>
      <c r="M2349" s="8">
        <f>L2349*G2349</f>
        <v/>
      </c>
      <c r="P2349" s="9" t="n"/>
    </row>
    <row r="2350">
      <c r="A2350" s="11" t="inlineStr">
        <is>
          <t>Vampire Bats / Morcegos Vampiros</t>
        </is>
      </c>
      <c r="B2350" s="11" t="inlineStr">
        <is>
          <t>Creature — Bat / Criatura — Morcego</t>
        </is>
      </c>
      <c r="C2350" s="11" t="inlineStr">
        <is>
          <t>Common / Comum</t>
        </is>
      </c>
      <c r="D2350" s="11"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50" s="11" t="inlineStr">
        <is>
          <t>{B}</t>
        </is>
      </c>
      <c r="F2350" s="11" t="inlineStr">
        <is>
          <t>Preto</t>
        </is>
      </c>
      <c r="G2350" s="8" t="n">
        <v>0.05</v>
      </c>
      <c r="H2350" s="11" t="inlineStr">
        <is>
          <t>Quarta Edição</t>
        </is>
      </c>
      <c r="I2350" s="11" t="inlineStr">
        <is>
          <t>Não</t>
        </is>
      </c>
      <c r="J2350" s="11" t="n">
        <v>1995</v>
      </c>
      <c r="K2350" s="11" t="inlineStr">
        <is>
          <t>0/1</t>
        </is>
      </c>
      <c r="L2350" s="11" t="n">
        <v>3</v>
      </c>
      <c r="M2350" s="8">
        <f>L2350*G2350</f>
        <v/>
      </c>
      <c r="P2350" s="9" t="n"/>
    </row>
    <row r="2351">
      <c r="A2351" s="11" t="inlineStr">
        <is>
          <t>Minion of Tevesh Szat / Assecla de Tevesh Szat</t>
        </is>
      </c>
      <c r="B2351" s="11" t="inlineStr">
        <is>
          <t>Creature — Demon Minion</t>
        </is>
      </c>
      <c r="C2351" s="11" t="inlineStr">
        <is>
          <t>Rare / Rara</t>
        </is>
      </c>
      <c r="D2351" s="11" t="inlineStr">
        <is>
          <t>At the beginning of your upkeep, this creature deals 2 damage to you unless you pay {B}{B}. {T}: Target creature gets +3/-2 until end of turn.</t>
        </is>
      </c>
      <c r="E2351" s="11" t="inlineStr">
        <is>
          <t>{4}{B}{B}{B}</t>
        </is>
      </c>
      <c r="F2351" s="11" t="inlineStr">
        <is>
          <t>Preto</t>
        </is>
      </c>
      <c r="G2351" s="8" t="n">
        <v>3.5</v>
      </c>
      <c r="H2351" s="11" t="inlineStr">
        <is>
          <t>Ice Age (ICE)</t>
        </is>
      </c>
      <c r="I2351" s="11" t="inlineStr">
        <is>
          <t>Não</t>
        </is>
      </c>
      <c r="J2351" s="11" t="n">
        <v>1995</v>
      </c>
      <c r="K2351" s="10" t="n">
        <v>46116</v>
      </c>
      <c r="L2351" s="11" t="n">
        <v>1</v>
      </c>
      <c r="M2351" s="8">
        <f>L2351*G2351</f>
        <v/>
      </c>
      <c r="P2351" s="9" t="n"/>
    </row>
    <row r="2352">
      <c r="A2352" s="11" t="inlineStr">
        <is>
          <t>Cemetery Gate / Portão do Cemitério</t>
        </is>
      </c>
      <c r="B2352" s="11" t="inlineStr">
        <is>
          <t>Creature — Wall</t>
        </is>
      </c>
      <c r="C2352" s="11" t="inlineStr">
        <is>
          <t>Common / Comum</t>
        </is>
      </c>
      <c r="D2352" s="11" t="inlineStr">
        <is>
          <t>Defender (This creature can't attack.) Protection from black</t>
        </is>
      </c>
      <c r="E2352" s="11" t="inlineStr">
        <is>
          <t>{2}{B}</t>
        </is>
      </c>
      <c r="F2352" s="11" t="inlineStr">
        <is>
          <t>Preto</t>
        </is>
      </c>
      <c r="G2352" s="8" t="n">
        <v>0.1</v>
      </c>
      <c r="H2352" s="11" t="inlineStr">
        <is>
          <t>Homelands (HML)</t>
        </is>
      </c>
      <c r="I2352" s="11" t="inlineStr">
        <is>
          <t>Não</t>
        </is>
      </c>
      <c r="J2352" s="11" t="n">
        <v>1995</v>
      </c>
      <c r="K2352" s="11" t="inlineStr">
        <is>
          <t>0/5</t>
        </is>
      </c>
      <c r="L2352" s="11" t="n">
        <v>1</v>
      </c>
      <c r="M2352" s="8">
        <f>L2352*G2352</f>
        <v/>
      </c>
      <c r="P2352" s="9" t="n"/>
    </row>
    <row r="2353">
      <c r="A2353" s="11" t="inlineStr">
        <is>
          <t>Simulacrum / Simulacro</t>
        </is>
      </c>
      <c r="B2353" s="11" t="inlineStr">
        <is>
          <t>Instant</t>
        </is>
      </c>
      <c r="C2353" s="11" t="inlineStr">
        <is>
          <t>Uncommon / Incomum</t>
        </is>
      </c>
      <c r="D2353" s="11" t="inlineStr">
        <is>
          <t>You gain life equal to the damage dealt to you this turn. Simulacrum deals damage to target creature you control equal to the damage dealt to you this turn.</t>
        </is>
      </c>
      <c r="E2353" s="11" t="inlineStr">
        <is>
          <t>{1}{B}</t>
        </is>
      </c>
      <c r="F2353" s="11" t="inlineStr">
        <is>
          <t>Preto</t>
        </is>
      </c>
      <c r="G2353" s="8" t="n">
        <v>0.15</v>
      </c>
      <c r="H2353" s="11" t="inlineStr">
        <is>
          <t>Quarta Edição (BB)</t>
        </is>
      </c>
      <c r="I2353" s="11" t="inlineStr">
        <is>
          <t>Não</t>
        </is>
      </c>
      <c r="J2353" s="11" t="n">
        <v>1995</v>
      </c>
      <c r="L2353" s="11" t="n">
        <v>1</v>
      </c>
      <c r="M2353" s="8">
        <f>L2353*G2353</f>
        <v/>
      </c>
      <c r="P2353" s="9" t="n"/>
    </row>
    <row r="2354">
      <c r="A2354" s="11" t="inlineStr">
        <is>
          <t>Simulacrum / Simulacro</t>
        </is>
      </c>
      <c r="B2354" s="11" t="inlineStr">
        <is>
          <t>Instant</t>
        </is>
      </c>
      <c r="C2354" s="11" t="inlineStr">
        <is>
          <t>Uncommon / Incomum</t>
        </is>
      </c>
      <c r="D2354" s="11" t="inlineStr">
        <is>
          <t>You gain life equal to the damage dealt to you this turn. Simulacrum deals damage to target creature you control equal to the damage dealt to you this turn.</t>
        </is>
      </c>
      <c r="E2354" s="11" t="inlineStr">
        <is>
          <t>{1}{B}</t>
        </is>
      </c>
      <c r="F2354" s="11" t="inlineStr">
        <is>
          <t>Preto</t>
        </is>
      </c>
      <c r="G2354" s="8" t="n">
        <v>0.4</v>
      </c>
      <c r="H2354" s="11" t="inlineStr">
        <is>
          <t>Quarta Edição</t>
        </is>
      </c>
      <c r="I2354" s="11" t="inlineStr">
        <is>
          <t>Não</t>
        </is>
      </c>
      <c r="J2354" s="11" t="n">
        <v>1995</v>
      </c>
      <c r="L2354" s="11" t="n">
        <v>1</v>
      </c>
      <c r="M2354" s="8">
        <f>L2354*G2354</f>
        <v/>
      </c>
      <c r="P2354" s="9" t="n"/>
    </row>
    <row r="2355">
      <c r="A2355" s="11" t="inlineStr">
        <is>
          <t>Murk Dwellers / Habitantes das Trevas</t>
        </is>
      </c>
      <c r="B2355" s="11" t="inlineStr">
        <is>
          <t>Creature — Zombie</t>
        </is>
      </c>
      <c r="C2355" s="11" t="inlineStr">
        <is>
          <t>Common / Comum</t>
        </is>
      </c>
      <c r="D2355" s="11" t="inlineStr">
        <is>
          <t>Whenever this creature attacks and isn't blocked, it gets +2/+0 until end of combat.</t>
        </is>
      </c>
      <c r="E2355" s="11" t="inlineStr">
        <is>
          <t>{3}{B}</t>
        </is>
      </c>
      <c r="F2355" s="11" t="inlineStr">
        <is>
          <t>Preto</t>
        </is>
      </c>
      <c r="G2355" s="8" t="n">
        <v>0.08</v>
      </c>
      <c r="H2355" s="11" t="inlineStr">
        <is>
          <t>Quarta Edição (BB)</t>
        </is>
      </c>
      <c r="I2355" s="11" t="inlineStr">
        <is>
          <t>Não</t>
        </is>
      </c>
      <c r="J2355" s="11" t="n">
        <v>1995</v>
      </c>
      <c r="K2355" s="10" t="n">
        <v>46055</v>
      </c>
      <c r="L2355" s="11" t="n">
        <v>3</v>
      </c>
      <c r="M2355" s="8">
        <f>L2355*G2355</f>
        <v/>
      </c>
      <c r="P2355" s="9" t="n"/>
    </row>
    <row r="2356">
      <c r="A2356" s="11" t="inlineStr">
        <is>
          <t>Murk Dwellers / Habitantes das Trevas</t>
        </is>
      </c>
      <c r="B2356" s="11" t="inlineStr">
        <is>
          <t>Creature — Zombie</t>
        </is>
      </c>
      <c r="C2356" s="11" t="inlineStr">
        <is>
          <t>Common / Comum</t>
        </is>
      </c>
      <c r="D2356" s="11" t="inlineStr">
        <is>
          <t>Whenever this creature attacks and isn't blocked, it gets +2/+0 until end of combat.</t>
        </is>
      </c>
      <c r="E2356" s="11" t="inlineStr">
        <is>
          <t>{3}{B}</t>
        </is>
      </c>
      <c r="F2356" s="11" t="inlineStr">
        <is>
          <t>Preto</t>
        </is>
      </c>
      <c r="G2356" s="8" t="n">
        <v>0.08</v>
      </c>
      <c r="H2356" s="11" t="inlineStr">
        <is>
          <t>Quarta Edição</t>
        </is>
      </c>
      <c r="I2356" s="11" t="inlineStr">
        <is>
          <t>Não</t>
        </is>
      </c>
      <c r="J2356" s="11" t="n">
        <v>1995</v>
      </c>
      <c r="K2356" s="10" t="n">
        <v>46055</v>
      </c>
      <c r="L2356" s="11" t="n">
        <v>2</v>
      </c>
      <c r="M2356" s="8">
        <f>L2356*G2356</f>
        <v/>
      </c>
      <c r="P2356" s="9" t="n"/>
    </row>
    <row r="2357">
      <c r="A2357" s="11" t="inlineStr">
        <is>
          <t>Infernal Denizen / Residente Infernal</t>
        </is>
      </c>
      <c r="B2357" s="11" t="inlineStr">
        <is>
          <t>Creature — Demon</t>
        </is>
      </c>
      <c r="C2357" s="11" t="inlineStr">
        <is>
          <t>Rare / Rara</t>
        </is>
      </c>
      <c r="D2357" s="11" t="inlineStr">
        <is>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is>
      </c>
      <c r="E2357" s="11" t="inlineStr">
        <is>
          <t>{7}{B}</t>
        </is>
      </c>
      <c r="F2357" s="11" t="inlineStr">
        <is>
          <t>Preto</t>
        </is>
      </c>
      <c r="G2357" s="8" t="n">
        <v>1.95</v>
      </c>
      <c r="H2357" s="11" t="inlineStr">
        <is>
          <t>Ice Age (ICE)</t>
        </is>
      </c>
      <c r="I2357" s="11" t="inlineStr">
        <is>
          <t>Não</t>
        </is>
      </c>
      <c r="J2357" s="11" t="n">
        <v>1995</v>
      </c>
      <c r="K2357" s="10" t="n">
        <v>46208</v>
      </c>
      <c r="L2357" s="11" t="n">
        <v>1</v>
      </c>
      <c r="M2357" s="8">
        <f>L2357*G2357</f>
        <v/>
      </c>
      <c r="P2357" s="9" t="n"/>
    </row>
    <row r="2358">
      <c r="A2358" s="11" t="inlineStr">
        <is>
          <t>Pit Scorpion / Escorpião das Profundezas</t>
        </is>
      </c>
      <c r="B2358" s="11" t="inlineStr">
        <is>
          <t>Creature — Scorpion</t>
        </is>
      </c>
      <c r="C2358" s="11" t="inlineStr">
        <is>
          <t>Common / Comum</t>
        </is>
      </c>
      <c r="D2358" s="11" t="inlineStr">
        <is>
          <t>Whenever this creature deals damage to a player, that player gets a poison counter. (A player with ten or more poison counters loses the game.)</t>
        </is>
      </c>
      <c r="E2358" s="11" t="inlineStr">
        <is>
          <t>{2}{B}</t>
        </is>
      </c>
      <c r="F2358" s="11" t="inlineStr">
        <is>
          <t>Preto</t>
        </is>
      </c>
      <c r="G2358" s="8" t="n">
        <v>0.08</v>
      </c>
      <c r="H2358" s="11" t="inlineStr">
        <is>
          <t>Quarta Edição (BB)</t>
        </is>
      </c>
      <c r="I2358" s="11" t="inlineStr">
        <is>
          <t>Não</t>
        </is>
      </c>
      <c r="J2358" s="11" t="n">
        <v>1995</v>
      </c>
      <c r="K2358" s="10" t="n">
        <v>46023</v>
      </c>
      <c r="L2358" s="11" t="n">
        <v>1</v>
      </c>
      <c r="M2358" s="8">
        <f>L2358*G2358</f>
        <v/>
      </c>
      <c r="P2358" s="9" t="n"/>
    </row>
    <row r="2359">
      <c r="A2359" s="11" t="inlineStr">
        <is>
          <t>Pit Scorpion / Escorpião das Profundezas</t>
        </is>
      </c>
      <c r="B2359" s="11" t="inlineStr">
        <is>
          <t>Creature — Scorpion</t>
        </is>
      </c>
      <c r="C2359" s="11" t="inlineStr">
        <is>
          <t>Common / Comum</t>
        </is>
      </c>
      <c r="D2359" s="11" t="inlineStr">
        <is>
          <t>Whenever this creature deals damage to a player, that player gets a poison counter. (A player with ten or more poison counters loses the game.)</t>
        </is>
      </c>
      <c r="E2359" s="11" t="inlineStr">
        <is>
          <t>{2}{B}</t>
        </is>
      </c>
      <c r="F2359" s="11" t="inlineStr">
        <is>
          <t>Preto</t>
        </is>
      </c>
      <c r="G2359" s="8" t="n">
        <v>0.05</v>
      </c>
      <c r="H2359" s="11" t="inlineStr">
        <is>
          <t>Quarta Edição</t>
        </is>
      </c>
      <c r="I2359" s="11" t="inlineStr">
        <is>
          <t>Não</t>
        </is>
      </c>
      <c r="J2359" s="11" t="n">
        <v>1995</v>
      </c>
      <c r="K2359" s="10" t="n">
        <v>46023</v>
      </c>
      <c r="L2359" s="11" t="n">
        <v>4</v>
      </c>
      <c r="M2359" s="8">
        <f>L2359*G2359</f>
        <v/>
      </c>
      <c r="P2359" s="9" t="n"/>
    </row>
    <row r="2360">
      <c r="A2360" s="11" t="inlineStr">
        <is>
          <t>Abyssal Specter / Espectro Abissal</t>
        </is>
      </c>
      <c r="B2360" s="11" t="inlineStr">
        <is>
          <t>Creature — Specter / Criatura — Espectro</t>
        </is>
      </c>
      <c r="C2360" s="11" t="inlineStr">
        <is>
          <t>Uncommon / Incomum</t>
        </is>
      </c>
      <c r="D2360" s="11" t="inlineStr">
        <is>
          <t>Flying Whenever this creature deals damage to a player, that player discards a card. / Voar (Esta criatura só pode ser bloqueada por criaturas com a habilidade de voar.) Toda vez que Espectro Abissal causar dano a algum jogador, aquele jogador descarta um card de sua própria mão.</t>
        </is>
      </c>
      <c r="E2360" s="11" t="inlineStr">
        <is>
          <t>{2}{B}{B}</t>
        </is>
      </c>
      <c r="F2360" s="11" t="inlineStr">
        <is>
          <t>Preto</t>
        </is>
      </c>
      <c r="G2360" s="8" t="n">
        <v>0.15</v>
      </c>
      <c r="H2360" s="11" t="inlineStr">
        <is>
          <t>Era Glacial</t>
        </is>
      </c>
      <c r="I2360" s="11" t="inlineStr">
        <is>
          <t>Não</t>
        </is>
      </c>
      <c r="J2360" s="11" t="n">
        <v>1996</v>
      </c>
      <c r="K2360" s="10" t="n">
        <v>46083</v>
      </c>
      <c r="L2360" s="11" t="n">
        <v>1</v>
      </c>
      <c r="M2360" s="8">
        <f>L2360*G2360</f>
        <v/>
      </c>
      <c r="P2360" s="9" t="n"/>
    </row>
    <row r="2361">
      <c r="A2361" s="11" t="inlineStr">
        <is>
          <t>Feral Shadow / Vulto Feroz</t>
        </is>
      </c>
      <c r="B2361" s="11" t="inlineStr">
        <is>
          <t>Creature — Nightstalker</t>
        </is>
      </c>
      <c r="C2361" s="11" t="inlineStr">
        <is>
          <t>Common / Comum</t>
        </is>
      </c>
      <c r="D2361" s="11" t="inlineStr">
        <is>
          <t>Flying</t>
        </is>
      </c>
      <c r="E2361" s="11" t="inlineStr">
        <is>
          <t>{2}{B}</t>
        </is>
      </c>
      <c r="F2361" s="11" t="inlineStr">
        <is>
          <t>Preto</t>
        </is>
      </c>
      <c r="G2361" s="8" t="n">
        <v>0.05</v>
      </c>
      <c r="H2361" s="11" t="inlineStr">
        <is>
          <t>Mirage (MIR)</t>
        </is>
      </c>
      <c r="I2361" s="11" t="inlineStr">
        <is>
          <t>Não</t>
        </is>
      </c>
      <c r="J2361" s="11" t="n">
        <v>1996</v>
      </c>
      <c r="K2361" s="10" t="n">
        <v>46024</v>
      </c>
      <c r="L2361" s="11" t="n">
        <v>1</v>
      </c>
      <c r="M2361" s="8">
        <f>L2361*G2361</f>
        <v/>
      </c>
      <c r="P2361" s="9" t="n"/>
    </row>
    <row r="2362">
      <c r="A2362" s="11" t="inlineStr">
        <is>
          <t>Breathstealer / Ladrão de Fôlego</t>
        </is>
      </c>
      <c r="B2362" s="11" t="inlineStr">
        <is>
          <t>Creature — Nightstalker</t>
        </is>
      </c>
      <c r="C2362" s="11" t="inlineStr">
        <is>
          <t>Common / Comum</t>
        </is>
      </c>
      <c r="D2362" s="11" t="inlineStr">
        <is>
          <t>{B}: This creature gets +1/-1 until end of turn.</t>
        </is>
      </c>
      <c r="E2362" s="11" t="inlineStr">
        <is>
          <t>{2}{B}</t>
        </is>
      </c>
      <c r="F2362" s="11" t="inlineStr">
        <is>
          <t>Preto</t>
        </is>
      </c>
      <c r="G2362" s="8" t="n">
        <v>0.05</v>
      </c>
      <c r="H2362" s="11" t="inlineStr">
        <is>
          <t>Mirage (MIR)</t>
        </is>
      </c>
      <c r="I2362" s="11" t="inlineStr">
        <is>
          <t>Não</t>
        </is>
      </c>
      <c r="J2362" s="11" t="n">
        <v>1996</v>
      </c>
      <c r="K2362" s="10" t="n">
        <v>46055</v>
      </c>
      <c r="L2362" s="11" t="n">
        <v>1</v>
      </c>
      <c r="M2362" s="8">
        <f>L2362*G2362</f>
        <v/>
      </c>
      <c r="P2362" s="9" t="n"/>
    </row>
    <row r="2363">
      <c r="A2363" s="11" t="inlineStr">
        <is>
          <t>Ashen Ghoul / Carniçal Cinéreo</t>
        </is>
      </c>
      <c r="B2363" s="11" t="inlineStr">
        <is>
          <t>Creature — Zombie</t>
        </is>
      </c>
      <c r="C2363" s="11" t="inlineStr">
        <is>
          <t>Uncommon / Incomum</t>
        </is>
      </c>
      <c r="D2363" s="11" t="inlineStr">
        <is>
          <t>Haste {B}: Return this card from your graveyard to the battlefield. Activate only during your upkeep and only if three or more creature cards are above this card.</t>
        </is>
      </c>
      <c r="E2363" s="11" t="inlineStr">
        <is>
          <t>{3}{B}</t>
        </is>
      </c>
      <c r="F2363" s="11" t="inlineStr">
        <is>
          <t>Preto</t>
        </is>
      </c>
      <c r="G2363" s="8" t="n">
        <v>0.8</v>
      </c>
      <c r="H2363" s="11" t="inlineStr">
        <is>
          <t>Ice Age (ICE)</t>
        </is>
      </c>
      <c r="I2363" s="11" t="inlineStr">
        <is>
          <t>Não</t>
        </is>
      </c>
      <c r="J2363" s="11" t="n">
        <v>1995</v>
      </c>
      <c r="K2363" s="10" t="n">
        <v>46025</v>
      </c>
      <c r="L2363" s="11" t="n">
        <v>1</v>
      </c>
      <c r="M2363" s="8">
        <f>L2363*G2363</f>
        <v/>
      </c>
      <c r="P2363" s="9" t="n"/>
    </row>
    <row r="2364">
      <c r="A2364" s="11" t="inlineStr">
        <is>
          <t>Bog Rats / Ratos do Pântano</t>
        </is>
      </c>
      <c r="B2364" s="11" t="inlineStr">
        <is>
          <t>Creature — Rat</t>
        </is>
      </c>
      <c r="C2364" s="11" t="inlineStr">
        <is>
          <t>Common / Comum</t>
        </is>
      </c>
      <c r="D2364" s="11" t="inlineStr">
        <is>
          <t>This creature can't be blocked by Walls.</t>
        </is>
      </c>
      <c r="E2364" s="11" t="inlineStr">
        <is>
          <t>{B}</t>
        </is>
      </c>
      <c r="F2364" s="11" t="inlineStr">
        <is>
          <t>Preto</t>
        </is>
      </c>
      <c r="G2364" s="8" t="n">
        <v>0.08</v>
      </c>
      <c r="H2364" s="11" t="inlineStr">
        <is>
          <t>Chronicles</t>
        </is>
      </c>
      <c r="I2364" s="11" t="inlineStr">
        <is>
          <t>Não</t>
        </is>
      </c>
      <c r="J2364" s="11" t="n">
        <v>1995</v>
      </c>
      <c r="K2364" s="10" t="n">
        <v>46023</v>
      </c>
      <c r="L2364" s="11" t="n">
        <v>3</v>
      </c>
      <c r="M2364" s="8">
        <f>L2364*G2364</f>
        <v/>
      </c>
      <c r="P2364" s="9" t="n"/>
    </row>
    <row r="2365">
      <c r="A2365" s="11" t="inlineStr">
        <is>
          <t>Thrull Retainer / Lacaio Thrull</t>
        </is>
      </c>
      <c r="B2365" s="11" t="inlineStr">
        <is>
          <t>Enchantment — Aura</t>
        </is>
      </c>
      <c r="C2365" s="11" t="inlineStr">
        <is>
          <t>Uncommon / Incomum</t>
        </is>
      </c>
      <c r="D2365" s="11" t="inlineStr">
        <is>
          <t>Enchant creature Enchanted creature gets +1/+1. Sacrifice this Aura: Regenerate enchanted creature.</t>
        </is>
      </c>
      <c r="E2365" s="11" t="inlineStr">
        <is>
          <t>{B}</t>
        </is>
      </c>
      <c r="F2365" s="11" t="inlineStr">
        <is>
          <t>Preto</t>
        </is>
      </c>
      <c r="G2365" s="8" t="n">
        <v>0.4</v>
      </c>
      <c r="H2365" s="11" t="inlineStr">
        <is>
          <t>Fallen Empires (FEM)</t>
        </is>
      </c>
      <c r="I2365" s="11" t="inlineStr">
        <is>
          <t>Não</t>
        </is>
      </c>
      <c r="J2365" s="11" t="n">
        <v>1994</v>
      </c>
      <c r="L2365" s="11" t="n">
        <v>1</v>
      </c>
      <c r="M2365" s="8">
        <f>L2365*G2365</f>
        <v/>
      </c>
      <c r="P2365" s="9" t="n"/>
    </row>
    <row r="2366">
      <c r="A2366" s="11" t="inlineStr">
        <is>
          <t>Cursed Land / Terreno Amaldiçoado</t>
        </is>
      </c>
      <c r="B2366" s="11" t="inlineStr">
        <is>
          <t>Enchantment — Aura</t>
        </is>
      </c>
      <c r="C2366" s="11" t="inlineStr">
        <is>
          <t>Uncommon / Incomum</t>
        </is>
      </c>
      <c r="D2366" s="11" t="inlineStr">
        <is>
          <t>Enchant land At the beginning of the upkeep of enchanted land's controller, this Aura deals 1 damage to that player.</t>
        </is>
      </c>
      <c r="E2366" s="11" t="inlineStr">
        <is>
          <t>{2}{B}{B}</t>
        </is>
      </c>
      <c r="F2366" s="11" t="inlineStr">
        <is>
          <t>Preto</t>
        </is>
      </c>
      <c r="G2366" s="8" t="n">
        <v>0.36</v>
      </c>
      <c r="H2366" s="11" t="inlineStr">
        <is>
          <t>Quarta Edição (BB)</t>
        </is>
      </c>
      <c r="I2366" s="11" t="inlineStr">
        <is>
          <t>Não</t>
        </is>
      </c>
      <c r="J2366" s="11" t="n">
        <v>1995</v>
      </c>
      <c r="L2366" s="11" t="n">
        <v>2</v>
      </c>
      <c r="M2366" s="8">
        <f>L2366*G2366</f>
        <v/>
      </c>
      <c r="P2366" s="9" t="n"/>
    </row>
    <row r="2367">
      <c r="A2367" s="11" t="inlineStr">
        <is>
          <t>Dark Banishing / Banimento Sombrio</t>
        </is>
      </c>
      <c r="B2367" s="11" t="inlineStr">
        <is>
          <t>Instant / Mágica Instantânea</t>
        </is>
      </c>
      <c r="C2367" s="11" t="inlineStr">
        <is>
          <t>Common / Comum</t>
        </is>
      </c>
      <c r="D2367" s="11" t="inlineStr">
        <is>
          <t>Destroy target nonblack creature. It can't be regenerated. / Destrói a criatura alvo que não seja preta. Ela não pode ser regenerada.</t>
        </is>
      </c>
      <c r="E2367" s="11" t="inlineStr">
        <is>
          <t>{2}{B}</t>
        </is>
      </c>
      <c r="F2367" s="11" t="inlineStr">
        <is>
          <t>Preto</t>
        </is>
      </c>
      <c r="G2367" s="8" t="n">
        <v>0.05</v>
      </c>
      <c r="H2367" s="11" t="inlineStr">
        <is>
          <t>Ice Age (ICE)</t>
        </is>
      </c>
      <c r="I2367" s="11" t="inlineStr">
        <is>
          <t>Não</t>
        </is>
      </c>
      <c r="J2367" s="11" t="n">
        <v>1995</v>
      </c>
      <c r="L2367" s="11" t="n">
        <v>3</v>
      </c>
      <c r="M2367" s="8">
        <f>L2367*G2367</f>
        <v/>
      </c>
      <c r="P2367" s="9" t="n"/>
    </row>
    <row r="2368">
      <c r="A2368" s="11" t="inlineStr">
        <is>
          <t>Plague Rats / Ratos Pestilentos</t>
        </is>
      </c>
      <c r="B2368" s="11" t="inlineStr">
        <is>
          <t>Creature — Rat</t>
        </is>
      </c>
      <c r="C2368" s="11" t="inlineStr">
        <is>
          <t>Common / Comum</t>
        </is>
      </c>
      <c r="D2368" s="11" t="inlineStr">
        <is>
          <t>Plague Rats's power and toughness are each equal to the number of creatures named Plague Rats on the battlefield.</t>
        </is>
      </c>
      <c r="E2368" s="11" t="inlineStr">
        <is>
          <t>{2}{B}</t>
        </is>
      </c>
      <c r="F2368" s="11" t="inlineStr">
        <is>
          <t>Preto</t>
        </is>
      </c>
      <c r="G2368" s="8" t="n">
        <v>0.22</v>
      </c>
      <c r="H2368" s="11" t="inlineStr">
        <is>
          <t>Quarta Edição (BB)</t>
        </is>
      </c>
      <c r="I2368" s="11" t="inlineStr">
        <is>
          <t>Não</t>
        </is>
      </c>
      <c r="J2368" s="11" t="n">
        <v>1995</v>
      </c>
      <c r="K2368" s="11" t="inlineStr">
        <is>
          <t>*/*</t>
        </is>
      </c>
      <c r="L2368" s="11" t="n">
        <v>2</v>
      </c>
      <c r="M2368" s="8">
        <f>L2368*G2368</f>
        <v/>
      </c>
      <c r="P2368" s="9" t="n"/>
    </row>
    <row r="2369">
      <c r="A2369" s="11" t="inlineStr">
        <is>
          <t>Plague Rats / Ratos Pestilentos</t>
        </is>
      </c>
      <c r="B2369" s="11" t="inlineStr">
        <is>
          <t>Creature — Rat</t>
        </is>
      </c>
      <c r="C2369" s="11" t="inlineStr">
        <is>
          <t>Common / Comum</t>
        </is>
      </c>
      <c r="D2369" s="11" t="inlineStr">
        <is>
          <t>Plague Rats's power and toughness are each equal to the number of creatures named Plague Rats on the battlefield.</t>
        </is>
      </c>
      <c r="E2369" s="11" t="inlineStr">
        <is>
          <t>{2}{B}</t>
        </is>
      </c>
      <c r="F2369" s="11" t="inlineStr">
        <is>
          <t>Preto</t>
        </is>
      </c>
      <c r="G2369" s="8" t="n">
        <v>0.08</v>
      </c>
      <c r="H2369" s="11" t="inlineStr">
        <is>
          <t>Quarta Edição</t>
        </is>
      </c>
      <c r="I2369" s="11" t="inlineStr">
        <is>
          <t>Não</t>
        </is>
      </c>
      <c r="J2369" s="11" t="n">
        <v>1995</v>
      </c>
      <c r="K2369" s="11" t="inlineStr">
        <is>
          <t>*/*</t>
        </is>
      </c>
      <c r="L2369" s="11" t="n">
        <v>1</v>
      </c>
      <c r="M2369" s="8">
        <f>L2369*G2369</f>
        <v/>
      </c>
      <c r="P2369" s="9" t="n"/>
    </row>
    <row r="2370">
      <c r="A2370" s="11" t="inlineStr">
        <is>
          <t>Pestilence Rats / Ratos da Peste</t>
        </is>
      </c>
      <c r="B2370" s="11" t="inlineStr">
        <is>
          <t>Creature — Rat</t>
        </is>
      </c>
      <c r="C2370" s="11" t="inlineStr">
        <is>
          <t>Common / Comum</t>
        </is>
      </c>
      <c r="D2370" s="11" t="inlineStr">
        <is>
          <t>Pestilence Rats's power is equal to the number of other Rats on the battlefield. (For example, as long as there are two other Rats on the battlefield, Pestilence Rats's power and toughness are 2/3.)</t>
        </is>
      </c>
      <c r="E2370" s="11" t="inlineStr">
        <is>
          <t>{2}{B}</t>
        </is>
      </c>
      <c r="F2370" s="11" t="inlineStr">
        <is>
          <t>Preto</t>
        </is>
      </c>
      <c r="G2370" s="8" t="n">
        <v>0.4</v>
      </c>
      <c r="H2370" s="11" t="inlineStr">
        <is>
          <t>Ice Age (ICE)</t>
        </is>
      </c>
      <c r="I2370" s="11" t="inlineStr">
        <is>
          <t>Não</t>
        </is>
      </c>
      <c r="J2370" s="11" t="n">
        <v>1995</v>
      </c>
      <c r="K2370" s="11" t="inlineStr">
        <is>
          <t>*/3</t>
        </is>
      </c>
      <c r="L2370" s="11" t="n">
        <v>1</v>
      </c>
      <c r="M2370" s="8">
        <f>L2370*G2370</f>
        <v/>
      </c>
      <c r="P2370" s="9" t="n"/>
    </row>
    <row r="2371">
      <c r="A2371" s="11" t="inlineStr">
        <is>
          <t>Carrion Ants / Formigas Carrieiras</t>
        </is>
      </c>
      <c r="B2371" s="11" t="inlineStr">
        <is>
          <t>Creature — Insect</t>
        </is>
      </c>
      <c r="C2371" s="11" t="inlineStr">
        <is>
          <t>Rare / Rara</t>
        </is>
      </c>
      <c r="D2371" s="11" t="inlineStr">
        <is>
          <t>{1}: This creature gets +1/+1 until end of turn.</t>
        </is>
      </c>
      <c r="E2371" s="11" t="inlineStr">
        <is>
          <t>{2}{B}{B}</t>
        </is>
      </c>
      <c r="F2371" s="11" t="inlineStr">
        <is>
          <t>Preto</t>
        </is>
      </c>
      <c r="G2371" s="8" t="n">
        <v>0.15</v>
      </c>
      <c r="H2371" s="11" t="inlineStr">
        <is>
          <t>Quarta Edição (BB)</t>
        </is>
      </c>
      <c r="I2371" s="11" t="inlineStr">
        <is>
          <t>Não</t>
        </is>
      </c>
      <c r="J2371" s="11" t="n">
        <v>1995</v>
      </c>
      <c r="K2371" s="11" t="inlineStr">
        <is>
          <t>0/1</t>
        </is>
      </c>
      <c r="L2371" s="11" t="n">
        <v>1</v>
      </c>
      <c r="M2371" s="8">
        <f>L2371*G2371</f>
        <v/>
      </c>
      <c r="P2371" s="9" t="n"/>
    </row>
    <row r="2372">
      <c r="A2372" s="11" t="inlineStr">
        <is>
          <t>Carrion Ants / Formigas Carrieiras</t>
        </is>
      </c>
      <c r="B2372" s="11" t="inlineStr">
        <is>
          <t>Creature — Insect</t>
        </is>
      </c>
      <c r="C2372" s="11" t="inlineStr">
        <is>
          <t>Rare / Rara</t>
        </is>
      </c>
      <c r="D2372" s="11" t="inlineStr">
        <is>
          <t>{1}: This creature gets +1/+1 until end of turn.</t>
        </is>
      </c>
      <c r="E2372" s="11" t="inlineStr">
        <is>
          <t>{2}{B}{B}</t>
        </is>
      </c>
      <c r="F2372" s="11" t="inlineStr">
        <is>
          <t>Preto</t>
        </is>
      </c>
      <c r="G2372" s="8" t="n">
        <v>0.1</v>
      </c>
      <c r="H2372" s="11" t="inlineStr">
        <is>
          <t>Quarta Edição</t>
        </is>
      </c>
      <c r="I2372" s="11" t="inlineStr">
        <is>
          <t>Não</t>
        </is>
      </c>
      <c r="J2372" s="11" t="n">
        <v>1995</v>
      </c>
      <c r="K2372" s="11" t="inlineStr">
        <is>
          <t>0/1</t>
        </is>
      </c>
      <c r="L2372" s="11" t="n">
        <v>2</v>
      </c>
      <c r="M2372" s="8">
        <f>L2372*G2372</f>
        <v/>
      </c>
      <c r="P2372" s="9" t="n"/>
    </row>
    <row r="2373">
      <c r="A2373" s="11" t="inlineStr">
        <is>
          <t>Spirit Shackle / Grilhões do Espírito</t>
        </is>
      </c>
      <c r="B2373" s="11" t="inlineStr">
        <is>
          <t>Enchantment — Aura</t>
        </is>
      </c>
      <c r="C2373" s="11" t="inlineStr">
        <is>
          <t>Common / Comum</t>
        </is>
      </c>
      <c r="D2373" s="11" t="inlineStr">
        <is>
          <t>Enchant creature Whenever enchanted creature becomes tapped, put a -0/-2 counter on it.</t>
        </is>
      </c>
      <c r="E2373" s="11" t="inlineStr">
        <is>
          <t>{B}{B}</t>
        </is>
      </c>
      <c r="F2373" s="11" t="inlineStr">
        <is>
          <t>Preto</t>
        </is>
      </c>
      <c r="G2373" s="8" t="n">
        <v>0.21</v>
      </c>
      <c r="H2373" s="11" t="inlineStr">
        <is>
          <t>Quarta Edição (BB)</t>
        </is>
      </c>
      <c r="I2373" s="11" t="inlineStr">
        <is>
          <t>Não</t>
        </is>
      </c>
      <c r="J2373" s="11" t="n">
        <v>1995</v>
      </c>
      <c r="L2373" s="11" t="n">
        <v>3</v>
      </c>
      <c r="M2373" s="8">
        <f>L2373*G2373</f>
        <v/>
      </c>
      <c r="P2373" s="9" t="n"/>
    </row>
    <row r="2374">
      <c r="A2374" s="11" t="inlineStr">
        <is>
          <t>Spirit Shackle / Grilhões do Espírito</t>
        </is>
      </c>
      <c r="B2374" s="11" t="inlineStr">
        <is>
          <t>Enchantment — Aura</t>
        </is>
      </c>
      <c r="C2374" s="11" t="inlineStr">
        <is>
          <t>Common / Comum</t>
        </is>
      </c>
      <c r="D2374" s="11" t="inlineStr">
        <is>
          <t>Enchant creature Whenever enchanted creature becomes tapped, put a -0/-2 counter on it.</t>
        </is>
      </c>
      <c r="E2374" s="11" t="inlineStr">
        <is>
          <t>{B}{B}</t>
        </is>
      </c>
      <c r="F2374" s="11" t="inlineStr">
        <is>
          <t>Preto</t>
        </is>
      </c>
      <c r="G2374" s="8" t="n">
        <v>0.09</v>
      </c>
      <c r="H2374" s="11" t="inlineStr">
        <is>
          <t>Quarta Edição</t>
        </is>
      </c>
      <c r="I2374" s="11" t="inlineStr">
        <is>
          <t>Não</t>
        </is>
      </c>
      <c r="J2374" s="11" t="n">
        <v>1995</v>
      </c>
      <c r="L2374" s="11" t="n">
        <v>2</v>
      </c>
      <c r="M2374" s="8">
        <f>L2374*G2374</f>
        <v/>
      </c>
      <c r="P2374" s="9" t="n"/>
    </row>
    <row r="2375">
      <c r="A2375" s="11" t="inlineStr">
        <is>
          <t>Giant Cockroach / Barata Gigante</t>
        </is>
      </c>
      <c r="B2375" s="11" t="inlineStr">
        <is>
          <t>Creature — Insect / Criatura — Inseto</t>
        </is>
      </c>
      <c r="C2375" s="11" t="inlineStr">
        <is>
          <t>Common / Comum</t>
        </is>
      </c>
      <c r="E2375" s="11" t="inlineStr">
        <is>
          <t>{3}{B}</t>
        </is>
      </c>
      <c r="F2375" s="11" t="inlineStr">
        <is>
          <t>Preto</t>
        </is>
      </c>
      <c r="G2375" s="8" t="n">
        <v>0.09</v>
      </c>
      <c r="H2375" s="11" t="inlineStr">
        <is>
          <t>Oitava Edição</t>
        </is>
      </c>
      <c r="I2375" s="11" t="inlineStr">
        <is>
          <t>Não</t>
        </is>
      </c>
      <c r="J2375" s="11" t="n">
        <v>2003</v>
      </c>
      <c r="K2375" s="10" t="n">
        <v>46057</v>
      </c>
      <c r="L2375" s="11" t="n">
        <v>1</v>
      </c>
      <c r="M2375" s="8">
        <f>L2375*G2375</f>
        <v/>
      </c>
      <c r="P2375" s="9" t="n"/>
    </row>
    <row r="2376">
      <c r="A2376" s="11" t="inlineStr">
        <is>
          <t>Howl from Beyond / Uivo do Além</t>
        </is>
      </c>
      <c r="B2376" s="11" t="inlineStr">
        <is>
          <t>Instant / Mágica Instantânea</t>
        </is>
      </c>
      <c r="C2376" s="11" t="inlineStr">
        <is>
          <t>Common / Comum</t>
        </is>
      </c>
      <c r="D2376" s="11" t="inlineStr">
        <is>
          <t>Target creature gets +X/+0 until end of turn. / A criatura alvo recebe +X/+0 até o final do turno.</t>
        </is>
      </c>
      <c r="E2376" s="11" t="inlineStr">
        <is>
          <t>{X}{B}</t>
        </is>
      </c>
      <c r="F2376" s="11" t="inlineStr">
        <is>
          <t>Preto</t>
        </is>
      </c>
      <c r="G2376" s="8" t="n">
        <v>0.09</v>
      </c>
      <c r="H2376" s="11" t="inlineStr">
        <is>
          <t>Ice Age (ICE)</t>
        </is>
      </c>
      <c r="I2376" s="11" t="inlineStr">
        <is>
          <t>Não</t>
        </is>
      </c>
      <c r="J2376" s="11" t="n">
        <v>1995</v>
      </c>
      <c r="L2376" s="11" t="n">
        <v>1</v>
      </c>
      <c r="M2376" s="8">
        <f>L2376*G2376</f>
        <v/>
      </c>
      <c r="P2376" s="9" t="n"/>
    </row>
    <row r="2377">
      <c r="A2377" s="11" t="inlineStr">
        <is>
          <t>Rag Man / Trapeiro</t>
        </is>
      </c>
      <c r="B2377" s="11" t="inlineStr">
        <is>
          <t>Creature — Human Minion</t>
        </is>
      </c>
      <c r="C2377" s="11" t="inlineStr">
        <is>
          <t>Rare / Rara</t>
        </is>
      </c>
      <c r="D2377" s="11" t="inlineStr">
        <is>
          <t>{B}{B}{B}, {T}: Target opponent reveals their hand and discards a creature card at random. Activate only during your turn.</t>
        </is>
      </c>
      <c r="E2377" s="11" t="inlineStr">
        <is>
          <t>{2}{B}{B}</t>
        </is>
      </c>
      <c r="F2377" s="11" t="inlineStr">
        <is>
          <t>Preto</t>
        </is>
      </c>
      <c r="G2377" s="8" t="n">
        <v>0.8</v>
      </c>
      <c r="H2377" s="11" t="inlineStr">
        <is>
          <t>Fourth Edition (4ED)</t>
        </is>
      </c>
      <c r="I2377" s="11" t="inlineStr">
        <is>
          <t>Não</t>
        </is>
      </c>
      <c r="J2377" s="11" t="n">
        <v>1995</v>
      </c>
      <c r="K2377" s="10" t="n">
        <v>46024</v>
      </c>
      <c r="L2377" s="11" t="n">
        <v>1</v>
      </c>
      <c r="M2377" s="8">
        <f>L2377*G2377</f>
        <v/>
      </c>
      <c r="P2377" s="9" t="n"/>
    </row>
    <row r="2378">
      <c r="A2378" s="11" t="inlineStr">
        <is>
          <t>Uncle Istvan / Tio Istvan</t>
        </is>
      </c>
      <c r="B2378" s="11" t="inlineStr">
        <is>
          <t>Creature — Human / Criatura — Humano</t>
        </is>
      </c>
      <c r="C2378" s="11" t="inlineStr">
        <is>
          <t>Uncommon / Incomum</t>
        </is>
      </c>
      <c r="D2378" s="11" t="inlineStr">
        <is>
          <t>Prevent all damage that would be dealt to this creature by creatures. / Previne todo o dano que seria causado por criaturas a Tio Istvan.</t>
        </is>
      </c>
      <c r="E2378" s="11" t="inlineStr">
        <is>
          <t>{1}{B}{B}{B}</t>
        </is>
      </c>
      <c r="F2378" s="11" t="inlineStr">
        <is>
          <t>Preto</t>
        </is>
      </c>
      <c r="G2378" s="8" t="n">
        <v>0.3</v>
      </c>
      <c r="H2378" s="11" t="inlineStr">
        <is>
          <t>Quarta Edição</t>
        </is>
      </c>
      <c r="I2378" s="11" t="inlineStr">
        <is>
          <t>Não</t>
        </is>
      </c>
      <c r="J2378" s="11" t="n">
        <v>1995</v>
      </c>
      <c r="K2378" s="10" t="n">
        <v>46082</v>
      </c>
      <c r="L2378" s="11" t="n">
        <v>1</v>
      </c>
      <c r="M2378" s="8">
        <f>L2378*G2378</f>
        <v/>
      </c>
      <c r="P2378" s="9" t="n"/>
    </row>
    <row r="2379">
      <c r="A2379" s="11" t="inlineStr">
        <is>
          <t>Greater Werewolf / O Grande Lobisomem</t>
        </is>
      </c>
      <c r="B2379" s="11" t="inlineStr">
        <is>
          <t>Creature — Werewolf</t>
        </is>
      </c>
      <c r="C2379" s="11" t="inlineStr">
        <is>
          <t>Common / Comum</t>
        </is>
      </c>
      <c r="D2379" s="11" t="inlineStr">
        <is>
          <t>At end of combat, put a -0/-2 counter on each creature blocking or blocked by this creature.</t>
        </is>
      </c>
      <c r="E2379" s="11" t="inlineStr">
        <is>
          <t>{4}{B}</t>
        </is>
      </c>
      <c r="F2379" s="11" t="inlineStr">
        <is>
          <t>Preto</t>
        </is>
      </c>
      <c r="G2379" s="8" t="n">
        <v>0.2</v>
      </c>
      <c r="H2379" s="11" t="inlineStr">
        <is>
          <t>Homelands (HML)</t>
        </is>
      </c>
      <c r="I2379" s="11" t="inlineStr">
        <is>
          <t>Não</t>
        </is>
      </c>
      <c r="J2379" s="11" t="n">
        <v>1995</v>
      </c>
      <c r="K2379" s="10" t="n">
        <v>46114</v>
      </c>
      <c r="L2379" s="11" t="n">
        <v>1</v>
      </c>
      <c r="M2379" s="8">
        <f>L2379*G2379</f>
        <v/>
      </c>
      <c r="P2379" s="9" t="n"/>
    </row>
    <row r="2380">
      <c r="A2380" s="11" t="inlineStr">
        <is>
          <t>Weakness / Fraqueza</t>
        </is>
      </c>
      <c r="B2380" s="11" t="inlineStr">
        <is>
          <t>Enchantment — Aura / Encantamento — Aura</t>
        </is>
      </c>
      <c r="C2380" s="11" t="inlineStr">
        <is>
          <t>Common / Comum</t>
        </is>
      </c>
      <c r="D2380" s="11" t="inlineStr">
        <is>
          <t>Enchant creature Enchanted creature gets -2/-1. / Encantar criatura A criatura encantada recebe -2/-1.</t>
        </is>
      </c>
      <c r="E2380" s="11" t="inlineStr">
        <is>
          <t>{B}</t>
        </is>
      </c>
      <c r="F2380" s="11" t="inlineStr">
        <is>
          <t>Preto</t>
        </is>
      </c>
      <c r="G2380" s="8" t="n">
        <v>0.06</v>
      </c>
      <c r="H2380" s="11" t="inlineStr">
        <is>
          <t>Quarta Edição (BB)</t>
        </is>
      </c>
      <c r="I2380" s="11" t="inlineStr">
        <is>
          <t>Não</t>
        </is>
      </c>
      <c r="J2380" s="11" t="n">
        <v>1995</v>
      </c>
      <c r="L2380" s="11" t="n">
        <v>3</v>
      </c>
      <c r="M2380" s="8">
        <f>L2380*G2380</f>
        <v/>
      </c>
      <c r="P2380" s="9" t="n"/>
    </row>
    <row r="2381">
      <c r="A2381" s="11" t="inlineStr">
        <is>
          <t>Weakness / Fraqueza</t>
        </is>
      </c>
      <c r="B2381" s="11" t="inlineStr">
        <is>
          <t>Enchantment — Aura / Encantamento — Aura</t>
        </is>
      </c>
      <c r="C2381" s="11" t="inlineStr">
        <is>
          <t>Common / Comum</t>
        </is>
      </c>
      <c r="D2381" s="11" t="inlineStr">
        <is>
          <t>Enchant creature Enchanted creature gets -2/-1. / Encantar criatura A criatura encantada recebe -2/-1.</t>
        </is>
      </c>
      <c r="E2381" s="11" t="inlineStr">
        <is>
          <t>{B}</t>
        </is>
      </c>
      <c r="F2381" s="11" t="inlineStr">
        <is>
          <t>Preto</t>
        </is>
      </c>
      <c r="G2381" s="8" t="n">
        <v>0.04</v>
      </c>
      <c r="H2381" s="11" t="inlineStr">
        <is>
          <t>Quarta Edição</t>
        </is>
      </c>
      <c r="I2381" s="11" t="inlineStr">
        <is>
          <t>Não</t>
        </is>
      </c>
      <c r="J2381" s="11" t="n">
        <v>1995</v>
      </c>
      <c r="L2381" s="11" t="n">
        <v>4</v>
      </c>
      <c r="M2381" s="8">
        <f>L2381*G2381</f>
        <v/>
      </c>
      <c r="P2381" s="9" t="n"/>
    </row>
    <row r="2382">
      <c r="A2382" s="11" t="inlineStr">
        <is>
          <t>Weakness / Fraqueza</t>
        </is>
      </c>
      <c r="B2382" s="11" t="inlineStr">
        <is>
          <t>Enchantment — Aura / Encantamento — Aura</t>
        </is>
      </c>
      <c r="C2382" s="11" t="inlineStr">
        <is>
          <t>Common / Comum</t>
        </is>
      </c>
      <c r="D2382" s="11" t="inlineStr">
        <is>
          <t>Enchant creature Enchanted creature gets -2/-1. / Encantar criatura A criatura encantada recebe -2/-1.</t>
        </is>
      </c>
      <c r="E2382" s="11" t="inlineStr">
        <is>
          <t>{B}</t>
        </is>
      </c>
      <c r="F2382" s="11" t="inlineStr">
        <is>
          <t>Preto</t>
        </is>
      </c>
      <c r="G2382" s="8" t="n">
        <v>0.09</v>
      </c>
      <c r="H2382" s="11" t="inlineStr">
        <is>
          <t>Revised Edition</t>
        </is>
      </c>
      <c r="I2382" s="11" t="inlineStr">
        <is>
          <t>Não</t>
        </is>
      </c>
      <c r="J2382" s="11" t="n">
        <v>1994</v>
      </c>
      <c r="L2382" s="11" t="n">
        <v>1</v>
      </c>
      <c r="M2382" s="8">
        <f>L2382*G2382</f>
        <v/>
      </c>
      <c r="P2382" s="9" t="n"/>
    </row>
    <row r="2383">
      <c r="A2383" s="11" t="inlineStr">
        <is>
          <t>Mindstab Thrull / Thrull Apunhala-Mentes</t>
        </is>
      </c>
      <c r="B2383" s="11" t="inlineStr">
        <is>
          <t>Creature — Thrull</t>
        </is>
      </c>
      <c r="C2383" s="11" t="inlineStr">
        <is>
          <t>Common / Comum</t>
        </is>
      </c>
      <c r="D2383" s="11" t="inlineStr">
        <is>
          <t>Whenever this creature attacks and isn't blocked, you may sacrifice it. If you do, defending player discards three cards.</t>
        </is>
      </c>
      <c r="E2383" s="11" t="inlineStr">
        <is>
          <t>{1}{B}{B}</t>
        </is>
      </c>
      <c r="F2383" s="11" t="inlineStr">
        <is>
          <t>Preto</t>
        </is>
      </c>
      <c r="G2383" s="8" t="n">
        <v>0.24</v>
      </c>
      <c r="H2383" s="11" t="inlineStr">
        <is>
          <t>Fallen Empires (FEM)</t>
        </is>
      </c>
      <c r="I2383" s="11" t="inlineStr">
        <is>
          <t>Não</t>
        </is>
      </c>
      <c r="J2383" s="11" t="n">
        <v>1994</v>
      </c>
      <c r="K2383" s="10" t="n">
        <v>46055</v>
      </c>
      <c r="L2383" s="11" t="n">
        <v>1</v>
      </c>
      <c r="M2383" s="8">
        <f>L2383*G2383</f>
        <v/>
      </c>
      <c r="P2383" s="9" t="n"/>
    </row>
    <row r="2384">
      <c r="A2384" s="11" t="inlineStr">
        <is>
          <t>Foul Familiar / Familiar Abominável</t>
        </is>
      </c>
      <c r="B2384" s="11" t="inlineStr">
        <is>
          <t>Creature — Spirit</t>
        </is>
      </c>
      <c r="C2384" s="11" t="inlineStr">
        <is>
          <t>Common / Comum</t>
        </is>
      </c>
      <c r="D2384" s="11" t="inlineStr">
        <is>
          <t>This creature can't block. {B}, Pay 1 life: Return this creature to its owner's hand.</t>
        </is>
      </c>
      <c r="E2384" s="11" t="inlineStr">
        <is>
          <t>{2}{B}</t>
        </is>
      </c>
      <c r="F2384" s="11" t="inlineStr">
        <is>
          <t>Preto</t>
        </is>
      </c>
      <c r="G2384" s="8" t="n">
        <v>0.05</v>
      </c>
      <c r="H2384" s="11" t="inlineStr">
        <is>
          <t>Era Glacial</t>
        </is>
      </c>
      <c r="I2384" s="11" t="inlineStr">
        <is>
          <t>Não</t>
        </is>
      </c>
      <c r="J2384" s="11" t="n">
        <v>1995</v>
      </c>
      <c r="K2384" s="10" t="n">
        <v>46025</v>
      </c>
      <c r="L2384" s="11" t="n">
        <v>1</v>
      </c>
      <c r="M2384" s="8">
        <f>L2384*G2384</f>
        <v/>
      </c>
      <c r="P2384" s="9" t="n"/>
    </row>
    <row r="2385">
      <c r="A2385" s="11" t="inlineStr">
        <is>
          <t>Basal Thrull</t>
        </is>
      </c>
      <c r="B2385" s="11" t="inlineStr">
        <is>
          <t>Creature — Thrull</t>
        </is>
      </c>
      <c r="C2385" s="11" t="inlineStr">
        <is>
          <t>Common / Comum</t>
        </is>
      </c>
      <c r="D2385" s="11" t="inlineStr">
        <is>
          <t>{T}, Sacrifice this creature: Add {B}{B}.</t>
        </is>
      </c>
      <c r="E2385" s="11" t="inlineStr">
        <is>
          <t>{B}{B}</t>
        </is>
      </c>
      <c r="F2385" s="11" t="inlineStr">
        <is>
          <t>Preto</t>
        </is>
      </c>
      <c r="G2385" s="8" t="n">
        <v>0.5</v>
      </c>
      <c r="H2385" s="11" t="inlineStr">
        <is>
          <t>Fallen Empires (FEM)</t>
        </is>
      </c>
      <c r="I2385" s="11" t="inlineStr">
        <is>
          <t>Não</t>
        </is>
      </c>
      <c r="J2385" s="11" t="n">
        <v>1994</v>
      </c>
      <c r="K2385" s="10" t="n">
        <v>46054</v>
      </c>
      <c r="L2385" s="11" t="n">
        <v>1</v>
      </c>
      <c r="M2385" s="8">
        <f>L2385*G2385</f>
        <v/>
      </c>
      <c r="P2385" s="9" t="n"/>
    </row>
    <row r="2386">
      <c r="A2386" s="11" t="inlineStr">
        <is>
          <t>Basal Thrull</t>
        </is>
      </c>
      <c r="B2386" s="11" t="inlineStr">
        <is>
          <t>Creature — Thrull</t>
        </is>
      </c>
      <c r="C2386" s="11" t="inlineStr">
        <is>
          <t>Common / Comum</t>
        </is>
      </c>
      <c r="D2386" s="11" t="inlineStr">
        <is>
          <t>{T}, Sacrifice this creature: Add {B}{B}.</t>
        </is>
      </c>
      <c r="E2386" s="11" t="inlineStr">
        <is>
          <t>{B}{B}</t>
        </is>
      </c>
      <c r="F2386" s="11" t="inlineStr">
        <is>
          <t>Preto</t>
        </is>
      </c>
      <c r="G2386" s="8" t="n">
        <v>0.8</v>
      </c>
      <c r="H2386" s="11" t="inlineStr">
        <is>
          <t>Fallen Empires (FEM)</t>
        </is>
      </c>
      <c r="I2386" s="11" t="inlineStr">
        <is>
          <t>Não</t>
        </is>
      </c>
      <c r="J2386" s="11" t="n">
        <v>1994</v>
      </c>
      <c r="K2386" s="10" t="n">
        <v>46054</v>
      </c>
      <c r="L2386" s="11" t="n">
        <v>1</v>
      </c>
      <c r="M2386" s="8">
        <f>L2386*G2386</f>
        <v/>
      </c>
      <c r="P2386" s="9" t="n"/>
    </row>
    <row r="2387">
      <c r="A2387" s="11" t="inlineStr">
        <is>
          <t>Bone Harvest / Colheita de Ossos</t>
        </is>
      </c>
      <c r="B2387" s="11" t="inlineStr">
        <is>
          <t>Instant</t>
        </is>
      </c>
      <c r="C2387" s="11" t="inlineStr">
        <is>
          <t>Common / Comum</t>
        </is>
      </c>
      <c r="D2387" s="11" t="inlineStr">
        <is>
          <t>Put any number of target creature cards from your graveyard on top of your library. Draw a card at the beginning of the next turn's upkeep.</t>
        </is>
      </c>
      <c r="E2387" s="11" t="inlineStr">
        <is>
          <t>{2}{B}</t>
        </is>
      </c>
      <c r="F2387" s="11" t="inlineStr">
        <is>
          <t>Preto</t>
        </is>
      </c>
      <c r="G2387" s="8" t="n">
        <v>0.09</v>
      </c>
      <c r="H2387" s="11" t="inlineStr">
        <is>
          <t>Mirage (MIR)</t>
        </is>
      </c>
      <c r="I2387" s="11" t="inlineStr">
        <is>
          <t>Não</t>
        </is>
      </c>
      <c r="J2387" s="11" t="n">
        <v>1996</v>
      </c>
      <c r="L2387" s="11" t="n">
        <v>1</v>
      </c>
      <c r="M2387" s="8">
        <f>L2387*G2387</f>
        <v/>
      </c>
      <c r="P2387" s="9" t="n"/>
    </row>
    <row r="2388">
      <c r="A2388" s="11" t="inlineStr">
        <is>
          <t>Carrion Beetles / Besouros Carrieiros</t>
        </is>
      </c>
      <c r="B2388" s="11" t="inlineStr">
        <is>
          <t>Creature — Insect</t>
        </is>
      </c>
      <c r="C2388" s="11" t="inlineStr">
        <is>
          <t>Common / Comum</t>
        </is>
      </c>
      <c r="D2388" s="11" t="inlineStr">
        <is>
          <t>{2}{B}, {T}: Exile up to three target cards from a single graveyard.</t>
        </is>
      </c>
      <c r="E2388" s="11" t="inlineStr">
        <is>
          <t>{B}</t>
        </is>
      </c>
      <c r="F2388" s="11" t="inlineStr">
        <is>
          <t>Preto</t>
        </is>
      </c>
      <c r="G2388" s="8" t="n">
        <v>0.1</v>
      </c>
      <c r="H2388" s="11" t="inlineStr">
        <is>
          <t>Urza's Saga (USG)</t>
        </is>
      </c>
      <c r="I2388" s="11" t="inlineStr">
        <is>
          <t>Não</t>
        </is>
      </c>
      <c r="J2388" s="11" t="n">
        <v>1998</v>
      </c>
      <c r="K2388" s="10" t="n">
        <v>46023</v>
      </c>
      <c r="L2388" s="11" t="n">
        <v>1</v>
      </c>
      <c r="M2388" s="8">
        <f>L2388*G2388</f>
        <v/>
      </c>
      <c r="P2388" s="9" t="n"/>
    </row>
    <row r="2389">
      <c r="A2389" s="11" t="inlineStr">
        <is>
          <t>Ambition's Cost / Custo da Ambição</t>
        </is>
      </c>
      <c r="B2389" s="11" t="inlineStr">
        <is>
          <t>Sorcery / Feitiço</t>
        </is>
      </c>
      <c r="C2389" s="11" t="inlineStr">
        <is>
          <t>Uncommon / Incomum</t>
        </is>
      </c>
      <c r="D2389" s="11" t="inlineStr">
        <is>
          <t>You draw three cards and you lose 3 life. / Você compra três cards e perde 3 pontos de vida.</t>
        </is>
      </c>
      <c r="E2389" s="11" t="inlineStr">
        <is>
          <t>{3}{B}</t>
        </is>
      </c>
      <c r="F2389" s="11" t="inlineStr">
        <is>
          <t>Preto</t>
        </is>
      </c>
      <c r="G2389" s="8" t="n">
        <v>0.48</v>
      </c>
      <c r="H2389" s="11" t="inlineStr">
        <is>
          <t>Eighth Edition (8ED)</t>
        </is>
      </c>
      <c r="I2389" s="11" t="inlineStr">
        <is>
          <t>Sim</t>
        </is>
      </c>
      <c r="J2389" s="11" t="n">
        <v>2003</v>
      </c>
      <c r="L2389" s="11" t="n">
        <v>1</v>
      </c>
      <c r="M2389" s="8">
        <f>L2389*G2389</f>
        <v/>
      </c>
      <c r="P2389" s="9" t="n"/>
    </row>
    <row r="2390">
      <c r="A2390" s="11" t="inlineStr">
        <is>
          <t>Mind Warp / Distorção Mental</t>
        </is>
      </c>
      <c r="B2390" s="11" t="inlineStr">
        <is>
          <t>Sorcery</t>
        </is>
      </c>
      <c r="C2390" s="11" t="inlineStr">
        <is>
          <t>Uncommon / Incomum</t>
        </is>
      </c>
      <c r="D2390" s="11" t="inlineStr">
        <is>
          <t>Look at target player's hand and choose X cards from it. That player discards those cards.</t>
        </is>
      </c>
      <c r="E2390" s="11" t="inlineStr">
        <is>
          <t>{X}{3}{B}</t>
        </is>
      </c>
      <c r="F2390" s="11" t="inlineStr">
        <is>
          <t>Preto</t>
        </is>
      </c>
      <c r="G2390" s="8" t="n">
        <v>0.2</v>
      </c>
      <c r="H2390" s="11" t="inlineStr">
        <is>
          <t>Ice Age (ICE)</t>
        </is>
      </c>
      <c r="I2390" s="11" t="inlineStr">
        <is>
          <t>Não</t>
        </is>
      </c>
      <c r="J2390" s="11" t="n">
        <v>1995</v>
      </c>
      <c r="L2390" s="11" t="n">
        <v>1</v>
      </c>
      <c r="M2390" s="8">
        <f>L2390*G2390</f>
        <v/>
      </c>
      <c r="P2390" s="9" t="n"/>
    </row>
    <row r="2391">
      <c r="A2391" s="11" t="inlineStr">
        <is>
          <t>Moor Fiend / Capeta da Charneca</t>
        </is>
      </c>
      <c r="B2391" s="11" t="inlineStr">
        <is>
          <t>Creature — Horror</t>
        </is>
      </c>
      <c r="C2391" s="11" t="inlineStr">
        <is>
          <t>Common / Comum</t>
        </is>
      </c>
      <c r="D2391" s="11" t="inlineStr">
        <is>
          <t>Swampwalk (This creature can't be blocked as long as defending player controls a Swamp.)</t>
        </is>
      </c>
      <c r="E2391" s="11" t="inlineStr">
        <is>
          <t>{3}{B}</t>
        </is>
      </c>
      <c r="F2391" s="11" t="inlineStr">
        <is>
          <t>Preto</t>
        </is>
      </c>
      <c r="G2391" s="8" t="n">
        <v>0.05</v>
      </c>
      <c r="H2391" s="11" t="inlineStr">
        <is>
          <t>Ice Age (ICE)</t>
        </is>
      </c>
      <c r="I2391" s="11" t="inlineStr">
        <is>
          <t>Não</t>
        </is>
      </c>
      <c r="J2391" s="11" t="n">
        <v>1995</v>
      </c>
      <c r="K2391" s="10" t="n">
        <v>46084</v>
      </c>
      <c r="L2391" s="11" t="n">
        <v>1</v>
      </c>
      <c r="M2391" s="8">
        <f>L2391*G2391</f>
        <v/>
      </c>
      <c r="P2391" s="9" t="n"/>
    </row>
    <row r="2392">
      <c r="A2392" s="11" t="inlineStr">
        <is>
          <t>Gravebind / Fusão Tumular</t>
        </is>
      </c>
      <c r="B2392" s="11" t="inlineStr">
        <is>
          <t>Instant</t>
        </is>
      </c>
      <c r="C2392" s="11" t="inlineStr">
        <is>
          <t>Rare / Rara</t>
        </is>
      </c>
      <c r="D2392" s="11" t="inlineStr">
        <is>
          <t>Target creature can't be regenerated this turn. Draw a card at the beginning of the next turn's upkeep.</t>
        </is>
      </c>
      <c r="E2392" s="11" t="inlineStr">
        <is>
          <t>{B}</t>
        </is>
      </c>
      <c r="F2392" s="11" t="inlineStr">
        <is>
          <t>Preto</t>
        </is>
      </c>
      <c r="G2392" s="8" t="n">
        <v>2.66</v>
      </c>
      <c r="H2392" s="11" t="inlineStr">
        <is>
          <t>Ice Age (ICE)</t>
        </is>
      </c>
      <c r="I2392" s="11" t="inlineStr">
        <is>
          <t>Não</t>
        </is>
      </c>
      <c r="J2392" s="11" t="n">
        <v>1995</v>
      </c>
      <c r="L2392" s="11" t="n">
        <v>1</v>
      </c>
      <c r="M2392" s="8">
        <f>L2392*G2392</f>
        <v/>
      </c>
      <c r="P2392" s="9" t="n"/>
    </row>
    <row r="2393">
      <c r="A2393" s="11" t="inlineStr">
        <is>
          <t>Deathlace / Enlace Mortal</t>
        </is>
      </c>
      <c r="B2393" s="11" t="inlineStr">
        <is>
          <t>Instant</t>
        </is>
      </c>
      <c r="C2393" s="11" t="inlineStr">
        <is>
          <t>Rare / Rara</t>
        </is>
      </c>
      <c r="D2393" s="11" t="inlineStr">
        <is>
          <t>Target spell or permanent becomes black. (Mana symbols on that permanent remain unchanged.)</t>
        </is>
      </c>
      <c r="E2393" s="11" t="inlineStr">
        <is>
          <t>{B}</t>
        </is>
      </c>
      <c r="F2393" s="11" t="inlineStr">
        <is>
          <t>Preto</t>
        </is>
      </c>
      <c r="G2393" s="8" t="n">
        <v>0.5</v>
      </c>
      <c r="H2393" s="11" t="inlineStr">
        <is>
          <t>Fourth Edition (4ED)</t>
        </is>
      </c>
      <c r="I2393" s="11" t="inlineStr">
        <is>
          <t>Não</t>
        </is>
      </c>
      <c r="J2393" s="11" t="n">
        <v>1995</v>
      </c>
      <c r="L2393" s="11" t="n">
        <v>1</v>
      </c>
      <c r="M2393" s="8">
        <f>L2393*G2393</f>
        <v/>
      </c>
      <c r="P2393" s="9" t="n"/>
    </row>
    <row r="2394">
      <c r="A2394" s="11" t="inlineStr">
        <is>
          <t>Fevered Strength / Força Febril</t>
        </is>
      </c>
      <c r="B2394" s="11" t="inlineStr">
        <is>
          <t>Instant</t>
        </is>
      </c>
      <c r="C2394" s="11" t="inlineStr">
        <is>
          <t>Common / Comum</t>
        </is>
      </c>
      <c r="D2394" s="11" t="inlineStr">
        <is>
          <t>Target creature gets +2/+0 until end of turn. Draw a card at the beginning of the next turn's upkeep.</t>
        </is>
      </c>
      <c r="E2394" s="11" t="inlineStr">
        <is>
          <t>{2}{B}</t>
        </is>
      </c>
      <c r="F2394" s="11" t="inlineStr">
        <is>
          <t>Preto</t>
        </is>
      </c>
      <c r="G2394" s="8" t="n">
        <v>0.05</v>
      </c>
      <c r="H2394" s="11" t="inlineStr">
        <is>
          <t>Alliances (ALL)</t>
        </is>
      </c>
      <c r="I2394" s="11" t="inlineStr">
        <is>
          <t>Não</t>
        </is>
      </c>
      <c r="J2394" s="11" t="n">
        <v>1996</v>
      </c>
      <c r="L2394" s="11" t="n">
        <v>1</v>
      </c>
      <c r="M2394" s="8">
        <f>L2394*G2394</f>
        <v/>
      </c>
      <c r="P2394" s="9" t="n"/>
    </row>
    <row r="2395">
      <c r="A2395" s="11" t="inlineStr">
        <is>
          <t>Broken Visage / Imagem Estilhaçada</t>
        </is>
      </c>
      <c r="B2395" s="11" t="inlineStr">
        <is>
          <t>Instant</t>
        </is>
      </c>
      <c r="C2395" s="11" t="inlineStr">
        <is>
          <t>Rare / Rara</t>
        </is>
      </c>
      <c r="D2395" s="11" t="inlineStr">
        <is>
          <t>Destroy target nonartifact attacking creature. It can't be regenerated. Create a black Spirit creature token. Its power is equal to that creature's power and its toughness is equal to that creature's toughness. Sacrifice the token at the beginning of the next end step.</t>
        </is>
      </c>
      <c r="E2395" s="11" t="inlineStr">
        <is>
          <t>{4}{B}</t>
        </is>
      </c>
      <c r="F2395" s="11" t="inlineStr">
        <is>
          <t>Preto</t>
        </is>
      </c>
      <c r="G2395" s="8" t="n">
        <v>0.34</v>
      </c>
      <c r="H2395" s="11" t="inlineStr">
        <is>
          <t>Homelands (HML)</t>
        </is>
      </c>
      <c r="I2395" s="11" t="inlineStr">
        <is>
          <t>Não</t>
        </is>
      </c>
      <c r="J2395" s="11" t="n">
        <v>1995</v>
      </c>
      <c r="L2395" s="11" t="n">
        <v>1</v>
      </c>
      <c r="M2395" s="8">
        <f>L2395*G2395</f>
        <v/>
      </c>
      <c r="P2395" s="9" t="n"/>
    </row>
    <row r="2396">
      <c r="A2396" s="11" t="inlineStr">
        <is>
          <t>Dirtwater Wraith / Aparição do Palude</t>
        </is>
      </c>
      <c r="B2396" s="11" t="inlineStr">
        <is>
          <t>Creature — Wraith</t>
        </is>
      </c>
      <c r="C2396" s="11" t="inlineStr">
        <is>
          <t>Common / Comum</t>
        </is>
      </c>
      <c r="D2396" s="11" t="inlineStr">
        <is>
          <t>Swampwalk (This creature can't be blocked as long as defending player controls a Swamp.) {B}: This creature gets +1/+0 until end of turn.</t>
        </is>
      </c>
      <c r="E2396" s="11" t="inlineStr">
        <is>
          <t>{3}{B}</t>
        </is>
      </c>
      <c r="F2396" s="11" t="inlineStr">
        <is>
          <t>Preto</t>
        </is>
      </c>
      <c r="G2396" s="8" t="n">
        <v>0.05</v>
      </c>
      <c r="H2396" s="11" t="inlineStr">
        <is>
          <t>Mirage (MIR)</t>
        </is>
      </c>
      <c r="I2396" s="11" t="inlineStr">
        <is>
          <t>Não</t>
        </is>
      </c>
      <c r="J2396" s="11" t="n">
        <v>1996</v>
      </c>
      <c r="K2396" s="10" t="n">
        <v>46082</v>
      </c>
      <c r="L2396" s="11" t="n">
        <v>1</v>
      </c>
      <c r="M2396" s="8">
        <f>L2396*G2396</f>
        <v/>
      </c>
      <c r="P2396" s="9" t="n"/>
    </row>
    <row r="2397">
      <c r="A2397" s="11" t="inlineStr">
        <is>
          <t>Kjeldoran Dead / Mortos Kjeldoranos</t>
        </is>
      </c>
      <c r="B2397" s="11" t="inlineStr">
        <is>
          <t>Creature — Skeleton</t>
        </is>
      </c>
      <c r="C2397" s="11" t="inlineStr">
        <is>
          <t>Common / Comum</t>
        </is>
      </c>
      <c r="D2397" s="11" t="inlineStr">
        <is>
          <t>When this creature enters, sacrifice a creature. {B}: Regenerate this creature.</t>
        </is>
      </c>
      <c r="E2397" s="11" t="inlineStr">
        <is>
          <t>{B}</t>
        </is>
      </c>
      <c r="F2397" s="11" t="inlineStr">
        <is>
          <t>Preto</t>
        </is>
      </c>
      <c r="G2397" s="8" t="n">
        <v>0.1</v>
      </c>
      <c r="H2397" s="11" t="inlineStr">
        <is>
          <t>Ice Age (ICE)</t>
        </is>
      </c>
      <c r="I2397" s="11" t="inlineStr">
        <is>
          <t>Não</t>
        </is>
      </c>
      <c r="J2397" s="11" t="n">
        <v>1995</v>
      </c>
      <c r="K2397" s="10" t="n">
        <v>46025</v>
      </c>
      <c r="L2397" s="11" t="n">
        <v>1</v>
      </c>
      <c r="M2397" s="8">
        <f>L2397*G2397</f>
        <v/>
      </c>
      <c r="P2397" s="9" t="n"/>
    </row>
    <row r="2398">
      <c r="A2398" s="11" t="inlineStr">
        <is>
          <t>Plague Beetle / Besouro Pestilento</t>
        </is>
      </c>
      <c r="B2398" s="11" t="inlineStr">
        <is>
          <t>Creature — Insect / Criatura — Inseto</t>
        </is>
      </c>
      <c r="C2398" s="11" t="inlineStr">
        <is>
          <t>Common / Comum</t>
        </is>
      </c>
      <c r="D2398" s="11" t="inlineStr">
        <is>
          <t>Swampwalk (This creature can't be blocked as long as defending player controls a Swamp.) / Travessia de Pântano (Esta criatura não pode ser bloqueada desde que o jogador defensor controle um Pântano.)</t>
        </is>
      </c>
      <c r="E2398" s="11" t="inlineStr">
        <is>
          <t>{B}</t>
        </is>
      </c>
      <c r="F2398" s="11" t="inlineStr">
        <is>
          <t>Preto</t>
        </is>
      </c>
      <c r="G2398" s="8" t="n">
        <v>0.09</v>
      </c>
      <c r="H2398" s="11" t="inlineStr">
        <is>
          <t>Eighth Edition (8ED)</t>
        </is>
      </c>
      <c r="I2398" s="11" t="inlineStr">
        <is>
          <t>Sim</t>
        </is>
      </c>
      <c r="J2398" s="11" t="n">
        <v>2003</v>
      </c>
      <c r="K2398" s="10" t="n">
        <v>46023</v>
      </c>
      <c r="L2398" s="11" t="n">
        <v>1</v>
      </c>
      <c r="M2398" s="8">
        <f>L2398*G2398</f>
        <v/>
      </c>
      <c r="P2398" s="9" t="n"/>
    </row>
    <row r="2399">
      <c r="A2399" s="11" t="inlineStr">
        <is>
          <t>Chorus of Woe</t>
        </is>
      </c>
      <c r="B2399" s="11" t="inlineStr">
        <is>
          <t>Sorcery</t>
        </is>
      </c>
      <c r="C2399" s="11" t="inlineStr">
        <is>
          <t>Common / Comum</t>
        </is>
      </c>
      <c r="D2399" s="11" t="inlineStr">
        <is>
          <t>Creatures you control get +1/+0 until end of turn.</t>
        </is>
      </c>
      <c r="E2399" s="11" t="inlineStr">
        <is>
          <t>{B}</t>
        </is>
      </c>
      <c r="F2399" s="11" t="inlineStr">
        <is>
          <t>Preto</t>
        </is>
      </c>
      <c r="G2399" s="8" t="n">
        <v>0.74</v>
      </c>
      <c r="H2399" s="11" t="inlineStr">
        <is>
          <t>Portal Second Age (P02)</t>
        </is>
      </c>
      <c r="I2399" s="11" t="inlineStr">
        <is>
          <t>Não</t>
        </is>
      </c>
      <c r="J2399" s="11" t="n">
        <v>1998</v>
      </c>
      <c r="L2399" s="11" t="n">
        <v>1</v>
      </c>
      <c r="M2399" s="8">
        <f>L2399*G2399</f>
        <v/>
      </c>
      <c r="P2399" s="9" t="n"/>
    </row>
    <row r="2400">
      <c r="A2400" s="11" t="inlineStr">
        <is>
          <t>Pestilence / Pestilência</t>
        </is>
      </c>
      <c r="B2400" s="11" t="inlineStr">
        <is>
          <t>Enchantment</t>
        </is>
      </c>
      <c r="C2400" s="11" t="inlineStr">
        <is>
          <t>Common / Comum</t>
        </is>
      </c>
      <c r="D2400" s="11" t="inlineStr">
        <is>
          <t>At the beginning of the end step, if no creatures are on the battlefield, sacrifice this enchantment. {B}: This enchantment deals 1 damage to each creature and each player.</t>
        </is>
      </c>
      <c r="E2400" s="11" t="inlineStr">
        <is>
          <t>{2}{B}{B}</t>
        </is>
      </c>
      <c r="F2400" s="11" t="inlineStr">
        <is>
          <t>Preto</t>
        </is>
      </c>
      <c r="G2400" s="8" t="n">
        <v>1.25</v>
      </c>
      <c r="H2400" s="11" t="inlineStr">
        <is>
          <t>Urza's Saga (USG)</t>
        </is>
      </c>
      <c r="I2400" s="11" t="inlineStr">
        <is>
          <t>Não</t>
        </is>
      </c>
      <c r="J2400" s="11" t="n">
        <v>1998</v>
      </c>
      <c r="L2400" s="11" t="n">
        <v>1</v>
      </c>
      <c r="M2400" s="8">
        <f>L2400*G2400</f>
        <v/>
      </c>
      <c r="P2400" s="9" t="n"/>
    </row>
    <row r="2401">
      <c r="A2401" s="11" t="inlineStr">
        <is>
          <t>Shimian Night Stalker</t>
        </is>
      </c>
      <c r="B2401" s="11" t="inlineStr">
        <is>
          <t>Creature — Nightstalker</t>
        </is>
      </c>
      <c r="C2401" s="11" t="inlineStr">
        <is>
          <t>Uncommon / Incomum</t>
        </is>
      </c>
      <c r="D2401" s="11" t="inlineStr">
        <is>
          <t>{B}, {T}: All damage that would be dealt to you this turn by target attacking creature is dealt to this creature instead.</t>
        </is>
      </c>
      <c r="E2401" s="11" t="inlineStr">
        <is>
          <t>{3}{B}{B}</t>
        </is>
      </c>
      <c r="F2401" s="11" t="inlineStr">
        <is>
          <t>Preto</t>
        </is>
      </c>
      <c r="G2401" s="8" t="n">
        <v>0.09</v>
      </c>
      <c r="H2401" s="11" t="inlineStr">
        <is>
          <t>Chonicles</t>
        </is>
      </c>
      <c r="I2401" s="11" t="inlineStr">
        <is>
          <t>Não</t>
        </is>
      </c>
      <c r="J2401" s="11" t="n">
        <v>1995</v>
      </c>
      <c r="K2401" s="10" t="n">
        <v>46116</v>
      </c>
      <c r="L2401" s="11" t="n">
        <v>3</v>
      </c>
      <c r="M2401" s="8">
        <f>L2401*G2401</f>
        <v/>
      </c>
      <c r="P2401" s="9" t="n"/>
    </row>
    <row r="2402">
      <c r="A2402" s="11" t="inlineStr">
        <is>
          <t>Transmutation</t>
        </is>
      </c>
      <c r="B2402" s="11" t="inlineStr">
        <is>
          <t>Instant</t>
        </is>
      </c>
      <c r="C2402" s="11" t="inlineStr">
        <is>
          <t>Common / Comum</t>
        </is>
      </c>
      <c r="D2402" s="11" t="inlineStr">
        <is>
          <t>Switch target creature's power and toughness until end of turn.</t>
        </is>
      </c>
      <c r="E2402" s="11" t="inlineStr">
        <is>
          <t>{1}{B}</t>
        </is>
      </c>
      <c r="F2402" s="11" t="inlineStr">
        <is>
          <t>Preto</t>
        </is>
      </c>
      <c r="G2402" s="8" t="n">
        <v>0.13</v>
      </c>
      <c r="H2402" s="11" t="inlineStr">
        <is>
          <t>Chronicles (CHR)</t>
        </is>
      </c>
      <c r="I2402" s="11" t="inlineStr">
        <is>
          <t>Não</t>
        </is>
      </c>
      <c r="J2402" s="11" t="n">
        <v>1995</v>
      </c>
      <c r="L2402" s="11" t="n">
        <v>2</v>
      </c>
      <c r="M2402" s="8">
        <f>L2402*G2402</f>
        <v/>
      </c>
      <c r="P2402" s="9" t="n"/>
    </row>
    <row r="2403">
      <c r="A2403" s="11" t="inlineStr">
        <is>
          <t>Drudge Spell / Mágica de Carga</t>
        </is>
      </c>
      <c r="B2403" s="11" t="inlineStr">
        <is>
          <t>Enchantment</t>
        </is>
      </c>
      <c r="C2403" s="11" t="inlineStr">
        <is>
          <t>Uncommon / Incomum</t>
        </is>
      </c>
      <c r="D2403" s="11" t="inlineStr">
        <is>
          <t>{B}, Exile two creature cards from your graveyard: Create a 1/1 black Skeleton creature token. It has "{B}: Regenerate this token." When this enchantment leaves the battlefield, destroy all Skeleton tokens. They can't be regenerated.</t>
        </is>
      </c>
      <c r="E2403" s="11" t="inlineStr">
        <is>
          <t>{B}{B}</t>
        </is>
      </c>
      <c r="F2403" s="11" t="inlineStr">
        <is>
          <t>Preto</t>
        </is>
      </c>
      <c r="G2403" s="8" t="n">
        <v>0.1</v>
      </c>
      <c r="H2403" s="11" t="inlineStr">
        <is>
          <t>Homelands (HML)</t>
        </is>
      </c>
      <c r="I2403" s="11" t="inlineStr">
        <is>
          <t>Não</t>
        </is>
      </c>
      <c r="J2403" s="11" t="n">
        <v>1995</v>
      </c>
      <c r="L2403" s="11" t="n">
        <v>2</v>
      </c>
      <c r="M2403" s="8">
        <f>L2403*G2403</f>
        <v/>
      </c>
      <c r="P2403" s="9" t="n"/>
    </row>
    <row r="2404">
      <c r="A2404" s="11" t="inlineStr">
        <is>
          <t>Wall of Shadows</t>
        </is>
      </c>
      <c r="B2404" s="11" t="inlineStr">
        <is>
          <t>Creature — Wall</t>
        </is>
      </c>
      <c r="C2404" s="11" t="inlineStr">
        <is>
          <t>Common / Comum</t>
        </is>
      </c>
      <c r="D2404" s="11" t="inlineStr">
        <is>
          <t>Defender (This creature can't attack.) Prevent all damage that would be dealt to this creature by creatures it's blocking. This creature can't be the target of spells that can target only Walls or of abilities that can target only Walls.</t>
        </is>
      </c>
      <c r="E2404" s="11" t="inlineStr">
        <is>
          <t>{1}{B}{B}</t>
        </is>
      </c>
      <c r="F2404" s="11" t="inlineStr">
        <is>
          <t>Preto</t>
        </is>
      </c>
      <c r="G2404" s="8" t="n">
        <v>0.15</v>
      </c>
      <c r="H2404" s="11" t="inlineStr">
        <is>
          <t>Chronicies</t>
        </is>
      </c>
      <c r="I2404" s="11" t="inlineStr">
        <is>
          <t>Não</t>
        </is>
      </c>
      <c r="J2404" s="11" t="n">
        <v>1995</v>
      </c>
      <c r="K2404" s="11" t="inlineStr">
        <is>
          <t>0/1</t>
        </is>
      </c>
      <c r="L2404" s="11" t="n">
        <v>2</v>
      </c>
      <c r="M2404" s="8">
        <f>L2404*G2404</f>
        <v/>
      </c>
      <c r="P2404" s="9" t="n"/>
    </row>
    <row r="2405">
      <c r="A2405" s="11" t="inlineStr">
        <is>
          <t>Hasran Ogress</t>
        </is>
      </c>
      <c r="B2405" s="11" t="inlineStr">
        <is>
          <t>Creature — Ogre</t>
        </is>
      </c>
      <c r="C2405" s="11" t="inlineStr">
        <is>
          <t>Common / Comum</t>
        </is>
      </c>
      <c r="D2405" s="11" t="inlineStr">
        <is>
          <t>Whenever this creature attacks, it deals 3 damage to you unless you pay {2}.</t>
        </is>
      </c>
      <c r="E2405" s="11" t="inlineStr">
        <is>
          <t>{B}{B}</t>
        </is>
      </c>
      <c r="F2405" s="11" t="inlineStr">
        <is>
          <t>Preto</t>
        </is>
      </c>
      <c r="G2405" s="8" t="n">
        <v>0.05</v>
      </c>
      <c r="H2405" s="11" t="inlineStr">
        <is>
          <t>Chronicies</t>
        </is>
      </c>
      <c r="I2405" s="11" t="inlineStr">
        <is>
          <t>Não</t>
        </is>
      </c>
      <c r="J2405" s="11" t="n">
        <v>1995</v>
      </c>
      <c r="K2405" s="10" t="n">
        <v>46056</v>
      </c>
      <c r="L2405" s="11" t="n">
        <v>4</v>
      </c>
      <c r="M2405" s="8">
        <f>L2405*G2405</f>
        <v/>
      </c>
      <c r="P2405" s="9" t="n"/>
    </row>
    <row r="2406">
      <c r="A2406" s="11" t="inlineStr">
        <is>
          <t>Nettling Imp</t>
        </is>
      </c>
      <c r="B2406" s="11" t="inlineStr">
        <is>
          <t>Creature — Imp</t>
        </is>
      </c>
      <c r="C2406" s="11" t="inlineStr">
        <is>
          <t>Uncommon / Incomum</t>
        </is>
      </c>
      <c r="D2406" s="11" t="inlineStr">
        <is>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is>
      </c>
      <c r="E2406" s="11" t="inlineStr">
        <is>
          <t>{2}{B}</t>
        </is>
      </c>
      <c r="F2406" s="11" t="inlineStr">
        <is>
          <t>Preto</t>
        </is>
      </c>
      <c r="G2406" s="8" t="n">
        <v>0.84</v>
      </c>
      <c r="H2406" s="11" t="inlineStr">
        <is>
          <t>Revised Edition</t>
        </is>
      </c>
      <c r="I2406" s="11" t="inlineStr">
        <is>
          <t>Não</t>
        </is>
      </c>
      <c r="J2406" s="11" t="n">
        <v>1994</v>
      </c>
      <c r="K2406" s="10" t="n">
        <v>46023</v>
      </c>
      <c r="L2406" s="11" t="n">
        <v>1</v>
      </c>
      <c r="M2406" s="8">
        <f>L2406*G2406</f>
        <v/>
      </c>
      <c r="P2406" s="9" t="n"/>
    </row>
    <row r="2407">
      <c r="A2407" s="11" t="inlineStr">
        <is>
          <t>Ihsan's Shade / A Sombra de Ihsan</t>
        </is>
      </c>
      <c r="B2407" s="11" t="inlineStr">
        <is>
          <t>Legendary Creature — Shade Knight</t>
        </is>
      </c>
      <c r="C2407" s="11" t="inlineStr">
        <is>
          <t>Uncommon / Incomum</t>
        </is>
      </c>
      <c r="D2407" s="11" t="inlineStr">
        <is>
          <t>Protection from white</t>
        </is>
      </c>
      <c r="E2407" s="11" t="inlineStr">
        <is>
          <t>{3}{B}{B}{B}</t>
        </is>
      </c>
      <c r="F2407" s="11" t="inlineStr">
        <is>
          <t>Preto</t>
        </is>
      </c>
      <c r="G2407" s="8" t="n">
        <v>0.45</v>
      </c>
      <c r="H2407" s="11" t="inlineStr">
        <is>
          <t>Homelands (HML)</t>
        </is>
      </c>
      <c r="I2407" s="11" t="inlineStr">
        <is>
          <t>Não</t>
        </is>
      </c>
      <c r="J2407" s="11" t="n">
        <v>1995</v>
      </c>
      <c r="K2407" s="10" t="n">
        <v>46147</v>
      </c>
      <c r="L2407" s="11" t="n">
        <v>1</v>
      </c>
      <c r="M2407" s="8">
        <f>L2407*G2407</f>
        <v/>
      </c>
      <c r="P2407" s="9" t="n"/>
    </row>
    <row r="2408">
      <c r="A2408" s="11" t="inlineStr">
        <is>
          <t>Touch of Death / Toque da Morte</t>
        </is>
      </c>
      <c r="B2408" s="11" t="inlineStr">
        <is>
          <t>Sorcery</t>
        </is>
      </c>
      <c r="C2408" s="11" t="inlineStr">
        <is>
          <t>Common / Comum</t>
        </is>
      </c>
      <c r="D2408" s="11" t="inlineStr">
        <is>
          <t>Touch of Death deals 1 damage to target player or planeswalker. You gain 1 life. Draw a card at the beginning of the next turn's upkeep.</t>
        </is>
      </c>
      <c r="E2408" s="11" t="inlineStr">
        <is>
          <t>{2}{B}</t>
        </is>
      </c>
      <c r="F2408" s="11" t="inlineStr">
        <is>
          <t>Preto</t>
        </is>
      </c>
      <c r="G2408" s="8" t="n">
        <v>0.05</v>
      </c>
      <c r="H2408" s="11" t="inlineStr">
        <is>
          <t>Ice Age (ICE)</t>
        </is>
      </c>
      <c r="I2408" s="11" t="inlineStr">
        <is>
          <t>Não</t>
        </is>
      </c>
      <c r="J2408" s="11" t="n">
        <v>1995</v>
      </c>
      <c r="L2408" s="11" t="n">
        <v>1</v>
      </c>
      <c r="M2408" s="8">
        <f>L2408*G2408</f>
        <v/>
      </c>
      <c r="P2408" s="9" t="n"/>
    </row>
    <row r="2409">
      <c r="A2409" s="11" t="inlineStr">
        <is>
          <t>Giant Cockroach / Barata Gigante</t>
        </is>
      </c>
      <c r="B2409" s="11" t="inlineStr">
        <is>
          <t>Creature — Insect / Criatura — Inseto</t>
        </is>
      </c>
      <c r="C2409" s="11" t="inlineStr">
        <is>
          <t>Common / Comum</t>
        </is>
      </c>
      <c r="E2409" s="11" t="inlineStr">
        <is>
          <t>{3}{B}</t>
        </is>
      </c>
      <c r="F2409" s="11" t="inlineStr">
        <is>
          <t>Preto</t>
        </is>
      </c>
      <c r="G2409" s="8" t="n">
        <v>14.99</v>
      </c>
      <c r="H2409" s="11" t="inlineStr">
        <is>
          <t>Urza's Legacy (ULG)</t>
        </is>
      </c>
      <c r="I2409" s="11" t="inlineStr">
        <is>
          <t>Sim</t>
        </is>
      </c>
      <c r="J2409" s="11" t="n">
        <v>1999</v>
      </c>
      <c r="K2409" s="10" t="n">
        <v>46057</v>
      </c>
      <c r="L2409" s="11" t="n">
        <v>1</v>
      </c>
      <c r="M2409" s="8">
        <f>L2409*G2409</f>
        <v/>
      </c>
      <c r="P2409" s="9" t="n"/>
    </row>
    <row r="2410">
      <c r="A2410" s="11" t="inlineStr">
        <is>
          <t>Raise Dead / Ressuscitar Morto</t>
        </is>
      </c>
      <c r="B2410" s="11" t="inlineStr">
        <is>
          <t>Sorcery / Feitiço</t>
        </is>
      </c>
      <c r="C2410" s="11" t="inlineStr">
        <is>
          <t>Common / Comum</t>
        </is>
      </c>
      <c r="D2410" s="11" t="inlineStr">
        <is>
          <t>Return target creature card from your graveyard to your hand. / Devolva o card de criatura alvo de seu cemitério para sua mão.</t>
        </is>
      </c>
      <c r="E2410" s="11" t="inlineStr">
        <is>
          <t>{B}</t>
        </is>
      </c>
      <c r="F2410" s="11" t="inlineStr">
        <is>
          <t>Preto</t>
        </is>
      </c>
      <c r="G2410" s="8" t="n">
        <v>0.14</v>
      </c>
      <c r="H2410" s="11" t="inlineStr">
        <is>
          <t>Revised Edition</t>
        </is>
      </c>
      <c r="I2410" s="11" t="inlineStr">
        <is>
          <t>Não</t>
        </is>
      </c>
      <c r="J2410" s="11" t="n">
        <v>1994</v>
      </c>
      <c r="L2410" s="11" t="n">
        <v>2</v>
      </c>
      <c r="M2410" s="8">
        <f>L2410*G2410</f>
        <v/>
      </c>
      <c r="P2410" s="9" t="n"/>
    </row>
    <row r="2411">
      <c r="A2411" s="11" t="inlineStr">
        <is>
          <t>Raise Dead / Ressuscitar Morto</t>
        </is>
      </c>
      <c r="B2411" s="11" t="inlineStr">
        <is>
          <t>Sorcery / Feitiço</t>
        </is>
      </c>
      <c r="C2411" s="11" t="inlineStr">
        <is>
          <t>Common / Comum</t>
        </is>
      </c>
      <c r="D2411" s="11" t="inlineStr">
        <is>
          <t>Return target creature card from your graveyard to your hand. / Devolva o card de criatura alvo de seu cemitério para sua mão.</t>
        </is>
      </c>
      <c r="E2411" s="11" t="inlineStr">
        <is>
          <t>{B}</t>
        </is>
      </c>
      <c r="F2411" s="11" t="inlineStr">
        <is>
          <t>Preto</t>
        </is>
      </c>
      <c r="G2411" s="8" t="n">
        <v>0.35</v>
      </c>
      <c r="H2411" s="11" t="inlineStr">
        <is>
          <t>Quarta Edição (BB)</t>
        </is>
      </c>
      <c r="I2411" s="11" t="inlineStr">
        <is>
          <t>Não</t>
        </is>
      </c>
      <c r="J2411" s="11" t="n">
        <v>1994</v>
      </c>
      <c r="L2411" s="11" t="n">
        <v>4</v>
      </c>
      <c r="M2411" s="8">
        <f>L2411*G2411</f>
        <v/>
      </c>
      <c r="P2411" s="9" t="n"/>
    </row>
    <row r="2412">
      <c r="A2412" s="11" t="inlineStr">
        <is>
          <t>Raise Dead / Ressuscitar Morto</t>
        </is>
      </c>
      <c r="B2412" s="11" t="inlineStr">
        <is>
          <t>Sorcery / Feitiço</t>
        </is>
      </c>
      <c r="C2412" s="11" t="inlineStr">
        <is>
          <t>Common / Comum</t>
        </is>
      </c>
      <c r="D2412" s="11" t="inlineStr">
        <is>
          <t>Return target creature card from your graveyard to your hand. / Devolva o card de criatura alvo de seu cemitério para sua mão.</t>
        </is>
      </c>
      <c r="E2412" s="11" t="inlineStr">
        <is>
          <t>{B}</t>
        </is>
      </c>
      <c r="F2412" s="11" t="inlineStr">
        <is>
          <t>Preto</t>
        </is>
      </c>
      <c r="G2412" s="8" t="n">
        <v>0.09</v>
      </c>
      <c r="H2412" s="11" t="inlineStr">
        <is>
          <t>Quarta Edição</t>
        </is>
      </c>
      <c r="I2412" s="11" t="inlineStr">
        <is>
          <t>Não</t>
        </is>
      </c>
      <c r="J2412" s="11" t="n">
        <v>1994</v>
      </c>
      <c r="L2412" s="11" t="n">
        <v>5</v>
      </c>
      <c r="M2412" s="8">
        <f>L2412*G2412</f>
        <v/>
      </c>
      <c r="P2412" s="9" t="n"/>
    </row>
    <row r="2413">
      <c r="A2413" s="11" t="inlineStr">
        <is>
          <t>Warp Artifact / Deformar Artefato</t>
        </is>
      </c>
      <c r="B2413" s="11" t="inlineStr">
        <is>
          <t>Enchantment — Aura</t>
        </is>
      </c>
      <c r="C2413" s="11" t="inlineStr">
        <is>
          <t>Rare / Rara</t>
        </is>
      </c>
      <c r="D2413" s="11" t="inlineStr">
        <is>
          <t>Enchant artifact At the beginning of the upkeep of enchanted artifact's controller, this Aura deals 1 damage to that player.</t>
        </is>
      </c>
      <c r="E2413" s="11" t="inlineStr">
        <is>
          <t>{B}{B}</t>
        </is>
      </c>
      <c r="F2413" s="11" t="inlineStr">
        <is>
          <t>Preto</t>
        </is>
      </c>
      <c r="G2413" s="8" t="n">
        <v>0.48</v>
      </c>
      <c r="H2413" s="11" t="inlineStr">
        <is>
          <t>Fourth Edition (4ED)</t>
        </is>
      </c>
      <c r="I2413" s="11" t="inlineStr">
        <is>
          <t>Não</t>
        </is>
      </c>
      <c r="J2413" s="11" t="n">
        <v>1995</v>
      </c>
      <c r="L2413" s="11" t="n">
        <v>4</v>
      </c>
      <c r="M2413" s="8">
        <f>L2413*G2413</f>
        <v/>
      </c>
      <c r="P2413" s="9" t="n"/>
    </row>
    <row r="2414">
      <c r="A2414" s="11" t="inlineStr">
        <is>
          <t>Marsh Gas / Gás do Pântano</t>
        </is>
      </c>
      <c r="B2414" s="11" t="inlineStr">
        <is>
          <t>Instant</t>
        </is>
      </c>
      <c r="C2414" s="11" t="inlineStr">
        <is>
          <t>Common / Comum</t>
        </is>
      </c>
      <c r="D2414" s="11" t="inlineStr">
        <is>
          <t>All creatures get -2/-0 until end of turn.</t>
        </is>
      </c>
      <c r="E2414" s="11" t="inlineStr">
        <is>
          <t>{B}</t>
        </is>
      </c>
      <c r="F2414" s="11" t="inlineStr">
        <is>
          <t>Preto</t>
        </is>
      </c>
      <c r="G2414" s="8" t="n">
        <v>0.15</v>
      </c>
      <c r="H2414" s="11" t="inlineStr">
        <is>
          <t>Quarta Edição (BB)</t>
        </is>
      </c>
      <c r="I2414" s="11" t="inlineStr">
        <is>
          <t>Não</t>
        </is>
      </c>
      <c r="J2414" s="11" t="n">
        <v>1995</v>
      </c>
      <c r="L2414" s="11" t="n">
        <v>5</v>
      </c>
      <c r="M2414" s="8">
        <f>L2414*G2414</f>
        <v/>
      </c>
      <c r="P2414" s="9" t="n"/>
    </row>
    <row r="2415">
      <c r="A2415" s="11" t="inlineStr">
        <is>
          <t>Marsh Gas / Gás do Pântano</t>
        </is>
      </c>
      <c r="B2415" s="11" t="inlineStr">
        <is>
          <t>Instant</t>
        </is>
      </c>
      <c r="C2415" s="11" t="inlineStr">
        <is>
          <t>Common / Comum</t>
        </is>
      </c>
      <c r="D2415" s="11" t="inlineStr">
        <is>
          <t>All creatures get -2/-0 until end of turn.</t>
        </is>
      </c>
      <c r="E2415" s="11" t="inlineStr">
        <is>
          <t>{B}</t>
        </is>
      </c>
      <c r="F2415" s="11" t="inlineStr">
        <is>
          <t>Preto</t>
        </is>
      </c>
      <c r="G2415" s="8" t="n">
        <v>0.08</v>
      </c>
      <c r="H2415" s="11" t="inlineStr">
        <is>
          <t>Quarta Edição</t>
        </is>
      </c>
      <c r="I2415" s="11" t="inlineStr">
        <is>
          <t>Não</t>
        </is>
      </c>
      <c r="J2415" s="11" t="n">
        <v>1995</v>
      </c>
      <c r="L2415" s="11" t="n">
        <v>4</v>
      </c>
      <c r="M2415" s="8">
        <f>L2415*G2415</f>
        <v/>
      </c>
      <c r="P2415" s="9" t="n"/>
    </row>
    <row r="2416">
      <c r="A2416" s="11" t="inlineStr">
        <is>
          <t>Krovikan Elementalist / Elementalista Krovikano</t>
        </is>
      </c>
      <c r="B2416" s="11" t="inlineStr">
        <is>
          <t>Creature — Human Wizard</t>
        </is>
      </c>
      <c r="C2416" s="11" t="inlineStr">
        <is>
          <t>Uncommon / Incomum</t>
        </is>
      </c>
      <c r="D2416" s="11" t="inlineStr">
        <is>
          <t>{2}{R}: Target creature gets +1/+0 until end of turn. {U}{U}: Target creature you control gains flying until end of turn. Sacrifice it at the beginning of the next end step.</t>
        </is>
      </c>
      <c r="E2416" s="11" t="inlineStr">
        <is>
          <t>{B}{B}</t>
        </is>
      </c>
      <c r="F2416" s="11" t="inlineStr">
        <is>
          <t>Preto</t>
        </is>
      </c>
      <c r="G2416" s="8" t="n">
        <v>0.03</v>
      </c>
      <c r="H2416" s="11" t="inlineStr">
        <is>
          <t>Ice Age (ICE)</t>
        </is>
      </c>
      <c r="I2416" s="11" t="inlineStr">
        <is>
          <t>Não</t>
        </is>
      </c>
      <c r="J2416" s="11" t="n">
        <v>1995</v>
      </c>
      <c r="K2416" s="10" t="n">
        <v>46023</v>
      </c>
      <c r="L2416" s="11" t="n">
        <v>2</v>
      </c>
      <c r="M2416" s="8">
        <f>L2416*G2416</f>
        <v/>
      </c>
      <c r="P2416" s="9" t="n"/>
    </row>
    <row r="2417">
      <c r="A2417" s="11" t="inlineStr">
        <is>
          <t>Gangrenous Zombies / Zumbis Gangrenosos</t>
        </is>
      </c>
      <c r="B2417" s="11" t="inlineStr">
        <is>
          <t>Creature — Zombie</t>
        </is>
      </c>
      <c r="C2417" s="11" t="inlineStr">
        <is>
          <t>Common / Comum</t>
        </is>
      </c>
      <c r="D2417" s="11" t="inlineStr">
        <is>
          <t>{T}, Sacrifice this creature: This creature deals 1 damage to each creature and each player. If you control a snow Swamp, this creature deals 2 damage to each creature and each player instead.</t>
        </is>
      </c>
      <c r="E2417" s="11" t="inlineStr">
        <is>
          <t>{1}{B}{B}</t>
        </is>
      </c>
      <c r="F2417" s="11" t="inlineStr">
        <is>
          <t>Preto</t>
        </is>
      </c>
      <c r="G2417" s="8" t="n">
        <v>0.1</v>
      </c>
      <c r="H2417" s="11" t="inlineStr">
        <is>
          <t>Ice Age (ICE)</t>
        </is>
      </c>
      <c r="I2417" s="11" t="inlineStr">
        <is>
          <t>Não</t>
        </is>
      </c>
      <c r="J2417" s="11" t="n">
        <v>1995</v>
      </c>
      <c r="K2417" s="10" t="n">
        <v>46055</v>
      </c>
      <c r="L2417" s="11" t="n">
        <v>3</v>
      </c>
      <c r="M2417" s="8">
        <f>L2417*G2417</f>
        <v/>
      </c>
      <c r="P2417" s="9" t="n"/>
    </row>
    <row r="2418">
      <c r="A2418" s="11" t="inlineStr">
        <is>
          <t>Brine Shaman / Xamã do Oceano</t>
        </is>
      </c>
      <c r="B2418" s="11" t="inlineStr">
        <is>
          <t>Creature — Human Cleric Shaman</t>
        </is>
      </c>
      <c r="C2418" s="11" t="inlineStr">
        <is>
          <t>Common / Comum</t>
        </is>
      </c>
      <c r="D2418" s="11" t="inlineStr">
        <is>
          <t>{T}, Sacrifice a creature: Target creature gets +2/+2 until end of turn. {1}{U}{U}, Sacrifice a creature: Counter target creature spell.</t>
        </is>
      </c>
      <c r="E2418" s="11" t="inlineStr">
        <is>
          <t>{1}{B}</t>
        </is>
      </c>
      <c r="F2418" s="11" t="inlineStr">
        <is>
          <t>Preto</t>
        </is>
      </c>
      <c r="G2418" s="8" t="n">
        <v>0.14</v>
      </c>
      <c r="H2418" s="11" t="inlineStr">
        <is>
          <t>Ice Age (ICE)</t>
        </is>
      </c>
      <c r="I2418" s="11" t="inlineStr">
        <is>
          <t>Não</t>
        </is>
      </c>
      <c r="J2418" s="11" t="n">
        <v>1995</v>
      </c>
      <c r="K2418" s="10" t="n">
        <v>46023</v>
      </c>
      <c r="L2418" s="11" t="n">
        <v>3</v>
      </c>
      <c r="M2418" s="8">
        <f>L2418*G2418</f>
        <v/>
      </c>
      <c r="P2418" s="9" t="n"/>
    </row>
    <row r="2419">
      <c r="A2419" s="11" t="inlineStr">
        <is>
          <t>Junún Efreet / Efrite Junún</t>
        </is>
      </c>
      <c r="B2419" s="11" t="inlineStr">
        <is>
          <t>Creature — Efreet</t>
        </is>
      </c>
      <c r="C2419" s="11" t="inlineStr">
        <is>
          <t>Rare / Rara</t>
        </is>
      </c>
      <c r="D2419" s="11" t="inlineStr">
        <is>
          <t>Flying At the beginning of your upkeep, sacrifice this creature unless you pay {B}{B}.</t>
        </is>
      </c>
      <c r="E2419" s="11" t="inlineStr">
        <is>
          <t>{1}{B}{B}</t>
        </is>
      </c>
      <c r="F2419" s="11" t="inlineStr">
        <is>
          <t>Preto</t>
        </is>
      </c>
      <c r="G2419" s="8" t="n">
        <v>0.5</v>
      </c>
      <c r="H2419" s="11" t="inlineStr">
        <is>
          <t>Quarta Edição (BB)</t>
        </is>
      </c>
      <c r="I2419" s="11" t="inlineStr">
        <is>
          <t>Não</t>
        </is>
      </c>
      <c r="J2419" s="11" t="n">
        <v>1995</v>
      </c>
      <c r="K2419" s="10" t="n">
        <v>46084</v>
      </c>
      <c r="L2419" s="11" t="n">
        <v>1</v>
      </c>
      <c r="M2419" s="8">
        <f>L2419*G2419</f>
        <v/>
      </c>
      <c r="P2419" s="9" t="n"/>
    </row>
    <row r="2420">
      <c r="A2420" s="11" t="inlineStr">
        <is>
          <t>Junún Efreet / Efrite Junún</t>
        </is>
      </c>
      <c r="B2420" s="11" t="inlineStr">
        <is>
          <t>Creature — Efreet</t>
        </is>
      </c>
      <c r="C2420" s="11" t="inlineStr">
        <is>
          <t>Rare / Rara</t>
        </is>
      </c>
      <c r="D2420" s="11" t="inlineStr">
        <is>
          <t>Flying At the beginning of your upkeep, sacrifice this creature unless you pay {B}{B}.</t>
        </is>
      </c>
      <c r="E2420" s="11" t="inlineStr">
        <is>
          <t>{1}{B}{B}</t>
        </is>
      </c>
      <c r="F2420" s="11" t="inlineStr">
        <is>
          <t>Preto</t>
        </is>
      </c>
      <c r="G2420" s="8" t="n">
        <v>0.2</v>
      </c>
      <c r="H2420" s="11" t="inlineStr">
        <is>
          <t>Quarta Edição</t>
        </is>
      </c>
      <c r="I2420" s="11" t="inlineStr">
        <is>
          <t>Não</t>
        </is>
      </c>
      <c r="J2420" s="11" t="n">
        <v>1995</v>
      </c>
      <c r="K2420" s="10" t="n">
        <v>46084</v>
      </c>
      <c r="L2420" s="11" t="n">
        <v>2</v>
      </c>
      <c r="M2420" s="8">
        <f>L2420*G2420</f>
        <v/>
      </c>
      <c r="P2420" s="9" t="n"/>
    </row>
    <row r="2421">
      <c r="A2421" s="11" t="inlineStr">
        <is>
          <t>Howl from Beyond / Uivo do Além</t>
        </is>
      </c>
      <c r="B2421" s="11" t="inlineStr">
        <is>
          <t>Instant / Mágica Instantânea</t>
        </is>
      </c>
      <c r="C2421" s="11" t="inlineStr">
        <is>
          <t>Common / Comum</t>
        </is>
      </c>
      <c r="D2421" s="11" t="inlineStr">
        <is>
          <t>Target creature gets +X/+0 until end of turn. / A criatura alvo recebe +X/+0 até o final do turno.</t>
        </is>
      </c>
      <c r="E2421" s="11" t="inlineStr">
        <is>
          <t>{X}{B}</t>
        </is>
      </c>
      <c r="F2421" s="11" t="inlineStr">
        <is>
          <t>Preto</t>
        </is>
      </c>
      <c r="G2421" s="8" t="n">
        <v>0.2</v>
      </c>
      <c r="H2421" s="11" t="inlineStr">
        <is>
          <t>Quarta Edição (BB)</t>
        </is>
      </c>
      <c r="I2421" s="11" t="inlineStr">
        <is>
          <t>Não</t>
        </is>
      </c>
      <c r="J2421" s="11" t="n">
        <v>1993</v>
      </c>
      <c r="L2421" s="11" t="n">
        <v>2</v>
      </c>
      <c r="M2421" s="8">
        <f>L2421*G2421</f>
        <v/>
      </c>
      <c r="P2421" s="9" t="n"/>
    </row>
    <row r="2422">
      <c r="A2422" s="11" t="inlineStr">
        <is>
          <t>Howl from Beyond / Uivo do Além</t>
        </is>
      </c>
      <c r="B2422" s="11" t="inlineStr">
        <is>
          <t>Instant / Mágica Instantânea</t>
        </is>
      </c>
      <c r="C2422" s="11" t="inlineStr">
        <is>
          <t>Common / Comum</t>
        </is>
      </c>
      <c r="D2422" s="11" t="inlineStr">
        <is>
          <t>Target creature gets +X/+0 until end of turn. / A criatura alvo recebe +X/+0 até o final do turno.</t>
        </is>
      </c>
      <c r="E2422" s="11" t="inlineStr">
        <is>
          <t>{X}{B}</t>
        </is>
      </c>
      <c r="F2422" s="11" t="inlineStr">
        <is>
          <t>Preto</t>
        </is>
      </c>
      <c r="G2422" s="8" t="n">
        <v>0.17</v>
      </c>
      <c r="H2422" s="11" t="inlineStr">
        <is>
          <t>Revised Edition</t>
        </is>
      </c>
      <c r="I2422" s="11" t="inlineStr">
        <is>
          <t>Não</t>
        </is>
      </c>
      <c r="J2422" s="11" t="n">
        <v>1994</v>
      </c>
      <c r="L2422" s="11" t="n">
        <v>1</v>
      </c>
      <c r="M2422" s="8">
        <f>L2422*G2422</f>
        <v/>
      </c>
      <c r="P2422" s="9" t="n"/>
    </row>
    <row r="2423">
      <c r="A2423" s="11" t="inlineStr">
        <is>
          <t>Howl from Beyond / Uivo do Além</t>
        </is>
      </c>
      <c r="B2423" s="11" t="inlineStr">
        <is>
          <t>Instant / Mágica Instantânea</t>
        </is>
      </c>
      <c r="C2423" s="11" t="inlineStr">
        <is>
          <t>Common / Comum</t>
        </is>
      </c>
      <c r="D2423" s="11" t="inlineStr">
        <is>
          <t>Target creature gets +X/+0 until end of turn. / A criatura alvo recebe +X/+0 até o final do turno.</t>
        </is>
      </c>
      <c r="E2423" s="11" t="inlineStr">
        <is>
          <t>{X}{B}</t>
        </is>
      </c>
      <c r="F2423" s="11" t="inlineStr">
        <is>
          <t>Preto</t>
        </is>
      </c>
      <c r="G2423" s="8" t="n">
        <v>0.08</v>
      </c>
      <c r="H2423" s="11" t="inlineStr">
        <is>
          <t>Quarta Edição</t>
        </is>
      </c>
      <c r="I2423" s="11" t="inlineStr">
        <is>
          <t>Não</t>
        </is>
      </c>
      <c r="J2423" s="11" t="n">
        <v>1994</v>
      </c>
      <c r="L2423" s="11" t="n">
        <v>2</v>
      </c>
      <c r="M2423" s="8">
        <f>L2423*G2423</f>
        <v/>
      </c>
      <c r="P2423" s="9" t="n"/>
    </row>
    <row r="2424">
      <c r="A2424" s="11" t="inlineStr">
        <is>
          <t>Dry Spell / Seca</t>
        </is>
      </c>
      <c r="B2424" s="11" t="inlineStr">
        <is>
          <t>Sorcery</t>
        </is>
      </c>
      <c r="C2424" s="11" t="inlineStr">
        <is>
          <t>Common / Comum</t>
        </is>
      </c>
      <c r="D2424" s="11" t="inlineStr">
        <is>
          <t>Dry Spell deals 1 damage to each creature and each player.</t>
        </is>
      </c>
      <c r="E2424" s="11" t="inlineStr">
        <is>
          <t>{1}{B}</t>
        </is>
      </c>
      <c r="F2424" s="11" t="inlineStr">
        <is>
          <t>Preto</t>
        </is>
      </c>
      <c r="G2424" s="8" t="n">
        <v>0.08</v>
      </c>
      <c r="H2424" s="11" t="inlineStr">
        <is>
          <t>Homelands (HML)</t>
        </is>
      </c>
      <c r="I2424" s="11" t="inlineStr">
        <is>
          <t>Não</t>
        </is>
      </c>
      <c r="J2424" s="11" t="n">
        <v>1995</v>
      </c>
      <c r="L2424" s="11" t="n">
        <v>3</v>
      </c>
      <c r="M2424" s="8">
        <f>L2424*G2424</f>
        <v/>
      </c>
      <c r="P2424" s="9" t="n"/>
    </row>
    <row r="2425">
      <c r="A2425" s="11" t="inlineStr">
        <is>
          <t>Scathe Zombies / Zumbis de Scathe</t>
        </is>
      </c>
      <c r="B2425" s="11" t="inlineStr">
        <is>
          <t>Creature — Zombie / Criatura — Zumbi</t>
        </is>
      </c>
      <c r="C2425" s="11" t="inlineStr">
        <is>
          <t>Common / Comum</t>
        </is>
      </c>
      <c r="E2425" s="11" t="inlineStr">
        <is>
          <t>{2}{B}</t>
        </is>
      </c>
      <c r="F2425" s="11" t="inlineStr">
        <is>
          <t>Preto</t>
        </is>
      </c>
      <c r="G2425" s="8" t="n">
        <v>0.09</v>
      </c>
      <c r="H2425" s="11" t="inlineStr">
        <is>
          <t>Quarta Edição</t>
        </is>
      </c>
      <c r="I2425" s="11" t="inlineStr">
        <is>
          <t>Não</t>
        </is>
      </c>
      <c r="J2425" s="11" t="n">
        <v>1995</v>
      </c>
      <c r="K2425" s="10" t="n">
        <v>46055</v>
      </c>
      <c r="L2425" s="11" t="n">
        <v>6</v>
      </c>
      <c r="M2425" s="8">
        <f>L2425*G2425</f>
        <v/>
      </c>
      <c r="P2425" s="9" t="n"/>
    </row>
    <row r="2426">
      <c r="A2426" s="11" t="inlineStr">
        <is>
          <t>Scathe Zombies / Zumbis de Scathe</t>
        </is>
      </c>
      <c r="B2426" s="11" t="inlineStr">
        <is>
          <t>Creature — Zombie / Criatura — Zumbi</t>
        </is>
      </c>
      <c r="C2426" s="11" t="inlineStr">
        <is>
          <t>Common / Comum</t>
        </is>
      </c>
      <c r="E2426" s="11" t="inlineStr">
        <is>
          <t>{2}{B}</t>
        </is>
      </c>
      <c r="F2426" s="11" t="inlineStr">
        <is>
          <t>Preto</t>
        </is>
      </c>
      <c r="G2426" s="8" t="n">
        <v>0.22</v>
      </c>
      <c r="H2426" s="11" t="inlineStr">
        <is>
          <t>Revised Edition</t>
        </is>
      </c>
      <c r="I2426" s="11" t="inlineStr">
        <is>
          <t>Não</t>
        </is>
      </c>
      <c r="J2426" s="11" t="n">
        <v>1995</v>
      </c>
      <c r="K2426" s="10" t="n">
        <v>46055</v>
      </c>
      <c r="L2426" s="11" t="n">
        <v>2</v>
      </c>
      <c r="M2426" s="8">
        <f>L2426*G2426</f>
        <v/>
      </c>
      <c r="P2426" s="9" t="n"/>
    </row>
    <row r="2427">
      <c r="A2427" s="11" t="inlineStr">
        <is>
          <t>Drain Life / Drenar Vida</t>
        </is>
      </c>
      <c r="B2427" s="11" t="inlineStr">
        <is>
          <t>Sorcery</t>
        </is>
      </c>
      <c r="C2427" s="11" t="inlineStr">
        <is>
          <t>Common / Comum</t>
        </is>
      </c>
      <c r="D2427"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7" s="11" t="inlineStr">
        <is>
          <t>{X}{1}{B}</t>
        </is>
      </c>
      <c r="F2427" s="11" t="inlineStr">
        <is>
          <t>Preto</t>
        </is>
      </c>
      <c r="G2427" s="8" t="n">
        <v>0.19</v>
      </c>
      <c r="H2427" s="11" t="inlineStr">
        <is>
          <t>Quarta Edição (BB)</t>
        </is>
      </c>
      <c r="I2427" s="11" t="inlineStr">
        <is>
          <t>Não</t>
        </is>
      </c>
      <c r="J2427" s="11" t="n">
        <v>1995</v>
      </c>
      <c r="L2427" s="11" t="n">
        <v>3</v>
      </c>
      <c r="M2427" s="8">
        <f>L2427*G2427</f>
        <v/>
      </c>
      <c r="P2427" s="9" t="n"/>
    </row>
    <row r="2428">
      <c r="A2428" s="11" t="inlineStr">
        <is>
          <t>Drain Life / Drenar Vida</t>
        </is>
      </c>
      <c r="B2428" s="11" t="inlineStr">
        <is>
          <t>Sorcery</t>
        </is>
      </c>
      <c r="C2428" s="11" t="inlineStr">
        <is>
          <t>Common / Comum</t>
        </is>
      </c>
      <c r="D2428"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8" s="11" t="inlineStr">
        <is>
          <t>{X}{1}{B}</t>
        </is>
      </c>
      <c r="F2428" s="11" t="inlineStr">
        <is>
          <t>Preto</t>
        </is>
      </c>
      <c r="G2428" s="8" t="n">
        <v>0.05</v>
      </c>
      <c r="H2428" s="11" t="inlineStr">
        <is>
          <t>Quarta Edição</t>
        </is>
      </c>
      <c r="I2428" s="11" t="inlineStr">
        <is>
          <t>Não</t>
        </is>
      </c>
      <c r="J2428" s="11" t="n">
        <v>1995</v>
      </c>
      <c r="L2428" s="11" t="n">
        <v>5</v>
      </c>
      <c r="M2428" s="8">
        <f>L2428*G2428</f>
        <v/>
      </c>
      <c r="P2428" s="9" t="n"/>
    </row>
    <row r="2429">
      <c r="A2429" s="11" t="inlineStr">
        <is>
          <t>Drain Life / Drenar Vida</t>
        </is>
      </c>
      <c r="B2429" s="11" t="inlineStr">
        <is>
          <t>Sorcery</t>
        </is>
      </c>
      <c r="C2429" s="11" t="inlineStr">
        <is>
          <t>Common / Comum</t>
        </is>
      </c>
      <c r="D2429" s="11"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9" s="11" t="inlineStr">
        <is>
          <t>{X}{1}{B}</t>
        </is>
      </c>
      <c r="F2429" s="11" t="inlineStr">
        <is>
          <t>Preto</t>
        </is>
      </c>
      <c r="G2429" s="8" t="n">
        <v>0.25</v>
      </c>
      <c r="H2429" s="11" t="inlineStr">
        <is>
          <t>Revised Edition</t>
        </is>
      </c>
      <c r="I2429" s="11" t="inlineStr">
        <is>
          <t>Não</t>
        </is>
      </c>
      <c r="J2429" s="11" t="n">
        <v>1994</v>
      </c>
      <c r="L2429" s="11" t="n">
        <v>4</v>
      </c>
      <c r="M2429" s="8">
        <f>L2429*G2429</f>
        <v/>
      </c>
      <c r="P2429" s="9" t="n"/>
    </row>
    <row r="2430">
      <c r="A2430" s="11" t="inlineStr">
        <is>
          <t>Drudge Skeletons / Esqueletos de Carga</t>
        </is>
      </c>
      <c r="B2430" s="11" t="inlineStr">
        <is>
          <t>Creature — Skeleton / Criatura — Esqueleto</t>
        </is>
      </c>
      <c r="C2430" s="11" t="inlineStr">
        <is>
          <t>Common / Comum</t>
        </is>
      </c>
      <c r="D2430"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0" s="11" t="inlineStr">
        <is>
          <t>{1}{B}</t>
        </is>
      </c>
      <c r="F2430" s="11" t="inlineStr">
        <is>
          <t>Preto</t>
        </is>
      </c>
      <c r="G2430" s="8" t="n">
        <v>0.15</v>
      </c>
      <c r="H2430" s="11" t="inlineStr">
        <is>
          <t>Quarta Edição (BB)</t>
        </is>
      </c>
      <c r="I2430" s="11" t="inlineStr">
        <is>
          <t>Não</t>
        </is>
      </c>
      <c r="J2430" s="11" t="n">
        <v>1995</v>
      </c>
      <c r="K2430" s="10" t="n">
        <v>46023</v>
      </c>
      <c r="L2430" s="11" t="n">
        <v>9</v>
      </c>
      <c r="M2430" s="8">
        <f>L2430*G2430</f>
        <v/>
      </c>
      <c r="P2430" s="9" t="n"/>
    </row>
    <row r="2431">
      <c r="A2431" s="11" t="inlineStr">
        <is>
          <t>Drudge Skeletons / Esqueletos de Carga</t>
        </is>
      </c>
      <c r="B2431" s="11" t="inlineStr">
        <is>
          <t>Creature — Skeleton / Criatura — Esqueleto</t>
        </is>
      </c>
      <c r="C2431" s="11" t="inlineStr">
        <is>
          <t>Common / Comum</t>
        </is>
      </c>
      <c r="D2431"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1" s="11" t="inlineStr">
        <is>
          <t>{1}{B}</t>
        </is>
      </c>
      <c r="F2431" s="11" t="inlineStr">
        <is>
          <t>Preto</t>
        </is>
      </c>
      <c r="G2431" s="8" t="n">
        <v>0.04</v>
      </c>
      <c r="H2431" s="11" t="inlineStr">
        <is>
          <t>Quarta Edição</t>
        </is>
      </c>
      <c r="I2431" s="11" t="inlineStr">
        <is>
          <t>Não</t>
        </is>
      </c>
      <c r="J2431" s="11" t="n">
        <v>1995</v>
      </c>
      <c r="K2431" s="10" t="n">
        <v>46023</v>
      </c>
      <c r="L2431" s="11" t="n">
        <v>4</v>
      </c>
      <c r="M2431" s="8">
        <f>L2431*G2431</f>
        <v/>
      </c>
      <c r="P2431" s="9" t="n"/>
    </row>
    <row r="2432">
      <c r="A2432" s="11" t="inlineStr">
        <is>
          <t>Drudge Skeletons / Esqueletos de Carga</t>
        </is>
      </c>
      <c r="B2432" s="11" t="inlineStr">
        <is>
          <t>Creature — Skeleton / Criatura — Esqueleto</t>
        </is>
      </c>
      <c r="C2432" s="11" t="inlineStr">
        <is>
          <t>Common / Comum</t>
        </is>
      </c>
      <c r="D2432" s="11"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32" s="11" t="inlineStr">
        <is>
          <t>{1}{B}</t>
        </is>
      </c>
      <c r="F2432" s="11" t="inlineStr">
        <is>
          <t>Preto</t>
        </is>
      </c>
      <c r="G2432" s="8" t="n">
        <v>0.15</v>
      </c>
      <c r="H2432" s="11" t="inlineStr">
        <is>
          <t>Revised Edition</t>
        </is>
      </c>
      <c r="I2432" s="11" t="inlineStr">
        <is>
          <t>Não</t>
        </is>
      </c>
      <c r="J2432" s="11" t="n">
        <v>1994</v>
      </c>
      <c r="K2432" s="10" t="n">
        <v>46023</v>
      </c>
      <c r="L2432" s="11" t="n">
        <v>5</v>
      </c>
      <c r="M2432" s="8">
        <f>L2432*G2432</f>
        <v/>
      </c>
      <c r="P2432" s="9" t="n"/>
    </row>
    <row r="2433">
      <c r="A2433" s="11" t="inlineStr">
        <is>
          <t>Evil Presence / Presença Maligna</t>
        </is>
      </c>
      <c r="B2433" s="11" t="inlineStr">
        <is>
          <t>Enchantment — Aura / Encantamento — Aura</t>
        </is>
      </c>
      <c r="C2433" s="11" t="inlineStr">
        <is>
          <t>Uncommon / Incomum</t>
        </is>
      </c>
      <c r="D2433" s="11" t="inlineStr">
        <is>
          <t>Enchant land Enchanted land is a Swamp. / Encantar terreno O terreno encantado é um Pântano.</t>
        </is>
      </c>
      <c r="E2433" s="11" t="inlineStr">
        <is>
          <t>{B}</t>
        </is>
      </c>
      <c r="F2433" s="11" t="inlineStr">
        <is>
          <t>Preto</t>
        </is>
      </c>
      <c r="G2433" s="8" t="n">
        <v>0.2</v>
      </c>
      <c r="H2433" s="11" t="inlineStr">
        <is>
          <t>Fourth Edition (4ED)</t>
        </is>
      </c>
      <c r="I2433" s="11" t="inlineStr">
        <is>
          <t>Não</t>
        </is>
      </c>
      <c r="J2433" s="11" t="n">
        <v>1995</v>
      </c>
      <c r="L2433" s="11" t="n">
        <v>2</v>
      </c>
      <c r="M2433" s="8">
        <f>L2433*G2433</f>
        <v/>
      </c>
      <c r="P2433" s="9" t="n"/>
    </row>
    <row r="2434">
      <c r="A2434" s="11" t="inlineStr">
        <is>
          <t>Fatal Lore / Conhecimento Fatal</t>
        </is>
      </c>
      <c r="B2434" s="11" t="inlineStr">
        <is>
          <t>Sorcery</t>
        </is>
      </c>
      <c r="C2434" s="11" t="inlineStr">
        <is>
          <t>Rare / Rara</t>
        </is>
      </c>
      <c r="D2434" s="11" t="inlineStr">
        <is>
          <t>An opponent chooses one — • You draw three cards. • You destroy up to two target creatures that player controls. They can't be regenerated. That player draws up to three cards.</t>
        </is>
      </c>
      <c r="E2434" s="11" t="inlineStr">
        <is>
          <t>{2}{B}{B}</t>
        </is>
      </c>
      <c r="F2434" s="11" t="inlineStr">
        <is>
          <t>Preto</t>
        </is>
      </c>
      <c r="G2434" s="8" t="n">
        <v>2.48</v>
      </c>
      <c r="H2434" s="11" t="inlineStr">
        <is>
          <t>Alliances (ALL)</t>
        </is>
      </c>
      <c r="I2434" s="11" t="inlineStr">
        <is>
          <t>Não</t>
        </is>
      </c>
      <c r="J2434" s="11" t="n">
        <v>1996</v>
      </c>
      <c r="L2434" s="11" t="n">
        <v>1</v>
      </c>
      <c r="M2434" s="8">
        <f>L2434*G2434</f>
        <v/>
      </c>
      <c r="P2434" s="9" t="n"/>
    </row>
    <row r="2435">
      <c r="A2435" s="11" t="inlineStr">
        <is>
          <t>Ebony Charm / Medalhão de Ébano</t>
        </is>
      </c>
      <c r="B2435" s="11" t="inlineStr">
        <is>
          <t>Instant</t>
        </is>
      </c>
      <c r="C2435" s="11" t="inlineStr">
        <is>
          <t>Common / Comum</t>
        </is>
      </c>
      <c r="D2435" s="11" t="inlineStr">
        <is>
          <t>Choose one — • Target opponent loses 1 life and you gain 1 life. • Exile up to three target cards from a single graveyard. • Target creature gains fear until end of turn. (It can't be blocked except by artifact creatures and/or black creatures.)</t>
        </is>
      </c>
      <c r="E2435" s="11" t="inlineStr">
        <is>
          <t>{B}</t>
        </is>
      </c>
      <c r="F2435" s="11" t="inlineStr">
        <is>
          <t>Preto</t>
        </is>
      </c>
      <c r="G2435" s="8" t="n">
        <v>0.2</v>
      </c>
      <c r="H2435" s="11" t="inlineStr">
        <is>
          <t>Mirage (MIR)</t>
        </is>
      </c>
      <c r="I2435" s="11" t="inlineStr">
        <is>
          <t>Não</t>
        </is>
      </c>
      <c r="J2435" s="11" t="n">
        <v>1996</v>
      </c>
      <c r="L2435" s="11" t="n">
        <v>1</v>
      </c>
      <c r="M2435" s="8">
        <f>L2435*G2435</f>
        <v/>
      </c>
      <c r="P2435" s="9" t="n"/>
    </row>
    <row r="2436">
      <c r="A2436" s="11" t="inlineStr">
        <is>
          <t>Cyclopean Mummy / Múmia Ciclópica</t>
        </is>
      </c>
      <c r="B2436" s="11" t="inlineStr">
        <is>
          <t>Creature — Zombie</t>
        </is>
      </c>
      <c r="C2436" s="11" t="inlineStr">
        <is>
          <t>Common / Comum</t>
        </is>
      </c>
      <c r="D2436" s="11" t="inlineStr">
        <is>
          <t>When this creature dies, exile it.</t>
        </is>
      </c>
      <c r="E2436" s="11" t="inlineStr">
        <is>
          <t>{1}{B}</t>
        </is>
      </c>
      <c r="F2436" s="11" t="inlineStr">
        <is>
          <t>Preto</t>
        </is>
      </c>
      <c r="G2436" s="8" t="n">
        <v>0.21</v>
      </c>
      <c r="H2436" s="11" t="inlineStr">
        <is>
          <t>Fourth Edition (BB)</t>
        </is>
      </c>
      <c r="I2436" s="11" t="inlineStr">
        <is>
          <t>Não</t>
        </is>
      </c>
      <c r="J2436" s="11" t="n">
        <v>1995</v>
      </c>
      <c r="K2436" s="10" t="n">
        <v>46024</v>
      </c>
      <c r="L2436" s="11" t="n">
        <v>3</v>
      </c>
      <c r="M2436" s="8">
        <f>L2436*G2436</f>
        <v/>
      </c>
      <c r="P2436" s="9" t="n"/>
    </row>
    <row r="2437">
      <c r="A2437" s="11" t="inlineStr">
        <is>
          <t>Cyclopean Mummy / Múmia Ciclópica</t>
        </is>
      </c>
      <c r="B2437" s="11" t="inlineStr">
        <is>
          <t>Creature — Zombie</t>
        </is>
      </c>
      <c r="C2437" s="11" t="inlineStr">
        <is>
          <t>Common / Comum</t>
        </is>
      </c>
      <c r="D2437" s="11" t="inlineStr">
        <is>
          <t>When this creature dies, exile it.</t>
        </is>
      </c>
      <c r="E2437" s="11" t="inlineStr">
        <is>
          <t>{1}{B}</t>
        </is>
      </c>
      <c r="F2437" s="11" t="inlineStr">
        <is>
          <t>Preto</t>
        </is>
      </c>
      <c r="G2437" s="8" t="n">
        <v>0.05</v>
      </c>
      <c r="H2437" s="11" t="inlineStr">
        <is>
          <t>Fourth Edition</t>
        </is>
      </c>
      <c r="I2437" s="11" t="inlineStr">
        <is>
          <t>Não</t>
        </is>
      </c>
      <c r="J2437" s="11" t="n">
        <v>1995</v>
      </c>
      <c r="K2437" s="10" t="n">
        <v>46024</v>
      </c>
      <c r="L2437" s="11" t="n">
        <v>2</v>
      </c>
      <c r="M2437" s="8">
        <f>L2437*G2437</f>
        <v/>
      </c>
      <c r="P2437" s="9" t="n"/>
    </row>
    <row r="2438">
      <c r="A2438" s="11" t="inlineStr">
        <is>
          <t>Stench of Evil / Exalações do Mal</t>
        </is>
      </c>
      <c r="B2438" s="11" t="inlineStr">
        <is>
          <t>Sorcery</t>
        </is>
      </c>
      <c r="C2438" s="11" t="inlineStr">
        <is>
          <t>Uncommon / Incomum</t>
        </is>
      </c>
      <c r="D2438" s="11" t="inlineStr">
        <is>
          <t>Destroy all Plains. For each land destroyed this way, Stench of Evil deals 1 damage to that land's controller unless they pay {2}.</t>
        </is>
      </c>
      <c r="E2438" s="11" t="inlineStr">
        <is>
          <t>{2}{B}{B}</t>
        </is>
      </c>
      <c r="F2438" s="11" t="inlineStr">
        <is>
          <t>Preto</t>
        </is>
      </c>
      <c r="G2438" s="8" t="n">
        <v>0.33</v>
      </c>
      <c r="H2438" s="11" t="inlineStr">
        <is>
          <t>Ice Age (ICE)</t>
        </is>
      </c>
      <c r="I2438" s="11" t="inlineStr">
        <is>
          <t>Não</t>
        </is>
      </c>
      <c r="J2438" s="11" t="n">
        <v>1995</v>
      </c>
      <c r="L2438" s="11" t="n">
        <v>1</v>
      </c>
      <c r="M2438" s="8">
        <f>L2438*G2438</f>
        <v/>
      </c>
      <c r="P2438" s="9" t="n"/>
    </row>
    <row r="2439">
      <c r="A2439" s="11" t="inlineStr">
        <is>
          <t>Erg Raiders / Salteadores do Deserto</t>
        </is>
      </c>
      <c r="B2439" s="11" t="inlineStr">
        <is>
          <t>Creature — Human Warrior</t>
        </is>
      </c>
      <c r="C2439" s="11" t="inlineStr">
        <is>
          <t>Common / Comum</t>
        </is>
      </c>
      <c r="D2439" s="11" t="inlineStr">
        <is>
          <t>At the beginning of your end step, if this creature didn't attack this turn, it deals 2 damage to you unless it came under your control this turn.</t>
        </is>
      </c>
      <c r="E2439" s="11" t="inlineStr">
        <is>
          <t>{1}{B}</t>
        </is>
      </c>
      <c r="F2439" s="11" t="inlineStr">
        <is>
          <t>Preto</t>
        </is>
      </c>
      <c r="G2439" s="8" t="n">
        <v>0.14</v>
      </c>
      <c r="H2439" s="11" t="inlineStr">
        <is>
          <t>Fourth Edition (BB)</t>
        </is>
      </c>
      <c r="I2439" s="11" t="inlineStr">
        <is>
          <t>Não</t>
        </is>
      </c>
      <c r="J2439" s="11" t="n">
        <v>1995</v>
      </c>
      <c r="K2439" s="10" t="n">
        <v>46083</v>
      </c>
      <c r="L2439" s="11" t="n">
        <v>2</v>
      </c>
      <c r="M2439" s="8">
        <f>L2439*G2439</f>
        <v/>
      </c>
      <c r="P2439" s="9" t="n"/>
    </row>
    <row r="2440">
      <c r="A2440" s="11" t="inlineStr">
        <is>
          <t>Erg Raiders / Salteadores do Deserto</t>
        </is>
      </c>
      <c r="B2440" s="11" t="inlineStr">
        <is>
          <t>Creature — Human Warrior</t>
        </is>
      </c>
      <c r="C2440" s="11" t="inlineStr">
        <is>
          <t>Common / Comum</t>
        </is>
      </c>
      <c r="D2440" s="11" t="inlineStr">
        <is>
          <t>At the beginning of your end step, if this creature didn't attack this turn, it deals 2 damage to you unless it came under your control this turn.</t>
        </is>
      </c>
      <c r="E2440" s="11" t="inlineStr">
        <is>
          <t>{1}{B}</t>
        </is>
      </c>
      <c r="F2440" s="11" t="inlineStr">
        <is>
          <t>Preto</t>
        </is>
      </c>
      <c r="G2440" s="8" t="n">
        <v>0.09</v>
      </c>
      <c r="H2440" s="11" t="inlineStr">
        <is>
          <t>Fourth Edition</t>
        </is>
      </c>
      <c r="I2440" s="11" t="inlineStr">
        <is>
          <t>Não</t>
        </is>
      </c>
      <c r="J2440" s="11" t="n">
        <v>1995</v>
      </c>
      <c r="K2440" s="10" t="n">
        <v>46083</v>
      </c>
      <c r="L2440" s="11" t="n">
        <v>4</v>
      </c>
      <c r="M2440" s="8">
        <f>L2440*G2440</f>
        <v/>
      </c>
      <c r="P2440" s="9" t="n"/>
    </row>
    <row r="2441">
      <c r="A2441" s="11" t="inlineStr">
        <is>
          <t>Erg Raiders / Salteadores do Deserto</t>
        </is>
      </c>
      <c r="B2441" s="11" t="inlineStr">
        <is>
          <t>Creature — Human Warrior</t>
        </is>
      </c>
      <c r="C2441" s="11" t="inlineStr">
        <is>
          <t>Common / Comum</t>
        </is>
      </c>
      <c r="D2441" s="11" t="inlineStr">
        <is>
          <t>At the beginning of your end step, if this creature didn't attack this turn, it deals 2 damage to you unless it came under your control this turn.</t>
        </is>
      </c>
      <c r="E2441" s="11" t="inlineStr">
        <is>
          <t>{1}{B}</t>
        </is>
      </c>
      <c r="F2441" s="11" t="inlineStr">
        <is>
          <t>Preto</t>
        </is>
      </c>
      <c r="G2441" s="8" t="n">
        <v>0.2</v>
      </c>
      <c r="H2441" s="11" t="inlineStr">
        <is>
          <t>Revised Edition</t>
        </is>
      </c>
      <c r="I2441" s="11" t="inlineStr">
        <is>
          <t>Não</t>
        </is>
      </c>
      <c r="J2441" s="11" t="n">
        <v>1994</v>
      </c>
      <c r="K2441" s="10" t="n">
        <v>46083</v>
      </c>
      <c r="L2441" s="11" t="n">
        <v>1</v>
      </c>
      <c r="M2441" s="8">
        <f>L2441*G2441</f>
        <v/>
      </c>
      <c r="P2441" s="9" t="n"/>
    </row>
    <row r="2442">
      <c r="A2442" s="11" t="inlineStr">
        <is>
          <t>Lim-Dûl's Cohort / Coorte de Lim-Dûl</t>
        </is>
      </c>
      <c r="B2442" s="11" t="inlineStr">
        <is>
          <t>Creature — Zombie</t>
        </is>
      </c>
      <c r="C2442" s="11" t="inlineStr">
        <is>
          <t>Common / Comum</t>
        </is>
      </c>
      <c r="D2442" s="11" t="inlineStr">
        <is>
          <t>Whenever this creature blocks or becomes blocked by a creature, that creature can't be regenerated this turn.</t>
        </is>
      </c>
      <c r="E2442" s="11" t="inlineStr">
        <is>
          <t>{1}{B}{B}</t>
        </is>
      </c>
      <c r="F2442" s="11" t="inlineStr">
        <is>
          <t>Preto</t>
        </is>
      </c>
      <c r="G2442" s="8" t="n">
        <v>0.05</v>
      </c>
      <c r="H2442" s="11" t="inlineStr">
        <is>
          <t>Ice Age (ICE)</t>
        </is>
      </c>
      <c r="I2442" s="11" t="inlineStr">
        <is>
          <t>Não</t>
        </is>
      </c>
      <c r="J2442" s="11" t="n">
        <v>1995</v>
      </c>
      <c r="K2442" s="10" t="n">
        <v>46083</v>
      </c>
      <c r="L2442" s="11" t="n">
        <v>1</v>
      </c>
      <c r="M2442" s="8">
        <f>L2442*G2442</f>
        <v/>
      </c>
      <c r="P2442" s="9" t="n"/>
    </row>
    <row r="2443">
      <c r="A2443" s="11" t="inlineStr">
        <is>
          <t>Giant Slug</t>
        </is>
      </c>
      <c r="B2443" s="11" t="inlineStr">
        <is>
          <t>Creature — Slug</t>
        </is>
      </c>
      <c r="C2443" s="11" t="inlineStr">
        <is>
          <t>Common / Comum</t>
        </is>
      </c>
      <c r="D2443" s="11" t="inlineStr">
        <is>
          <t>{5}: At the beginning of your next upkeep, choose a basic land type. This creature gains landwalk of the chosen type until the end of that turn. (It can't be blocked as long as defending player controls a land of that type.)</t>
        </is>
      </c>
      <c r="E2443" s="11" t="inlineStr">
        <is>
          <t>{1}{B}</t>
        </is>
      </c>
      <c r="F2443" s="11" t="inlineStr">
        <is>
          <t>Preto</t>
        </is>
      </c>
      <c r="G2443" s="8" t="n">
        <v>0.5</v>
      </c>
      <c r="H2443" s="11" t="inlineStr">
        <is>
          <t>Legends (LEG)</t>
        </is>
      </c>
      <c r="I2443" s="11" t="inlineStr">
        <is>
          <t>Não</t>
        </is>
      </c>
      <c r="J2443" s="11" t="n">
        <v>1994</v>
      </c>
      <c r="K2443" s="10" t="n">
        <v>46023</v>
      </c>
      <c r="L2443" s="11" t="n">
        <v>1</v>
      </c>
      <c r="M2443" s="8">
        <f>L2443*G2443</f>
        <v/>
      </c>
      <c r="P2443" s="9" t="n"/>
    </row>
    <row r="2444">
      <c r="A2444" s="11" t="inlineStr">
        <is>
          <t>Withering Wisps / Ardentias Mortíferas</t>
        </is>
      </c>
      <c r="B2444" s="11" t="inlineStr">
        <is>
          <t>Enchantment</t>
        </is>
      </c>
      <c r="C2444" s="11" t="inlineStr">
        <is>
          <t>Uncommon / Incomum</t>
        </is>
      </c>
      <c r="D2444" s="11" t="inlineStr">
        <is>
          <t>At the beginning of the end step, if no creatures are on the battlefield, sacrifice this enchantment. {B}: This enchantment deals 1 damage to each creature and each player. Activate no more times each turn than the number of snow Swamps you control.</t>
        </is>
      </c>
      <c r="E2444" s="11" t="inlineStr">
        <is>
          <t>{1}{B}{B}</t>
        </is>
      </c>
      <c r="F2444" s="11" t="inlineStr">
        <is>
          <t>Preto</t>
        </is>
      </c>
      <c r="G2444" s="8" t="n">
        <v>0.86</v>
      </c>
      <c r="H2444" s="11" t="inlineStr">
        <is>
          <t>Ice Age (ICE)</t>
        </is>
      </c>
      <c r="I2444" s="11" t="inlineStr">
        <is>
          <t>Não</t>
        </is>
      </c>
      <c r="J2444" s="11" t="n">
        <v>1995</v>
      </c>
      <c r="L2444" s="11" t="n">
        <v>1</v>
      </c>
      <c r="M2444" s="8">
        <f>L2444*G2444</f>
        <v/>
      </c>
      <c r="P2444" s="9" t="n"/>
    </row>
    <row r="2445">
      <c r="A2445" s="11" t="inlineStr">
        <is>
          <t>Terror</t>
        </is>
      </c>
      <c r="B2445" s="11" t="inlineStr">
        <is>
          <t>Instant / Mágica Instantânea</t>
        </is>
      </c>
      <c r="C2445" s="11" t="inlineStr">
        <is>
          <t>Common / Comum</t>
        </is>
      </c>
      <c r="D2445" s="11" t="inlineStr">
        <is>
          <t>Destroy target nonartifact, nonblack creature. It can't be regenerated. / Destrua a criatura alvo que não seja preta e nem artefato. Ela não pode ser regenerada.</t>
        </is>
      </c>
      <c r="E2445" s="11" t="inlineStr">
        <is>
          <t>{1}{B}</t>
        </is>
      </c>
      <c r="F2445" s="11" t="inlineStr">
        <is>
          <t>Preto</t>
        </is>
      </c>
      <c r="G2445" s="8" t="n">
        <v>0.06</v>
      </c>
      <c r="H2445" s="11" t="inlineStr">
        <is>
          <t>Fourth Edition</t>
        </is>
      </c>
      <c r="I2445" s="11" t="inlineStr">
        <is>
          <t>Não</t>
        </is>
      </c>
      <c r="J2445" s="11" t="n">
        <v>1995</v>
      </c>
      <c r="L2445" s="11" t="n">
        <v>10</v>
      </c>
      <c r="M2445" s="8">
        <f>L2445*G2445</f>
        <v/>
      </c>
      <c r="P2445" s="9" t="n"/>
    </row>
    <row r="2446">
      <c r="A2446" s="11" t="inlineStr">
        <is>
          <t>Terror</t>
        </is>
      </c>
      <c r="B2446" s="11" t="inlineStr">
        <is>
          <t>Instant / Mágica Instantânea</t>
        </is>
      </c>
      <c r="C2446" s="11" t="inlineStr">
        <is>
          <t>Common / Comum</t>
        </is>
      </c>
      <c r="D2446" s="11" t="inlineStr">
        <is>
          <t>Destroy target nonartifact, nonblack creature. It can't be regenerated. / Destrua a criatura alvo que não seja preta e nem artefato. Ela não pode ser regenerada.</t>
        </is>
      </c>
      <c r="E2446" s="11" t="inlineStr">
        <is>
          <t>{1}{B}</t>
        </is>
      </c>
      <c r="F2446" s="11" t="inlineStr">
        <is>
          <t>Preto</t>
        </is>
      </c>
      <c r="G2446" s="8" t="n">
        <v>0.75</v>
      </c>
      <c r="H2446" s="11" t="inlineStr">
        <is>
          <t>Revised Edition</t>
        </is>
      </c>
      <c r="I2446" s="11" t="inlineStr">
        <is>
          <t>Não</t>
        </is>
      </c>
      <c r="J2446" s="11" t="n">
        <v>1994</v>
      </c>
      <c r="L2446" s="11" t="n">
        <v>2</v>
      </c>
      <c r="M2446" s="8">
        <f>L2446*G2446</f>
        <v/>
      </c>
      <c r="P2446" s="9" t="n"/>
    </row>
    <row r="2447">
      <c r="A2447" s="11" t="inlineStr">
        <is>
          <t>Seizures / Apoplexia</t>
        </is>
      </c>
      <c r="B2447" s="11" t="inlineStr">
        <is>
          <t>Enchantment — Aura</t>
        </is>
      </c>
      <c r="C2447" s="11" t="inlineStr">
        <is>
          <t>Common / Comum</t>
        </is>
      </c>
      <c r="D2447" s="11" t="inlineStr">
        <is>
          <t>Enchant creature Whenever enchanted creature becomes tapped, this Aura deals 3 damage to that creature's controller unless that player pays {3}.</t>
        </is>
      </c>
      <c r="E2447" s="11" t="inlineStr">
        <is>
          <t>{1}{B}</t>
        </is>
      </c>
      <c r="F2447" s="11" t="inlineStr">
        <is>
          <t>Preto</t>
        </is>
      </c>
      <c r="G2447" s="8" t="n">
        <v>0.05</v>
      </c>
      <c r="H2447" s="11" t="inlineStr">
        <is>
          <t>Ice Age (ICE)</t>
        </is>
      </c>
      <c r="I2447" s="11" t="inlineStr">
        <is>
          <t>Não</t>
        </is>
      </c>
      <c r="J2447" s="11" t="n">
        <v>1995</v>
      </c>
      <c r="L2447" s="11" t="n">
        <v>3</v>
      </c>
      <c r="M2447" s="8">
        <f>L2447*G2447</f>
        <v/>
      </c>
      <c r="P2447" s="9" t="n"/>
    </row>
    <row r="2448">
      <c r="A2448" s="11" t="inlineStr">
        <is>
          <t>Death Grasp / Garras da Morte</t>
        </is>
      </c>
      <c r="B2448" s="11" t="inlineStr">
        <is>
          <t>Sorcery</t>
        </is>
      </c>
      <c r="C2448" s="11" t="inlineStr">
        <is>
          <t>Rare / Rara</t>
        </is>
      </c>
      <c r="D2448" s="11" t="inlineStr">
        <is>
          <t>Death Grasp deals X damage to any target. You gain X life.</t>
        </is>
      </c>
      <c r="E2448" s="11" t="inlineStr">
        <is>
          <t>{X}{W}{B}</t>
        </is>
      </c>
      <c r="F2448" s="11" t="inlineStr">
        <is>
          <t>Preto, Branco</t>
        </is>
      </c>
      <c r="G2448" s="8" t="n">
        <v>0.99</v>
      </c>
      <c r="H2448" s="11" t="inlineStr">
        <is>
          <t>Quarta Edição (BB)</t>
        </is>
      </c>
      <c r="I2448" s="11" t="inlineStr">
        <is>
          <t>Não</t>
        </is>
      </c>
      <c r="J2448" s="11" t="n">
        <v>1995</v>
      </c>
      <c r="L2448" s="11" t="n">
        <v>1</v>
      </c>
      <c r="M2448" s="8">
        <f>L2448*G2448</f>
        <v/>
      </c>
      <c r="P2448" s="9" t="n"/>
    </row>
    <row r="2449">
      <c r="A2449" s="11" t="inlineStr">
        <is>
          <t>Death Grasp / Garras da Morte</t>
        </is>
      </c>
      <c r="B2449" s="11" t="inlineStr">
        <is>
          <t>Sorcery</t>
        </is>
      </c>
      <c r="C2449" s="11" t="inlineStr">
        <is>
          <t>Rare / Rara</t>
        </is>
      </c>
      <c r="D2449" s="11" t="inlineStr">
        <is>
          <t>Death Grasp deals X damage to any target. You gain X life.</t>
        </is>
      </c>
      <c r="E2449" s="11" t="inlineStr">
        <is>
          <t>{X}{W}{B}</t>
        </is>
      </c>
      <c r="F2449" s="11" t="inlineStr">
        <is>
          <t>Preto, Branco</t>
        </is>
      </c>
      <c r="G2449" s="8" t="n">
        <v>0.5</v>
      </c>
      <c r="H2449" s="11" t="inlineStr">
        <is>
          <t>Quarta Edição</t>
        </is>
      </c>
      <c r="I2449" s="11" t="inlineStr">
        <is>
          <t>Não</t>
        </is>
      </c>
      <c r="J2449" s="11" t="n">
        <v>1995</v>
      </c>
      <c r="L2449" s="11" t="n">
        <v>3</v>
      </c>
      <c r="M2449" s="8">
        <f>L2449*G2449</f>
        <v/>
      </c>
      <c r="P2449" s="9" t="n"/>
    </row>
    <row r="2450">
      <c r="A2450" s="11" t="inlineStr">
        <is>
          <t>Plains / Planície</t>
        </is>
      </c>
      <c r="B2450" s="11" t="inlineStr">
        <is>
          <t>Basic Land — Plains / Terreno Básico — Planície</t>
        </is>
      </c>
      <c r="C2450" s="11" t="inlineStr">
        <is>
          <t>Common / Comum</t>
        </is>
      </c>
      <c r="D2450" s="11" t="inlineStr">
        <is>
          <t>({T}: Add {W}.) / W</t>
        </is>
      </c>
      <c r="F2450" s="11" t="inlineStr">
        <is>
          <t>Branco</t>
        </is>
      </c>
      <c r="G2450" s="8" t="n">
        <v>0.45</v>
      </c>
      <c r="H2450" s="11" t="inlineStr">
        <is>
          <t>Core Set 2021</t>
        </is>
      </c>
      <c r="I2450" s="11" t="inlineStr">
        <is>
          <t>Sim</t>
        </is>
      </c>
      <c r="J2450" s="11" t="n">
        <v>2020</v>
      </c>
      <c r="L2450" s="11" t="n">
        <v>1</v>
      </c>
      <c r="M2450" s="8">
        <f>L2450*G2450</f>
        <v/>
      </c>
      <c r="N2450" s="11" t="inlineStr">
        <is>
          <t>Bulk Shopee</t>
        </is>
      </c>
      <c r="P2450" s="9" t="n"/>
    </row>
    <row r="2451">
      <c r="A2451" s="11" t="inlineStr">
        <is>
          <t>Deliberate / Deliberar</t>
        </is>
      </c>
      <c r="B2451" s="11" t="inlineStr">
        <is>
          <t>Instant / Mágica Instantânea</t>
        </is>
      </c>
      <c r="C2451" s="11" t="inlineStr">
        <is>
          <t>Common / Comum</t>
        </is>
      </c>
      <c r="D2451" s="11" t="inlineStr">
        <is>
          <t>Scry 2, then draw a card. / Use vidência 2, depois compre um card.</t>
        </is>
      </c>
      <c r="E2451" s="11" t="inlineStr">
        <is>
          <t>{1}{U}</t>
        </is>
      </c>
      <c r="F2451" s="11" t="inlineStr">
        <is>
          <t>Azul</t>
        </is>
      </c>
      <c r="G2451" s="8" t="n">
        <v>0.43</v>
      </c>
      <c r="H2451" s="11" t="inlineStr">
        <is>
          <t>Zendikar Rising (ZNR)</t>
        </is>
      </c>
      <c r="I2451" s="11" t="inlineStr">
        <is>
          <t>Sim</t>
        </is>
      </c>
      <c r="J2451" s="11" t="n">
        <v>2020</v>
      </c>
      <c r="L2451" s="11" t="n">
        <v>1</v>
      </c>
      <c r="M2451" s="8">
        <f>L2451*G2451</f>
        <v/>
      </c>
      <c r="N2451" s="11" t="inlineStr">
        <is>
          <t>Bulk Shopee</t>
        </is>
      </c>
      <c r="P2451" s="9" t="n"/>
    </row>
    <row r="2452">
      <c r="A2452" s="11" t="inlineStr">
        <is>
          <t>Theater of Horrors / Teatro de Horrores</t>
        </is>
      </c>
      <c r="B2452" s="11" t="inlineStr">
        <is>
          <t>Enchantment / Encantamento</t>
        </is>
      </c>
      <c r="C2452" s="11" t="inlineStr">
        <is>
          <t>Rare / Rara</t>
        </is>
      </c>
      <c r="D2452"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2452" s="11" t="inlineStr">
        <is>
          <t>{1}{B}{R}</t>
        </is>
      </c>
      <c r="F2452" s="11" t="inlineStr">
        <is>
          <t>Preto, Vermelho</t>
        </is>
      </c>
      <c r="G2452" s="8" t="n">
        <v>0.25</v>
      </c>
      <c r="H2452" s="11" t="inlineStr">
        <is>
          <t>Forgotten Realms Commander</t>
        </is>
      </c>
      <c r="I2452" s="11" t="inlineStr">
        <is>
          <t>Não</t>
        </is>
      </c>
      <c r="J2452" s="11" t="n">
        <v>2021</v>
      </c>
      <c r="L2452" s="11" t="n">
        <v>1</v>
      </c>
      <c r="M2452" s="8">
        <f>L2452*G2452</f>
        <v/>
      </c>
      <c r="N2452" s="11" t="inlineStr">
        <is>
          <t>Bulk Shopee</t>
        </is>
      </c>
      <c r="P2452" s="9" t="n"/>
    </row>
    <row r="2453">
      <c r="A2453" s="11" t="inlineStr">
        <is>
          <t>Temur Charm / Amuleto Temur</t>
        </is>
      </c>
      <c r="B2453" s="11" t="inlineStr">
        <is>
          <t>Instant / Mágica Instantânea</t>
        </is>
      </c>
      <c r="C2453" s="11" t="inlineStr">
        <is>
          <t>Uncommon / Incomum</t>
        </is>
      </c>
      <c r="D2453" s="11"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2453" s="11" t="inlineStr">
        <is>
          <t>{G}{U}{R}</t>
        </is>
      </c>
      <c r="F2453" s="11" t="inlineStr">
        <is>
          <t>Verde, Vermelho, Azul</t>
        </is>
      </c>
      <c r="G2453" s="8" t="n">
        <v>0.09</v>
      </c>
      <c r="H2453" s="11" t="inlineStr">
        <is>
          <t>Khans of Tarkir (KTK)</t>
        </is>
      </c>
      <c r="I2453" s="11" t="inlineStr">
        <is>
          <t>Não</t>
        </is>
      </c>
      <c r="J2453" s="11" t="n">
        <v>2014</v>
      </c>
      <c r="L2453" s="11" t="n">
        <v>1</v>
      </c>
      <c r="M2453" s="8">
        <f>L2453*G2453</f>
        <v/>
      </c>
      <c r="N2453" s="11" t="inlineStr">
        <is>
          <t>Bulk Shopee</t>
        </is>
      </c>
      <c r="P2453" s="9" t="n"/>
    </row>
    <row r="2454">
      <c r="A2454" s="11" t="inlineStr">
        <is>
          <t>Intrusive Packbeast / Besta de Carga Invasiva</t>
        </is>
      </c>
      <c r="B2454" s="11" t="inlineStr">
        <is>
          <t>Creature — Beast / Criatura — Besta</t>
        </is>
      </c>
      <c r="C2454" s="11" t="inlineStr">
        <is>
          <t>Common / Comum</t>
        </is>
      </c>
      <c r="D2454" s="11" t="inlineStr">
        <is>
          <t>Vigilance When this creature enters, tap up to two target creatures your opponents control. / Vigilância Quando Besta de Carga Invasiva entrar no campo de batalha, vire até duas criaturas alvo que seus oponentes controlam.</t>
        </is>
      </c>
      <c r="E2454" s="11" t="inlineStr">
        <is>
          <t>{4}{W}</t>
        </is>
      </c>
      <c r="F2454" s="11" t="inlineStr">
        <is>
          <t>Branco</t>
        </is>
      </c>
      <c r="G2454" s="8" t="n">
        <v>0.03</v>
      </c>
      <c r="H2454" s="11" t="inlineStr">
        <is>
          <t>Guilds of Ravnica (GRN)</t>
        </is>
      </c>
      <c r="I2454" s="11" t="inlineStr">
        <is>
          <t>Não</t>
        </is>
      </c>
      <c r="J2454" s="11" t="n">
        <v>2018</v>
      </c>
      <c r="K2454" s="10" t="n">
        <v>46084</v>
      </c>
      <c r="L2454" s="11" t="n">
        <v>1</v>
      </c>
      <c r="M2454" s="8">
        <f>L2454*G2454</f>
        <v/>
      </c>
      <c r="N2454" s="11" t="inlineStr">
        <is>
          <t>Bulk Shopee</t>
        </is>
      </c>
      <c r="P2454" s="9" t="n"/>
    </row>
    <row r="2455">
      <c r="A2455" s="11" t="inlineStr">
        <is>
          <t>Urban Utopia / Utopia Urbana</t>
        </is>
      </c>
      <c r="B2455" s="11" t="inlineStr">
        <is>
          <t>Enchantment — Aura / Encantamento — Aura</t>
        </is>
      </c>
      <c r="C2455" s="11" t="inlineStr">
        <is>
          <t>Common / Comum</t>
        </is>
      </c>
      <c r="D2455" s="11" t="inlineStr">
        <is>
          <t>Enchant land When this Aura enters, draw a card. Enchanted land has "{T}: Add one mana of any color." / Encantar terreno Quando Utopia Urbana entrar no campo de batalha, compre um card. O terreno encantado tem "{T}: Adicione um mana de qualquer cor".</t>
        </is>
      </c>
      <c r="E2455" s="11" t="inlineStr">
        <is>
          <t>{1}{G}</t>
        </is>
      </c>
      <c r="F2455" s="11" t="inlineStr">
        <is>
          <t>Verde</t>
        </is>
      </c>
      <c r="G2455" s="8" t="n">
        <v>0.03</v>
      </c>
      <c r="H2455" s="11" t="inlineStr">
        <is>
          <t>Guilds of Ravnica (GRN)</t>
        </is>
      </c>
      <c r="I2455" s="11" t="inlineStr">
        <is>
          <t>Não</t>
        </is>
      </c>
      <c r="J2455" s="11" t="n">
        <v>2018</v>
      </c>
      <c r="L2455" s="11" t="n">
        <v>1</v>
      </c>
      <c r="M2455" s="8">
        <f>L2455*G2455</f>
        <v/>
      </c>
      <c r="N2455" s="11" t="inlineStr">
        <is>
          <t>Bulk Shopee</t>
        </is>
      </c>
      <c r="P2455" s="9" t="n"/>
    </row>
    <row r="2456">
      <c r="A2456" s="11" t="inlineStr">
        <is>
          <t>Carnival // Carnage / Carnaval // Carnificina</t>
        </is>
      </c>
      <c r="B2456" s="11" t="inlineStr">
        <is>
          <t>Instant // Sorcery / Mágica Instantânea</t>
        </is>
      </c>
      <c r="C2456" s="11" t="inlineStr">
        <is>
          <t>Uncommon / Incomum</t>
        </is>
      </c>
      <c r="D2456"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2456" s="11" t="inlineStr">
        <is>
          <t>{B/R} // {2}{B}{R}</t>
        </is>
      </c>
      <c r="F2456" s="11" t="inlineStr">
        <is>
          <t>Preto, Vermelho</t>
        </is>
      </c>
      <c r="G2456" s="8" t="n">
        <v>0.09</v>
      </c>
      <c r="H2456" s="11" t="inlineStr">
        <is>
          <t>Ravnica Allegiance (RNA)</t>
        </is>
      </c>
      <c r="I2456" s="11" t="inlineStr">
        <is>
          <t>Não</t>
        </is>
      </c>
      <c r="J2456" s="11" t="n">
        <v>2019</v>
      </c>
      <c r="L2456" s="11" t="n">
        <v>1</v>
      </c>
      <c r="M2456" s="8">
        <f>L2456*G2456</f>
        <v/>
      </c>
      <c r="N2456" s="11" t="inlineStr">
        <is>
          <t>Bulk Shopee</t>
        </is>
      </c>
      <c r="P2456" s="9" t="n"/>
    </row>
    <row r="2457">
      <c r="A2457" s="11" t="inlineStr">
        <is>
          <t>Errant Doomsayers / Áugure do Infortúnio Errante</t>
        </is>
      </c>
      <c r="B2457" s="11" t="inlineStr">
        <is>
          <t>Creature — Human Rebel / Criatura — Humano Rebelde</t>
        </is>
      </c>
      <c r="C2457" s="11" t="inlineStr">
        <is>
          <t>Common / Comum</t>
        </is>
      </c>
      <c r="D2457" s="11" t="inlineStr">
        <is>
          <t>{T}: Tap target creature with toughness 2 or less. / {T}: Vire a criatura alvo com resistência igual ou inferior a 2.</t>
        </is>
      </c>
      <c r="E2457" s="11" t="inlineStr">
        <is>
          <t>{1}{W}</t>
        </is>
      </c>
      <c r="F2457" s="11" t="inlineStr">
        <is>
          <t>Branco</t>
        </is>
      </c>
      <c r="G2457" s="8" t="n">
        <v>0.06</v>
      </c>
      <c r="H2457" s="11" t="inlineStr">
        <is>
          <t>Time Spiral Remastered (TSR)</t>
        </is>
      </c>
      <c r="I2457" s="11" t="inlineStr">
        <is>
          <t>Não</t>
        </is>
      </c>
      <c r="J2457" s="11" t="n">
        <v>2021</v>
      </c>
      <c r="K2457" s="10" t="n">
        <v>46023</v>
      </c>
      <c r="L2457" s="11" t="n">
        <v>1</v>
      </c>
      <c r="M2457" s="8">
        <f>L2457*G2457</f>
        <v/>
      </c>
      <c r="N2457" s="11" t="inlineStr">
        <is>
          <t>Bulk Shopee</t>
        </is>
      </c>
      <c r="P2457" s="9" t="n"/>
    </row>
    <row r="2458">
      <c r="A2458" s="11" t="inlineStr">
        <is>
          <t>Benalish Cavalry / Cavalaria de Benália</t>
        </is>
      </c>
      <c r="B2458" s="11" t="inlineStr">
        <is>
          <t>Creature — Human Knight / Criatura — Humano Cavaleiro</t>
        </is>
      </c>
      <c r="C2458" s="11" t="inlineStr">
        <is>
          <t>Common / Comum</t>
        </is>
      </c>
      <c r="D2458" s="11" t="inlineStr">
        <is>
          <t>Flanking (Whenever a creature without flanking blocks this creature, the blocking creature gets -1/-1 until end of turn.) / Flanquear (Toda vez que uma criatura sem flanquear bloquear esta criatura, a criatura bloqueadora receberá -1/-1 até o final do turno.)</t>
        </is>
      </c>
      <c r="E2458" s="11" t="inlineStr">
        <is>
          <t>{1}{W}</t>
        </is>
      </c>
      <c r="F2458" s="11" t="inlineStr">
        <is>
          <t>Branco</t>
        </is>
      </c>
      <c r="G2458" s="8" t="n">
        <v>0.09</v>
      </c>
      <c r="H2458" s="11" t="inlineStr">
        <is>
          <t>Time Spiral Remastered (TSR)</t>
        </is>
      </c>
      <c r="I2458" s="11" t="inlineStr">
        <is>
          <t>Não</t>
        </is>
      </c>
      <c r="J2458" s="11" t="n">
        <v>2021</v>
      </c>
      <c r="K2458" s="10" t="n">
        <v>46055</v>
      </c>
      <c r="L2458" s="11" t="n">
        <v>1</v>
      </c>
      <c r="M2458" s="8">
        <f>L2458*G2458</f>
        <v/>
      </c>
      <c r="N2458" s="11" t="inlineStr">
        <is>
          <t>Bulk Shopee</t>
        </is>
      </c>
      <c r="P2458" s="9" t="n"/>
    </row>
    <row r="2459">
      <c r="A2459" s="11" t="inlineStr">
        <is>
          <t>Diplomacy of the Wastes / Diplomacia dos Ermos</t>
        </is>
      </c>
      <c r="B2459" s="11" t="inlineStr">
        <is>
          <t>Sorcery / Feitiço</t>
        </is>
      </c>
      <c r="C2459" s="11" t="inlineStr">
        <is>
          <t>Uncommon / Incomum</t>
        </is>
      </c>
      <c r="D2459" s="11"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2459" s="11" t="inlineStr">
        <is>
          <t>{2}{B}</t>
        </is>
      </c>
      <c r="F2459" s="11" t="inlineStr">
        <is>
          <t>Preto</t>
        </is>
      </c>
      <c r="G2459" s="8" t="n">
        <v>0.08</v>
      </c>
      <c r="H2459" s="11" t="inlineStr">
        <is>
          <t>Fate Reforged (FRF)</t>
        </is>
      </c>
      <c r="I2459" s="11" t="inlineStr">
        <is>
          <t>Não</t>
        </is>
      </c>
      <c r="J2459" s="11" t="n">
        <v>2015</v>
      </c>
      <c r="L2459" s="11" t="n">
        <v>1</v>
      </c>
      <c r="M2459" s="8">
        <f>L2459*G2459</f>
        <v/>
      </c>
      <c r="N2459" s="11" t="inlineStr">
        <is>
          <t>Bulk Shopee</t>
        </is>
      </c>
      <c r="P2459" s="9" t="n"/>
    </row>
    <row r="2460">
      <c r="A2460" s="11" t="inlineStr">
        <is>
          <t>So Tiny / Tão Pequenininho</t>
        </is>
      </c>
      <c r="B2460" s="11" t="inlineStr">
        <is>
          <t>Enchantment — Aura / Encantamento — Aura</t>
        </is>
      </c>
      <c r="C2460" s="11" t="inlineStr">
        <is>
          <t>Common / Comum</t>
        </is>
      </c>
      <c r="D2460" s="11"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2460" s="11" t="inlineStr">
        <is>
          <t>{U}</t>
        </is>
      </c>
      <c r="F2460" s="11" t="inlineStr">
        <is>
          <t>Azul</t>
        </is>
      </c>
      <c r="G2460" s="8" t="n">
        <v>0.03</v>
      </c>
      <c r="H2460" s="11" t="inlineStr">
        <is>
          <t>Throne of Eldraine (ELD)</t>
        </is>
      </c>
      <c r="I2460" s="11" t="inlineStr">
        <is>
          <t>Não</t>
        </is>
      </c>
      <c r="J2460" s="11" t="n">
        <v>2019</v>
      </c>
      <c r="L2460" s="11" t="n">
        <v>1</v>
      </c>
      <c r="M2460" s="8">
        <f>L2460*G2460</f>
        <v/>
      </c>
      <c r="N2460" s="11" t="inlineStr">
        <is>
          <t>Bulk Shopee</t>
        </is>
      </c>
      <c r="P2460" s="9" t="n"/>
    </row>
    <row r="2461">
      <c r="A2461" s="11" t="inlineStr">
        <is>
          <t>Jace's Defeat / Derrota de Jace</t>
        </is>
      </c>
      <c r="B2461" s="11" t="inlineStr">
        <is>
          <t>Instant / Mágica Instantânea</t>
        </is>
      </c>
      <c r="C2461" s="11" t="inlineStr">
        <is>
          <t>Uncommon / Incomum</t>
        </is>
      </c>
      <c r="D2461" s="11" t="inlineStr">
        <is>
          <t>Counter target blue spell. If it was a Jace planeswalker spell, scry 2. / Anule a mágica azul alvo. Se ela era uma mágica de planeswalker Jace, use vidência 2.</t>
        </is>
      </c>
      <c r="E2461" s="11" t="inlineStr">
        <is>
          <t>{1}{U}</t>
        </is>
      </c>
      <c r="F2461" s="11" t="inlineStr">
        <is>
          <t>Azul</t>
        </is>
      </c>
      <c r="G2461" s="8" t="n">
        <v>0.06</v>
      </c>
      <c r="H2461" s="11" t="inlineStr">
        <is>
          <t>Hour of Devastation (HOU)</t>
        </is>
      </c>
      <c r="I2461" s="11" t="inlineStr">
        <is>
          <t>Não</t>
        </is>
      </c>
      <c r="J2461" s="11" t="n">
        <v>2017</v>
      </c>
      <c r="L2461" s="11" t="n">
        <v>1</v>
      </c>
      <c r="M2461" s="8">
        <f>L2461*G2461</f>
        <v/>
      </c>
      <c r="N2461" s="11" t="inlineStr">
        <is>
          <t>Bulk Shopee</t>
        </is>
      </c>
      <c r="P2461" s="9" t="n"/>
    </row>
    <row r="2462">
      <c r="A2462" s="11" t="inlineStr">
        <is>
          <t>Wicker Witch / Bruxa de Vime</t>
        </is>
      </c>
      <c r="B2462" s="11" t="inlineStr">
        <is>
          <t>Artifact Creature — Scarecrow / Criatura Artefato — Espantalho</t>
        </is>
      </c>
      <c r="C2462" s="11" t="inlineStr">
        <is>
          <t>Common / Comum</t>
        </is>
      </c>
      <c r="E2462" s="11" t="inlineStr">
        <is>
          <t>{3}</t>
        </is>
      </c>
      <c r="F2462" s="11" t="inlineStr">
        <is>
          <t>Incolor</t>
        </is>
      </c>
      <c r="G2462" s="8" t="n">
        <v>0.05</v>
      </c>
      <c r="H2462" s="11" t="inlineStr">
        <is>
          <t>Shadows over Innistrad (SOI)</t>
        </is>
      </c>
      <c r="I2462" s="11" t="inlineStr">
        <is>
          <t>Não</t>
        </is>
      </c>
      <c r="J2462" s="11" t="n">
        <v>2016</v>
      </c>
      <c r="K2462" s="10" t="n">
        <v>46025</v>
      </c>
      <c r="L2462" s="11" t="n">
        <v>1</v>
      </c>
      <c r="M2462" s="8">
        <f>L2462*G2462</f>
        <v/>
      </c>
      <c r="N2462" s="11" t="inlineStr">
        <is>
          <t>Bulk Shopee</t>
        </is>
      </c>
      <c r="P2462" s="9" t="n"/>
    </row>
    <row r="2463">
      <c r="A2463" s="11" t="inlineStr">
        <is>
          <t>Universal Solvent / Solvente Universal</t>
        </is>
      </c>
      <c r="B2463" s="11" t="inlineStr">
        <is>
          <t>Artifact / Artefato</t>
        </is>
      </c>
      <c r="C2463" s="11" t="inlineStr">
        <is>
          <t>Common / Comum</t>
        </is>
      </c>
      <c r="D2463" s="11" t="inlineStr">
        <is>
          <t>{7}, {T}, Sacrifice this artifact: Destroy target permanent. / {7}, {T}, sacrifique Solvente Universal: Destrua a permanente alvo.</t>
        </is>
      </c>
      <c r="E2463" s="11" t="inlineStr">
        <is>
          <t>{1}</t>
        </is>
      </c>
      <c r="F2463" s="11" t="inlineStr">
        <is>
          <t>Incolor</t>
        </is>
      </c>
      <c r="G2463" s="8" t="n">
        <v>0.03</v>
      </c>
      <c r="H2463" s="11" t="inlineStr">
        <is>
          <t>Aether Revolt (AER)</t>
        </is>
      </c>
      <c r="I2463" s="11" t="inlineStr">
        <is>
          <t>Não</t>
        </is>
      </c>
      <c r="J2463" s="11" t="n">
        <v>2017</v>
      </c>
      <c r="L2463" s="11" t="n">
        <v>1</v>
      </c>
      <c r="M2463" s="8">
        <f>L2463*G2463</f>
        <v/>
      </c>
      <c r="N2463" s="11" t="inlineStr">
        <is>
          <t>Bulk Shopee</t>
        </is>
      </c>
      <c r="P2463" s="9" t="n"/>
    </row>
    <row r="2464">
      <c r="A2464" s="11" t="inlineStr">
        <is>
          <t>Cinder Barrens / Desolação de Cinzas</t>
        </is>
      </c>
      <c r="B2464" s="11" t="inlineStr">
        <is>
          <t>Land / Terreno</t>
        </is>
      </c>
      <c r="C2464" s="11" t="inlineStr">
        <is>
          <t>Uncommon / Incomum</t>
        </is>
      </c>
      <c r="D2464" s="11" t="inlineStr">
        <is>
          <t>This land enters tapped. {T}: Add {B} or {R}. / Desolação de Cinzas entra no campo de batalha virada. {T}: Adicione {B} ou {R}.</t>
        </is>
      </c>
      <c r="F2464" s="11" t="inlineStr">
        <is>
          <t>Preto, Vermelho</t>
        </is>
      </c>
      <c r="G2464" s="8" t="n">
        <v>0.19</v>
      </c>
      <c r="H2464" s="11" t="inlineStr">
        <is>
          <t>Oath of the Gatewatch (OGW)</t>
        </is>
      </c>
      <c r="I2464" s="11" t="inlineStr">
        <is>
          <t>Não</t>
        </is>
      </c>
      <c r="J2464" s="11" t="n">
        <v>2016</v>
      </c>
      <c r="L2464" s="11" t="n">
        <v>1</v>
      </c>
      <c r="M2464" s="8">
        <f>L2464*G2464</f>
        <v/>
      </c>
      <c r="N2464" s="11" t="inlineStr">
        <is>
          <t>Bulk Shopee</t>
        </is>
      </c>
      <c r="P2464" s="9" t="n"/>
    </row>
    <row r="2465">
      <c r="A2465" s="11" t="inlineStr">
        <is>
          <t>Coral Trickster / Trapaceira dos Corais</t>
        </is>
      </c>
      <c r="B2465" s="11" t="inlineStr">
        <is>
          <t>Creature — Merfolk Rogue / Criatura — Tritão Ladino</t>
        </is>
      </c>
      <c r="C2465" s="11" t="inlineStr">
        <is>
          <t>Common / Comum</t>
        </is>
      </c>
      <c r="D2465" s="11"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2465" s="11" t="inlineStr">
        <is>
          <t>{1}{U}</t>
        </is>
      </c>
      <c r="F2465" s="11" t="inlineStr">
        <is>
          <t>Azul</t>
        </is>
      </c>
      <c r="G2465" s="8" t="n">
        <v>0.12</v>
      </c>
      <c r="H2465" s="11" t="inlineStr">
        <is>
          <t>Time Spiral Remastered (TSR)</t>
        </is>
      </c>
      <c r="I2465" s="11" t="inlineStr">
        <is>
          <t>Não</t>
        </is>
      </c>
      <c r="J2465" s="11" t="n">
        <v>2021</v>
      </c>
      <c r="K2465" s="10" t="n">
        <v>46024</v>
      </c>
      <c r="L2465" s="11" t="n">
        <v>1</v>
      </c>
      <c r="M2465" s="8">
        <f>L2465*G2465</f>
        <v/>
      </c>
      <c r="N2465" s="11" t="inlineStr">
        <is>
          <t>Bulk Shopee</t>
        </is>
      </c>
      <c r="P2465" s="9" t="n"/>
    </row>
    <row r="2466">
      <c r="A2466" s="11" t="inlineStr">
        <is>
          <t>Keldon Halberdier / Alabardeiro Keldoniano</t>
        </is>
      </c>
      <c r="B2466" s="11" t="inlineStr">
        <is>
          <t>Creature — Human Warrior / Criatura — Humano Guerreiro</t>
        </is>
      </c>
      <c r="C2466" s="11" t="inlineStr">
        <is>
          <t>Common / Comum</t>
        </is>
      </c>
      <c r="D2466" s="11"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2466" s="11" t="inlineStr">
        <is>
          <t>{4}{R}</t>
        </is>
      </c>
      <c r="F2466" s="11" t="inlineStr">
        <is>
          <t>Vermelho</t>
        </is>
      </c>
      <c r="G2466" s="8" t="n">
        <v>0.08</v>
      </c>
      <c r="H2466" s="11" t="inlineStr">
        <is>
          <t>Time Spiral Remastered (TSR)</t>
        </is>
      </c>
      <c r="I2466" s="11" t="inlineStr">
        <is>
          <t>Não</t>
        </is>
      </c>
      <c r="J2466" s="11" t="n">
        <v>2021</v>
      </c>
      <c r="K2466" s="10" t="n">
        <v>46026</v>
      </c>
      <c r="L2466" s="11" t="n">
        <v>1</v>
      </c>
      <c r="M2466" s="8">
        <f>L2466*G2466</f>
        <v/>
      </c>
      <c r="N2466" s="11" t="inlineStr">
        <is>
          <t>Bulk Shopee</t>
        </is>
      </c>
      <c r="P2466" s="9" t="n"/>
    </row>
    <row r="2467">
      <c r="A2467" s="11" t="inlineStr">
        <is>
          <t>Utopia Vow / Promessa Utópica</t>
        </is>
      </c>
      <c r="B2467" s="11" t="inlineStr">
        <is>
          <t>Enchantment — Aura / Encantamento — Aura</t>
        </is>
      </c>
      <c r="C2467" s="11" t="inlineStr">
        <is>
          <t>Common / Comum</t>
        </is>
      </c>
      <c r="D2467" s="11" t="inlineStr">
        <is>
          <t>Enchant creature Enchanted creature can't attack or block. Enchanted creature has "{T}: Add one mana of any color." / Encantar criatura A criatura encantada não pode atacar nem bloquear. A criatura encantada tem "{T}: Adicione um mana de qualquer cor".</t>
        </is>
      </c>
      <c r="E2467" s="11" t="inlineStr">
        <is>
          <t>{1}{G}</t>
        </is>
      </c>
      <c r="F2467" s="11" t="inlineStr">
        <is>
          <t>Verde</t>
        </is>
      </c>
      <c r="G2467" s="8" t="n">
        <v>0.13</v>
      </c>
      <c r="H2467" s="11" t="inlineStr">
        <is>
          <t>Time Spiral Remastered (TSR)</t>
        </is>
      </c>
      <c r="I2467" s="11" t="inlineStr">
        <is>
          <t>Não</t>
        </is>
      </c>
      <c r="J2467" s="11" t="n">
        <v>2021</v>
      </c>
      <c r="L2467" s="11" t="n">
        <v>1</v>
      </c>
      <c r="M2467" s="8">
        <f>L2467*G2467</f>
        <v/>
      </c>
      <c r="N2467" s="11" t="inlineStr">
        <is>
          <t>Bulk Shopee</t>
        </is>
      </c>
      <c r="P2467" s="9" t="n"/>
    </row>
    <row r="2468">
      <c r="A2468" s="11" t="inlineStr">
        <is>
          <t>Regenesis / Regênese</t>
        </is>
      </c>
      <c r="B2468" s="11" t="inlineStr">
        <is>
          <t>Instant / Mágica Instantânea</t>
        </is>
      </c>
      <c r="C2468" s="11" t="inlineStr">
        <is>
          <t>Uncommon / Incomum</t>
        </is>
      </c>
      <c r="D2468" s="11" t="inlineStr">
        <is>
          <t>Return up to two target permanent cards from your graveyard to your hand. / Devolva até dois cards de permanente alvo de seu cemitério para sua mão.</t>
        </is>
      </c>
      <c r="E2468" s="11" t="inlineStr">
        <is>
          <t>{3}{G}{G}</t>
        </is>
      </c>
      <c r="F2468" s="11" t="inlineStr">
        <is>
          <t>Verde</t>
        </is>
      </c>
      <c r="G2468" s="8" t="n">
        <v>0.05</v>
      </c>
      <c r="H2468" s="11" t="inlineStr">
        <is>
          <t>Ravnica Allegiance (RNA)</t>
        </is>
      </c>
      <c r="I2468" s="11" t="inlineStr">
        <is>
          <t>Não</t>
        </is>
      </c>
      <c r="J2468" s="11" t="n">
        <v>2019</v>
      </c>
      <c r="L2468" s="11" t="n">
        <v>1</v>
      </c>
      <c r="M2468" s="8">
        <f>L2468*G2468</f>
        <v/>
      </c>
      <c r="N2468" s="11" t="inlineStr">
        <is>
          <t>Bulk Shopee</t>
        </is>
      </c>
      <c r="P2468" s="9" t="n"/>
    </row>
    <row r="2469">
      <c r="A2469" s="11" t="inlineStr">
        <is>
          <t>Mindmelter / Funde-mentes</t>
        </is>
      </c>
      <c r="B2469" s="11" t="inlineStr">
        <is>
          <t>Creature — Eldrazi Drone / Criatura — Eldrazi Zangão</t>
        </is>
      </c>
      <c r="C2469" s="11" t="inlineStr">
        <is>
          <t>Uncommon / Incomum</t>
        </is>
      </c>
      <c r="D2469" s="11"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469" s="11" t="inlineStr">
        <is>
          <t>{1}{U}{B}</t>
        </is>
      </c>
      <c r="F2469" s="11" t="inlineStr">
        <is>
          <t>Preto, Azul</t>
        </is>
      </c>
      <c r="G2469" s="8" t="n">
        <v>0.08</v>
      </c>
      <c r="H2469" s="11" t="inlineStr">
        <is>
          <t>Oath of the Gatewatch (OGW)</t>
        </is>
      </c>
      <c r="I2469" s="11" t="inlineStr">
        <is>
          <t>Não</t>
        </is>
      </c>
      <c r="J2469" s="11" t="n">
        <v>2016</v>
      </c>
      <c r="K2469" s="10" t="n">
        <v>46055</v>
      </c>
      <c r="L2469" s="11" t="n">
        <v>1</v>
      </c>
      <c r="M2469" s="8">
        <f>L2469*G2469</f>
        <v/>
      </c>
      <c r="N2469" s="11" t="inlineStr">
        <is>
          <t>Bulk Shopee</t>
        </is>
      </c>
      <c r="P2469" s="9" t="n"/>
    </row>
    <row r="2470">
      <c r="A2470" s="11" t="inlineStr">
        <is>
          <t>Consulate Turret / Torreão do Consulado</t>
        </is>
      </c>
      <c r="B2470" s="11" t="inlineStr">
        <is>
          <t>Artifact / Artefato</t>
        </is>
      </c>
      <c r="C2470" s="11" t="inlineStr">
        <is>
          <t>Common / Comum</t>
        </is>
      </c>
      <c r="D2470" s="11" t="inlineStr">
        <is>
          <t>{T}: You get {E} (an energy counter). {T}, Pay {E}{E}{E}: This artifact deals 2 damage to target player or planeswalker. / {T}: Você recebe {E} (um marcador de energia). {T}, Pague {E}{E}{E}: Torreão do Consulado causa 2 pontos de dano ao jogador alvo.</t>
        </is>
      </c>
      <c r="E2470" s="11" t="inlineStr">
        <is>
          <t>{3}</t>
        </is>
      </c>
      <c r="F2470" s="11" t="inlineStr">
        <is>
          <t>Incolor</t>
        </is>
      </c>
      <c r="G2470" s="8" t="n">
        <v>0.03</v>
      </c>
      <c r="H2470" s="11" t="inlineStr">
        <is>
          <t>Aether Revolt (AER)</t>
        </is>
      </c>
      <c r="I2470" s="11" t="inlineStr">
        <is>
          <t>Não</t>
        </is>
      </c>
      <c r="J2470" s="11" t="n">
        <v>2017</v>
      </c>
      <c r="L2470" s="11" t="n">
        <v>1</v>
      </c>
      <c r="M2470" s="8">
        <f>L2470*G2470</f>
        <v/>
      </c>
      <c r="N2470" s="11" t="inlineStr">
        <is>
          <t>Bulk Shopee</t>
        </is>
      </c>
      <c r="P2470" s="9" t="n"/>
    </row>
    <row r="2471">
      <c r="A2471" s="11" t="inlineStr">
        <is>
          <t>Commander's Sphere / Esfera do Comandante</t>
        </is>
      </c>
      <c r="B2471" s="11" t="inlineStr">
        <is>
          <t>Artifact / Artefato</t>
        </is>
      </c>
      <c r="C2471" s="11" t="inlineStr">
        <is>
          <t>Common / Comum</t>
        </is>
      </c>
      <c r="D2471" s="11" t="inlineStr">
        <is>
          <t>{T}: Add one mana of any color in your commander's color identity. Sacrifice this artifact: Draw a card. / {T}: Adicione um mana de qualquer cor da identidade de cor de seu comandante. Sacrifique Esfera do Comandante: Compre um card.</t>
        </is>
      </c>
      <c r="E2471" s="11" t="inlineStr">
        <is>
          <t>{3}</t>
        </is>
      </c>
      <c r="F2471" s="11" t="inlineStr">
        <is>
          <t>Incolor</t>
        </is>
      </c>
      <c r="G2471" s="8" t="n">
        <v>0.5</v>
      </c>
      <c r="H2471" s="11" t="inlineStr">
        <is>
          <t>Commander 2019 (C19)</t>
        </is>
      </c>
      <c r="I2471" s="11" t="inlineStr">
        <is>
          <t>Não</t>
        </is>
      </c>
      <c r="J2471" s="11" t="n">
        <v>2019</v>
      </c>
      <c r="L2471" s="11" t="n">
        <v>1</v>
      </c>
      <c r="M2471" s="8">
        <f>L2471*G2471</f>
        <v/>
      </c>
      <c r="N2471" s="11" t="inlineStr">
        <is>
          <t>Bulk Shopee</t>
        </is>
      </c>
      <c r="P2471" s="9" t="n"/>
    </row>
    <row r="2472">
      <c r="A2472" s="11" t="inlineStr">
        <is>
          <t>Spiked Pit Trap / Armadilha do Poço com Estacas</t>
        </is>
      </c>
      <c r="B2472" s="11" t="inlineStr">
        <is>
          <t>Artifact / Artefato</t>
        </is>
      </c>
      <c r="C2472" s="11" t="inlineStr">
        <is>
          <t>Common / Comum</t>
        </is>
      </c>
      <c r="D2472" s="11"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72" s="11" t="inlineStr">
        <is>
          <t>{1}</t>
        </is>
      </c>
      <c r="F2472" s="11" t="inlineStr">
        <is>
          <t>Incolor</t>
        </is>
      </c>
      <c r="G2472" s="8" t="n">
        <v>0.06</v>
      </c>
      <c r="H2472" s="11" t="inlineStr">
        <is>
          <t>Adventures in the Forgotten Realms (AFR)</t>
        </is>
      </c>
      <c r="I2472" s="11" t="inlineStr">
        <is>
          <t>Não</t>
        </is>
      </c>
      <c r="J2472" s="11" t="n">
        <v>2021</v>
      </c>
      <c r="L2472" s="11" t="n">
        <v>1</v>
      </c>
      <c r="M2472" s="8">
        <f>L2472*G2472</f>
        <v/>
      </c>
      <c r="N2472" s="11" t="inlineStr">
        <is>
          <t>Bulk Shopee</t>
        </is>
      </c>
      <c r="P2472" s="9" t="n"/>
    </row>
    <row r="2473">
      <c r="A2473" s="11" t="inlineStr">
        <is>
          <t>Sky Tether / Corrente Celeste</t>
        </is>
      </c>
      <c r="B2473" s="11" t="inlineStr">
        <is>
          <t>Enchantment — Aura / Encantamento — Aura</t>
        </is>
      </c>
      <c r="C2473" s="11" t="inlineStr">
        <is>
          <t>Uncommon / Incomum</t>
        </is>
      </c>
      <c r="D2473" s="11" t="inlineStr">
        <is>
          <t>Enchant creature Enchanted creature has defender and loses flying. / Encantar criatura A criatura encantada tem defensor e perde voar.</t>
        </is>
      </c>
      <c r="E2473" s="11" t="inlineStr">
        <is>
          <t>{W}</t>
        </is>
      </c>
      <c r="F2473" s="11" t="inlineStr">
        <is>
          <t>Branco</t>
        </is>
      </c>
      <c r="G2473" s="8" t="n">
        <v>0.03</v>
      </c>
      <c r="H2473" s="11" t="inlineStr">
        <is>
          <t>Ravnica Allegiance (RNA)</t>
        </is>
      </c>
      <c r="I2473" s="11" t="inlineStr">
        <is>
          <t>Não</t>
        </is>
      </c>
      <c r="J2473" s="11" t="n">
        <v>2019</v>
      </c>
      <c r="L2473" s="11" t="n">
        <v>1</v>
      </c>
      <c r="M2473" s="8">
        <f>L2473*G2473</f>
        <v/>
      </c>
      <c r="N2473" s="11" t="inlineStr">
        <is>
          <t>Bulk Shopee</t>
        </is>
      </c>
      <c r="P2473" s="9" t="n"/>
    </row>
    <row r="2474">
      <c r="A2474" s="11" t="inlineStr">
        <is>
          <t>Deepcavern Imp / Diabrete de Gruta Profunda</t>
        </is>
      </c>
      <c r="B2474" s="11" t="inlineStr">
        <is>
          <t>Creature — Imp Rebel / Criatura — Diabrete Rebelde</t>
        </is>
      </c>
      <c r="C2474" s="11" t="inlineStr">
        <is>
          <t>Common / Comum</t>
        </is>
      </c>
      <c r="D2474" s="11"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474" s="11" t="inlineStr">
        <is>
          <t>{2}{B}</t>
        </is>
      </c>
      <c r="F2474" s="11" t="inlineStr">
        <is>
          <t>Preto</t>
        </is>
      </c>
      <c r="G2474" s="8" t="n">
        <v>0.06</v>
      </c>
      <c r="H2474" s="11" t="inlineStr">
        <is>
          <t>Time Spiral Remastered (TSR)</t>
        </is>
      </c>
      <c r="I2474" s="11" t="inlineStr">
        <is>
          <t>Não</t>
        </is>
      </c>
      <c r="J2474" s="11" t="n">
        <v>2021</v>
      </c>
      <c r="K2474" s="10" t="n">
        <v>46055</v>
      </c>
      <c r="L2474" s="11" t="n">
        <v>1</v>
      </c>
      <c r="M2474" s="8">
        <f>L2474*G2474</f>
        <v/>
      </c>
      <c r="N2474" s="11" t="inlineStr">
        <is>
          <t>Bulk Shopee</t>
        </is>
      </c>
      <c r="P2474" s="9" t="n"/>
    </row>
    <row r="2475">
      <c r="A2475" s="11" t="inlineStr">
        <is>
          <t>Bellowing Saddlebrute / Ginete Brutal Urrante</t>
        </is>
      </c>
      <c r="B2475" s="11" t="inlineStr">
        <is>
          <t>Creature — Orc Warrior / Criatura — Orc Guerreiro</t>
        </is>
      </c>
      <c r="C2475" s="11" t="inlineStr">
        <is>
          <t>Uncommon / Incomum</t>
        </is>
      </c>
      <c r="D2475" s="11" t="inlineStr">
        <is>
          <t>Raid — When this creature enters, you lose 4 life unless you attacked this turn. / Raide — Quando Ginete Brutal Urrante entra no campo de batalha, você perde 4 pontos de vida, a menos que você tenha atacado com uma criatura neste turno.</t>
        </is>
      </c>
      <c r="E2475" s="11" t="inlineStr">
        <is>
          <t>{3}{B}</t>
        </is>
      </c>
      <c r="F2475" s="11" t="inlineStr">
        <is>
          <t>Preto</t>
        </is>
      </c>
      <c r="G2475" s="8" t="n">
        <v>0.05</v>
      </c>
      <c r="H2475" s="11" t="inlineStr">
        <is>
          <t>Khans of Tarkir (KTK)</t>
        </is>
      </c>
      <c r="I2475" s="11" t="inlineStr">
        <is>
          <t>Não</t>
        </is>
      </c>
      <c r="J2475" s="11" t="n">
        <v>2014</v>
      </c>
      <c r="K2475" s="10" t="n">
        <v>46146</v>
      </c>
      <c r="L2475" s="11" t="n">
        <v>1</v>
      </c>
      <c r="M2475" s="8">
        <f>L2475*G2475</f>
        <v/>
      </c>
      <c r="N2475" s="11" t="inlineStr">
        <is>
          <t>Bulk Shopee</t>
        </is>
      </c>
      <c r="P2475" s="9" t="n"/>
    </row>
    <row r="2476">
      <c r="A2476" s="11" t="inlineStr">
        <is>
          <t>Enhanced Surveillance / Vigilância Reforçada</t>
        </is>
      </c>
      <c r="B2476" s="11" t="inlineStr">
        <is>
          <t>Enchantment / Encantamento</t>
        </is>
      </c>
      <c r="C2476" s="11" t="inlineStr">
        <is>
          <t>Uncommon / Incomum</t>
        </is>
      </c>
      <c r="D2476" s="11"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476" s="11" t="inlineStr">
        <is>
          <t>{1}{U}</t>
        </is>
      </c>
      <c r="F2476" s="11" t="inlineStr">
        <is>
          <t>Azul</t>
        </is>
      </c>
      <c r="G2476" s="8" t="n">
        <v>0.06</v>
      </c>
      <c r="H2476" s="11" t="inlineStr">
        <is>
          <t>Guilds of Ravnica (GRN)</t>
        </is>
      </c>
      <c r="I2476" s="11" t="inlineStr">
        <is>
          <t>Não</t>
        </is>
      </c>
      <c r="J2476" s="11" t="n">
        <v>2018</v>
      </c>
      <c r="L2476" s="11" t="n">
        <v>1</v>
      </c>
      <c r="M2476" s="8">
        <f>L2476*G2476</f>
        <v/>
      </c>
      <c r="N2476" s="11" t="inlineStr">
        <is>
          <t>Bulk Shopee</t>
        </is>
      </c>
      <c r="P2476" s="9" t="n"/>
    </row>
    <row r="2477">
      <c r="A2477" s="11" t="inlineStr">
        <is>
          <t>Spontaneous Mutation / Mutação Espontânea</t>
        </is>
      </c>
      <c r="B2477" s="11" t="inlineStr">
        <is>
          <t>Enchantment — Aura / Encantamento — Aura</t>
        </is>
      </c>
      <c r="C2477" s="11" t="inlineStr">
        <is>
          <t>Common / Comum</t>
        </is>
      </c>
      <c r="D2477" s="11"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477" s="11" t="inlineStr">
        <is>
          <t>{U}</t>
        </is>
      </c>
      <c r="F2477" s="11" t="inlineStr">
        <is>
          <t>Azul</t>
        </is>
      </c>
      <c r="G2477" s="8" t="n">
        <v>0.04</v>
      </c>
      <c r="H2477" s="11" t="inlineStr">
        <is>
          <t>Commander Legends (CMR)</t>
        </is>
      </c>
      <c r="I2477" s="11" t="inlineStr">
        <is>
          <t>Não</t>
        </is>
      </c>
      <c r="J2477" s="11" t="n">
        <v>2020</v>
      </c>
      <c r="L2477" s="11" t="n">
        <v>1</v>
      </c>
      <c r="M2477" s="8">
        <f>L2477*G2477</f>
        <v/>
      </c>
      <c r="N2477" s="11" t="inlineStr">
        <is>
          <t>Bulk Shopee</t>
        </is>
      </c>
      <c r="P2477" s="9" t="n"/>
    </row>
    <row r="2478">
      <c r="A2478" s="11" t="inlineStr">
        <is>
          <t>Quench / Arrefecer</t>
        </is>
      </c>
      <c r="B2478" s="11" t="inlineStr">
        <is>
          <t>Instant / Mágica Instantânea</t>
        </is>
      </c>
      <c r="C2478" s="11" t="inlineStr">
        <is>
          <t>Common / Comum</t>
        </is>
      </c>
      <c r="D2478" s="11" t="inlineStr">
        <is>
          <t>Counter target spell unless its controller pays {2}. / Anule a mágica alvo, a menos que seu controlador pague {2}.</t>
        </is>
      </c>
      <c r="E2478" s="11" t="inlineStr">
        <is>
          <t>{1}{U}</t>
        </is>
      </c>
      <c r="F2478" s="11" t="inlineStr">
        <is>
          <t>Azul</t>
        </is>
      </c>
      <c r="G2478" s="8" t="n">
        <v>0.04</v>
      </c>
      <c r="H2478" s="11" t="inlineStr">
        <is>
          <t>Ravnica Allegiance (RNA)</t>
        </is>
      </c>
      <c r="I2478" s="11" t="inlineStr">
        <is>
          <t>Não</t>
        </is>
      </c>
      <c r="J2478" s="11" t="n">
        <v>2019</v>
      </c>
      <c r="L2478" s="11" t="n">
        <v>1</v>
      </c>
      <c r="M2478" s="8">
        <f>L2478*G2478</f>
        <v/>
      </c>
      <c r="N2478" s="11" t="inlineStr">
        <is>
          <t>Bulk Shopee</t>
        </is>
      </c>
      <c r="P2478" s="9" t="n"/>
    </row>
    <row r="2479">
      <c r="A2479" s="11" t="inlineStr">
        <is>
          <t>Dagger Caster / Lançadora de Adagas</t>
        </is>
      </c>
      <c r="B2479" s="11" t="inlineStr">
        <is>
          <t>Creature — Lizard Rogue / Criatura — Viashino Ladino</t>
        </is>
      </c>
      <c r="C2479" s="11" t="inlineStr">
        <is>
          <t>Uncommon / Incomum</t>
        </is>
      </c>
      <c r="D2479" s="11"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2479" s="11" t="inlineStr">
        <is>
          <t>{3}{R}</t>
        </is>
      </c>
      <c r="F2479" s="11" t="inlineStr">
        <is>
          <t>Vermelho</t>
        </is>
      </c>
      <c r="G2479" s="8" t="n">
        <v>0.03</v>
      </c>
      <c r="H2479" s="11" t="inlineStr">
        <is>
          <t>Ravnica Allegiance (RNA)</t>
        </is>
      </c>
      <c r="I2479" s="11" t="inlineStr">
        <is>
          <t>Não</t>
        </is>
      </c>
      <c r="J2479" s="11" t="n">
        <v>2019</v>
      </c>
      <c r="K2479" s="10" t="n">
        <v>46083</v>
      </c>
      <c r="L2479" s="11" t="n">
        <v>1</v>
      </c>
      <c r="M2479" s="8">
        <f>L2479*G2479</f>
        <v/>
      </c>
      <c r="N2479" s="11" t="inlineStr">
        <is>
          <t>Bulk Shopee</t>
        </is>
      </c>
      <c r="P2479" s="9" t="n"/>
    </row>
    <row r="2480">
      <c r="A2480" s="11" t="inlineStr">
        <is>
          <t>Strength in Numbers / Força em Números</t>
        </is>
      </c>
      <c r="B2480" s="11" t="inlineStr">
        <is>
          <t>Instant / Mágica Instantânea</t>
        </is>
      </c>
      <c r="C2480" s="11" t="inlineStr">
        <is>
          <t>Common / Comum</t>
        </is>
      </c>
      <c r="D2480" s="11" t="inlineStr">
        <is>
          <t>Until end of turn, target creature gains trample and gets +X/+X, where X is the number of attacking creatures. / Até o final do turno, a criatura alvo ganha atropelar e recebe +X/+X, sendo X o número de criaturas atacantes.</t>
        </is>
      </c>
      <c r="E2480" s="11" t="inlineStr">
        <is>
          <t>{1}{G}</t>
        </is>
      </c>
      <c r="F2480" s="11" t="inlineStr">
        <is>
          <t>Verde</t>
        </is>
      </c>
      <c r="G2480" s="8" t="n">
        <v>0.08</v>
      </c>
      <c r="H2480" s="11" t="inlineStr">
        <is>
          <t>Time Spiral Remastered (TSR)</t>
        </is>
      </c>
      <c r="I2480" s="11" t="inlineStr">
        <is>
          <t>Não</t>
        </is>
      </c>
      <c r="J2480" s="11" t="n">
        <v>2021</v>
      </c>
      <c r="L2480" s="11" t="n">
        <v>1</v>
      </c>
      <c r="M2480" s="8">
        <f>L2480*G2480</f>
        <v/>
      </c>
      <c r="N2480" s="11" t="inlineStr">
        <is>
          <t>Bulk Shopee</t>
        </is>
      </c>
      <c r="P2480" s="9" t="n"/>
    </row>
    <row r="2481">
      <c r="A2481" s="11" t="inlineStr">
        <is>
          <t>Root Snare / Armadilha de Raízes</t>
        </is>
      </c>
      <c r="B2481" s="11" t="inlineStr">
        <is>
          <t>Instant / Mágica Instantânea</t>
        </is>
      </c>
      <c r="C2481" s="11" t="inlineStr">
        <is>
          <t>Common / Comum</t>
        </is>
      </c>
      <c r="D2481" s="11" t="inlineStr">
        <is>
          <t>Prevent all combat damage that would be dealt this turn. / Previna todo o dano de combate que seria causado neste turno.</t>
        </is>
      </c>
      <c r="E2481" s="11" t="inlineStr">
        <is>
          <t>{1}{G}</t>
        </is>
      </c>
      <c r="F2481" s="11" t="inlineStr">
        <is>
          <t>Verde</t>
        </is>
      </c>
      <c r="G2481" s="8" t="n">
        <v>0.06</v>
      </c>
      <c r="H2481" s="11" t="inlineStr">
        <is>
          <t>Ravnica Allegiance (RNA)</t>
        </is>
      </c>
      <c r="I2481" s="11" t="inlineStr">
        <is>
          <t>Não</t>
        </is>
      </c>
      <c r="J2481" s="11" t="n">
        <v>2019</v>
      </c>
      <c r="L2481" s="11" t="n">
        <v>1</v>
      </c>
      <c r="M2481" s="8">
        <f>L2481*G2481</f>
        <v/>
      </c>
      <c r="N2481" s="11" t="inlineStr">
        <is>
          <t>Bulk Shopee</t>
        </is>
      </c>
      <c r="P2481" s="9" t="n"/>
    </row>
    <row r="2482">
      <c r="A2482" s="11" t="inlineStr">
        <is>
          <t>Orzhov Guildgate / Portão da Guilda Orzhov</t>
        </is>
      </c>
      <c r="B2482" s="11" t="inlineStr">
        <is>
          <t>Land — Gate / Terreno — Portão</t>
        </is>
      </c>
      <c r="C2482" s="11" t="inlineStr">
        <is>
          <t>Common / Comum</t>
        </is>
      </c>
      <c r="D2482" s="11" t="inlineStr">
        <is>
          <t>This land enters tapped. {T}: Add {W} or {B}. / Portão da Guilda Orzhov entra no campo de batalha virado. {T}: Adicione {W} ou {B}.</t>
        </is>
      </c>
      <c r="F2482" s="11" t="inlineStr">
        <is>
          <t>Preto, Branco</t>
        </is>
      </c>
      <c r="G2482" s="8" t="n">
        <v>0.09</v>
      </c>
      <c r="H2482" s="11" t="inlineStr">
        <is>
          <t>Dragon's Maze (DGM)</t>
        </is>
      </c>
      <c r="I2482" s="11" t="inlineStr">
        <is>
          <t>Não</t>
        </is>
      </c>
      <c r="J2482" s="11" t="n">
        <v>2013</v>
      </c>
      <c r="L2482" s="11" t="n">
        <v>1</v>
      </c>
      <c r="M2482" s="8">
        <f>L2482*G2482</f>
        <v/>
      </c>
      <c r="N2482" s="11" t="inlineStr">
        <is>
          <t>Bulk Shopee</t>
        </is>
      </c>
      <c r="P2482" s="9" t="n"/>
    </row>
    <row r="2483">
      <c r="A2483" s="11" t="inlineStr">
        <is>
          <t>Shard of Broken Glass / Fragmento de Vidro</t>
        </is>
      </c>
      <c r="B2483" s="11" t="inlineStr">
        <is>
          <t>Artifact — Equipment / Artefato — Equipamento</t>
        </is>
      </c>
      <c r="C2483" s="11" t="inlineStr">
        <is>
          <t>Common / Comum</t>
        </is>
      </c>
      <c r="D2483" s="11"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2483" s="11" t="inlineStr">
        <is>
          <t>{1}</t>
        </is>
      </c>
      <c r="F2483" s="11" t="inlineStr">
        <is>
          <t>Incolor</t>
        </is>
      </c>
      <c r="G2483" s="8" t="n">
        <v>0.05</v>
      </c>
      <c r="H2483" s="11" t="inlineStr">
        <is>
          <t>Shadows over Innistrad (SOI)</t>
        </is>
      </c>
      <c r="I2483" s="11" t="inlineStr">
        <is>
          <t>Não</t>
        </is>
      </c>
      <c r="J2483" s="11" t="n">
        <v>2016</v>
      </c>
      <c r="L2483" s="11" t="n">
        <v>1</v>
      </c>
      <c r="M2483" s="8">
        <f>L2483*G2483</f>
        <v/>
      </c>
      <c r="N2483" s="11" t="inlineStr">
        <is>
          <t>Bulk Shopee</t>
        </is>
      </c>
      <c r="P2483" s="9" t="n"/>
    </row>
    <row r="2484">
      <c r="A2484" s="11" t="inlineStr">
        <is>
          <t>Silent Dart / Dardo de Pulso</t>
        </is>
      </c>
      <c r="B2484" s="11" t="inlineStr">
        <is>
          <t>Artifact / Artefato</t>
        </is>
      </c>
      <c r="C2484" s="11" t="inlineStr">
        <is>
          <t>Uncommon / Incomum</t>
        </is>
      </c>
      <c r="D2484" s="11" t="inlineStr">
        <is>
          <t>{4}, {T}, Sacrifice this artifact: It deals 3 damage to target creature. / {4}, {T}, sacrifique Dardo de Pulso: Ele causa 3 pontos de dano à criatura alvo.</t>
        </is>
      </c>
      <c r="E2484" s="11" t="inlineStr">
        <is>
          <t>{1}</t>
        </is>
      </c>
      <c r="F2484" s="11" t="inlineStr">
        <is>
          <t>Incolor</t>
        </is>
      </c>
      <c r="G2484" s="8" t="n">
        <v>0.03</v>
      </c>
      <c r="H2484" s="11" t="inlineStr">
        <is>
          <t>Guilds of Ravnica (GRN)</t>
        </is>
      </c>
      <c r="I2484" s="11" t="inlineStr">
        <is>
          <t>Não</t>
        </is>
      </c>
      <c r="J2484" s="11" t="n">
        <v>2018</v>
      </c>
      <c r="L2484" s="11" t="n">
        <v>1</v>
      </c>
      <c r="M2484" s="8">
        <f>L2484*G2484</f>
        <v/>
      </c>
      <c r="N2484" s="11" t="inlineStr">
        <is>
          <t>Bulk Shopee</t>
        </is>
      </c>
      <c r="P2484" s="9" t="n"/>
    </row>
    <row r="2485">
      <c r="A2485" s="11" t="inlineStr">
        <is>
          <t>Angelic Purge / Purgação Angelical</t>
        </is>
      </c>
      <c r="B2485" s="11" t="inlineStr">
        <is>
          <t>Sorcery / Feitiço</t>
        </is>
      </c>
      <c r="C2485" s="11" t="inlineStr">
        <is>
          <t>Common / Comum</t>
        </is>
      </c>
      <c r="D2485" s="11" t="inlineStr">
        <is>
          <t>As an additional cost to cast this spell, sacrifice a permanent. Exile target artifact, creature, or enchantment. / Como custo adicional para conjurar Purgação Angelical, sacrifique uma permanente. Exile o artefato, criatura ou encantamento alvo.</t>
        </is>
      </c>
      <c r="E2485" s="11" t="inlineStr">
        <is>
          <t>{2}{W}</t>
        </is>
      </c>
      <c r="F2485" s="11" t="inlineStr">
        <is>
          <t>Branco</t>
        </is>
      </c>
      <c r="G2485" s="8" t="n">
        <v>0.05</v>
      </c>
      <c r="H2485" s="11" t="inlineStr">
        <is>
          <t>Shadows over Innistrad (SOI)</t>
        </is>
      </c>
      <c r="I2485" s="11" t="inlineStr">
        <is>
          <t>Não</t>
        </is>
      </c>
      <c r="J2485" s="11" t="n">
        <v>2016</v>
      </c>
      <c r="L2485" s="11" t="n">
        <v>1</v>
      </c>
      <c r="M2485" s="8">
        <f>L2485*G2485</f>
        <v/>
      </c>
      <c r="N2485" s="11" t="inlineStr">
        <is>
          <t>Bulk Shopee</t>
        </is>
      </c>
      <c r="P2485" s="9" t="n"/>
    </row>
    <row r="2486">
      <c r="A2486" s="11" t="inlineStr">
        <is>
          <t>Ampryn Tactician / Estrategista Ampryn</t>
        </is>
      </c>
      <c r="B2486" s="11" t="inlineStr">
        <is>
          <t>Creature — Human Soldier / Criatura — Humano Soldado</t>
        </is>
      </c>
      <c r="C2486" s="11" t="inlineStr">
        <is>
          <t>Common / Comum</t>
        </is>
      </c>
      <c r="D2486" s="11" t="inlineStr">
        <is>
          <t>When this creature enters, creatures you control get +1/+1 until end of turn. / Quando Estrategista Ampryn entra no campo de batalha, as criaturas que você controla recebem +1/+1 até o final do turno.</t>
        </is>
      </c>
      <c r="E2486" s="11" t="inlineStr">
        <is>
          <t>{2}{W}{W}</t>
        </is>
      </c>
      <c r="F2486" s="11" t="inlineStr">
        <is>
          <t>Branco</t>
        </is>
      </c>
      <c r="G2486" s="8" t="n">
        <v>0.06</v>
      </c>
      <c r="H2486" s="11" t="inlineStr">
        <is>
          <t>Magic Origins (ORI)</t>
        </is>
      </c>
      <c r="I2486" s="11" t="inlineStr">
        <is>
          <t>Não</t>
        </is>
      </c>
      <c r="J2486" s="11" t="n">
        <v>2015</v>
      </c>
      <c r="K2486" s="10" t="n">
        <v>46084</v>
      </c>
      <c r="L2486" s="11" t="n">
        <v>1</v>
      </c>
      <c r="M2486" s="8">
        <f>L2486*G2486</f>
        <v/>
      </c>
      <c r="N2486" s="11" t="inlineStr">
        <is>
          <t>Bulk Shopee</t>
        </is>
      </c>
      <c r="P2486" s="9" t="n"/>
    </row>
    <row r="2487">
      <c r="A2487" s="11" t="inlineStr">
        <is>
          <t>Seismic Rupture / Ruptura Sísmica</t>
        </is>
      </c>
      <c r="B2487" s="11" t="inlineStr">
        <is>
          <t>Sorcery / Feitiço</t>
        </is>
      </c>
      <c r="C2487" s="11" t="inlineStr">
        <is>
          <t>Uncommon / Incomum</t>
        </is>
      </c>
      <c r="D2487" s="11" t="inlineStr">
        <is>
          <t>Seismic Rupture deals 2 damage to each creature without flying. / Ruptura Sísmica causa 2 pontos de dano a cada criatura sem voar.</t>
        </is>
      </c>
      <c r="E2487" s="11" t="inlineStr">
        <is>
          <t>{2}{R}</t>
        </is>
      </c>
      <c r="F2487" s="11" t="inlineStr">
        <is>
          <t>Vermelho</t>
        </is>
      </c>
      <c r="G2487" s="8" t="n">
        <v>0.06</v>
      </c>
      <c r="H2487" s="11" t="inlineStr">
        <is>
          <t>Dragons of Tarkir (DTK)</t>
        </is>
      </c>
      <c r="I2487" s="11" t="inlineStr">
        <is>
          <t>Não</t>
        </is>
      </c>
      <c r="J2487" s="11" t="n">
        <v>2015</v>
      </c>
      <c r="L2487" s="11" t="n">
        <v>1</v>
      </c>
      <c r="M2487" s="8">
        <f>L2487*G2487</f>
        <v/>
      </c>
      <c r="N2487" s="11" t="inlineStr">
        <is>
          <t>Bulk Shopee</t>
        </is>
      </c>
      <c r="P2487" s="9" t="n"/>
    </row>
    <row r="2488">
      <c r="A2488" s="11" t="inlineStr">
        <is>
          <t>Servant of the Scale / Servo da Escama</t>
        </is>
      </c>
      <c r="B2488" s="11" t="inlineStr">
        <is>
          <t>Creature — Human Soldier / Criatura — Humano Soldado</t>
        </is>
      </c>
      <c r="C2488" s="11" t="inlineStr">
        <is>
          <t>Common / Comum</t>
        </is>
      </c>
      <c r="D2488" s="11"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2488" s="11" t="inlineStr">
        <is>
          <t>{G}</t>
        </is>
      </c>
      <c r="F2488" s="11" t="inlineStr">
        <is>
          <t>Verde</t>
        </is>
      </c>
      <c r="G2488" s="8" t="n">
        <v>0.08</v>
      </c>
      <c r="H2488" s="11" t="inlineStr">
        <is>
          <t>Dragons of Tarkir (DTK)</t>
        </is>
      </c>
      <c r="I2488" s="11" t="inlineStr">
        <is>
          <t>Não</t>
        </is>
      </c>
      <c r="J2488" s="11" t="n">
        <v>2015</v>
      </c>
      <c r="K2488" s="11" t="inlineStr">
        <is>
          <t>0/0</t>
        </is>
      </c>
      <c r="L2488" s="11" t="n">
        <v>1</v>
      </c>
      <c r="M2488" s="8">
        <f>L2488*G2488</f>
        <v/>
      </c>
      <c r="N2488" s="11" t="inlineStr">
        <is>
          <t>Bulk Shopee</t>
        </is>
      </c>
      <c r="P2488" s="9" t="n"/>
    </row>
    <row r="2489">
      <c r="A2489" s="11" t="inlineStr">
        <is>
          <t>Strongarm Monk / Monge Braço-forte</t>
        </is>
      </c>
      <c r="B2489" s="11" t="inlineStr">
        <is>
          <t>Creature — Human Monk / Criatura — Humano Monge</t>
        </is>
      </c>
      <c r="C2489" s="11" t="inlineStr">
        <is>
          <t>Uncommon / Incomum</t>
        </is>
      </c>
      <c r="D2489" s="11" t="inlineStr">
        <is>
          <t>Whenever you cast a noncreature spell, creatures you control get +1/+1 until end of turn. / Toda vez que você conjura uma mágica que não seja de criatura, as criaturas que você controla recebem +1/+1 até o final do turno.</t>
        </is>
      </c>
      <c r="E2489" s="11" t="inlineStr">
        <is>
          <t>{4}{W}</t>
        </is>
      </c>
      <c r="F2489" s="11" t="inlineStr">
        <is>
          <t>Branco</t>
        </is>
      </c>
      <c r="G2489" s="8" t="n">
        <v>0.06</v>
      </c>
      <c r="H2489" s="11" t="inlineStr">
        <is>
          <t>Dragons of Tarkir (DTK)</t>
        </is>
      </c>
      <c r="I2489" s="11" t="inlineStr">
        <is>
          <t>Não</t>
        </is>
      </c>
      <c r="J2489" s="11" t="n">
        <v>2015</v>
      </c>
      <c r="K2489" s="10" t="n">
        <v>46084</v>
      </c>
      <c r="L2489" s="11" t="n">
        <v>1</v>
      </c>
      <c r="M2489" s="8">
        <f>L2489*G2489</f>
        <v/>
      </c>
      <c r="N2489" s="11" t="inlineStr">
        <is>
          <t>Bulk Shopee</t>
        </is>
      </c>
      <c r="P2489" s="9" t="n"/>
    </row>
    <row r="2490">
      <c r="A2490" s="11" t="inlineStr">
        <is>
          <t>Seek the Horizon / Procurar o Horizonte</t>
        </is>
      </c>
      <c r="B2490" s="11" t="inlineStr">
        <is>
          <t>Sorcery / Feitiço</t>
        </is>
      </c>
      <c r="C2490" s="11" t="inlineStr">
        <is>
          <t>Uncommon / Incomum</t>
        </is>
      </c>
      <c r="D2490" s="11" t="inlineStr">
        <is>
          <t>Search your library for up to three basic land cards, reveal them, put them into your hand, then shuffle. / Procure em seu grimório até três cards de terreno básico, revele-os e coloque-os em sua mão. Depois, embaralhe seu grimório.</t>
        </is>
      </c>
      <c r="E2490" s="11" t="inlineStr">
        <is>
          <t>{3}{G}</t>
        </is>
      </c>
      <c r="F2490" s="11" t="inlineStr">
        <is>
          <t>Verde</t>
        </is>
      </c>
      <c r="G2490" s="8" t="n">
        <v>0.05</v>
      </c>
      <c r="H2490" s="11" t="inlineStr">
        <is>
          <t>Khans of Tarkir (KTK)</t>
        </is>
      </c>
      <c r="I2490" s="11" t="inlineStr">
        <is>
          <t>Não</t>
        </is>
      </c>
      <c r="J2490" s="11" t="n">
        <v>2014</v>
      </c>
      <c r="L2490" s="11" t="n">
        <v>1</v>
      </c>
      <c r="M2490" s="8">
        <f>L2490*G2490</f>
        <v/>
      </c>
      <c r="N2490" s="11" t="inlineStr">
        <is>
          <t>Bulk Shopee</t>
        </is>
      </c>
      <c r="P2490" s="9" t="n"/>
    </row>
    <row r="2491">
      <c r="A2491" s="11" t="inlineStr">
        <is>
          <t>Mindstab / Apunhala-mentes</t>
        </is>
      </c>
      <c r="B2491" s="11" t="inlineStr">
        <is>
          <t>Sorcery / Feitiço</t>
        </is>
      </c>
      <c r="C2491" s="11" t="inlineStr">
        <is>
          <t>Common / Comum</t>
        </is>
      </c>
      <c r="D2491" s="11"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2491" s="11" t="inlineStr">
        <is>
          <t>{5}{B}</t>
        </is>
      </c>
      <c r="F2491" s="11" t="inlineStr">
        <is>
          <t>Preto</t>
        </is>
      </c>
      <c r="G2491" s="8" t="n">
        <v>0.09</v>
      </c>
      <c r="H2491" s="11" t="inlineStr">
        <is>
          <t>Time Spiral Remastered (TSR)</t>
        </is>
      </c>
      <c r="I2491" s="11" t="inlineStr">
        <is>
          <t>Não</t>
        </is>
      </c>
      <c r="J2491" s="11" t="n">
        <v>2021</v>
      </c>
      <c r="L2491" s="11" t="n">
        <v>1</v>
      </c>
      <c r="M2491" s="8">
        <f>L2491*G2491</f>
        <v/>
      </c>
      <c r="N2491" s="11" t="inlineStr">
        <is>
          <t>Bulk Shopee</t>
        </is>
      </c>
      <c r="P2491" s="9" t="n"/>
    </row>
    <row r="2492">
      <c r="A2492" s="11" t="inlineStr">
        <is>
          <t>Spire Mangler / Desmembrador da Torre</t>
        </is>
      </c>
      <c r="B2492" s="11" t="inlineStr">
        <is>
          <t>Creature — Insect / Criatura — Inseto</t>
        </is>
      </c>
      <c r="C2492" s="11" t="inlineStr">
        <is>
          <t>Uncommon / Incomum</t>
        </is>
      </c>
      <c r="D2492" s="11" t="inlineStr">
        <is>
          <t>Flash Flying When this creature enters, target creature you control with flying gets +2/+0 until end of turn. / Lampejo Voar Quando Desmembrador da Torre entra no campo de batalha, a criatura alvo que você controla com voar recebe +2/+0 até o final do turno.</t>
        </is>
      </c>
      <c r="E2492" s="11" t="inlineStr">
        <is>
          <t>{2}{B}</t>
        </is>
      </c>
      <c r="F2492" s="11" t="inlineStr">
        <is>
          <t>Preto</t>
        </is>
      </c>
      <c r="G2492" s="8" t="n">
        <v>0.03</v>
      </c>
      <c r="H2492" s="11" t="inlineStr">
        <is>
          <t>Ravnica Allegiance (RNA)</t>
        </is>
      </c>
      <c r="I2492" s="11" t="inlineStr">
        <is>
          <t>Não</t>
        </is>
      </c>
      <c r="J2492" s="11" t="n">
        <v>2019</v>
      </c>
      <c r="K2492" s="10" t="n">
        <v>46024</v>
      </c>
      <c r="L2492" s="11" t="n">
        <v>1</v>
      </c>
      <c r="M2492" s="8">
        <f>L2492*G2492</f>
        <v/>
      </c>
      <c r="N2492" s="11" t="inlineStr">
        <is>
          <t>Bulk Shopee</t>
        </is>
      </c>
      <c r="P2492" s="9" t="n"/>
    </row>
    <row r="2493">
      <c r="A2493" s="11" t="inlineStr">
        <is>
          <t>Marauder's Axe / Machado do Saqueador</t>
        </is>
      </c>
      <c r="B2493" s="11" t="inlineStr">
        <is>
          <t>Artifact — Equipment / Artefato — Equipamento</t>
        </is>
      </c>
      <c r="C2493" s="11" t="inlineStr">
        <is>
          <t>Common / Comum</t>
        </is>
      </c>
      <c r="D2493" s="11" t="inlineStr">
        <is>
          <t>Equipped creature gets +2/+0. Equip {2} ({2}: Attach to target creature you control. Equip only as a sorcery.) / A criatura equipada recebe +2/+0. Equipar {2} ({2}: Anexe este equipamento à criatura alvo que você controla. Equipe somente como um feitiço.)</t>
        </is>
      </c>
      <c r="E2493" s="11" t="inlineStr">
        <is>
          <t>{2}</t>
        </is>
      </c>
      <c r="F2493" s="11" t="inlineStr">
        <is>
          <t>Incolor</t>
        </is>
      </c>
      <c r="G2493" s="8" t="n">
        <v>0.03</v>
      </c>
      <c r="H2493" s="11" t="inlineStr">
        <is>
          <t>Core Set 2019 (M19)</t>
        </is>
      </c>
      <c r="I2493" s="11" t="inlineStr">
        <is>
          <t>Não</t>
        </is>
      </c>
      <c r="J2493" s="11" t="n">
        <v>2018</v>
      </c>
      <c r="L2493" s="11" t="n">
        <v>1</v>
      </c>
      <c r="M2493" s="8">
        <f>L2493*G2493</f>
        <v/>
      </c>
      <c r="N2493" s="11" t="inlineStr">
        <is>
          <t>Bulk Shopee</t>
        </is>
      </c>
      <c r="P2493" s="9" t="n"/>
    </row>
    <row r="2494">
      <c r="A2494" s="11" t="inlineStr">
        <is>
          <t>Pilfering Imp / Diabrete Afanador</t>
        </is>
      </c>
      <c r="B2494" s="11" t="inlineStr">
        <is>
          <t>Creature — Imp / Criatura — Diabrete</t>
        </is>
      </c>
      <c r="C2494" s="11" t="inlineStr">
        <is>
          <t>Uncommon / Incomum</t>
        </is>
      </c>
      <c r="D2494" s="11"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2494" s="11" t="inlineStr">
        <is>
          <t>{B}</t>
        </is>
      </c>
      <c r="F2494" s="11" t="inlineStr">
        <is>
          <t>Preto</t>
        </is>
      </c>
      <c r="G2494" s="8" t="n">
        <v>0.06</v>
      </c>
      <c r="H2494" s="11" t="inlineStr">
        <is>
          <t>Guilds of Ravnica (GRN)</t>
        </is>
      </c>
      <c r="I2494" s="11" t="inlineStr">
        <is>
          <t>Não</t>
        </is>
      </c>
      <c r="J2494" s="11" t="n">
        <v>2018</v>
      </c>
      <c r="K2494" s="10" t="n">
        <v>46023</v>
      </c>
      <c r="L2494" s="11" t="n">
        <v>1</v>
      </c>
      <c r="M2494" s="8">
        <f>L2494*G2494</f>
        <v/>
      </c>
      <c r="N2494" s="11" t="inlineStr">
        <is>
          <t>Bulk Shopee</t>
        </is>
      </c>
      <c r="P2494" s="9" t="n"/>
    </row>
    <row r="2495">
      <c r="A2495" s="11" t="inlineStr">
        <is>
          <t>Tolarian Sentinel / Sentinela Tolariana</t>
        </is>
      </c>
      <c r="B2495" s="11" t="inlineStr">
        <is>
          <t>Creature — Human Spellshaper / Criatura — Humano Magimodelador</t>
        </is>
      </c>
      <c r="C2495" s="11" t="inlineStr">
        <is>
          <t>Common / Comum</t>
        </is>
      </c>
      <c r="D2495" s="11" t="inlineStr">
        <is>
          <t>Flying {U}, {T}, Discard a card: Return target permanent you control to its owner's hand. / Voar {U}, {T}, descarte um card: Devolva a permanente alvo que você controla para a mão de seu dono.</t>
        </is>
      </c>
      <c r="E2495" s="11" t="inlineStr">
        <is>
          <t>{3}{U}</t>
        </is>
      </c>
      <c r="F2495" s="11" t="inlineStr">
        <is>
          <t>Azul</t>
        </is>
      </c>
      <c r="G2495" s="8" t="n">
        <v>0.1</v>
      </c>
      <c r="H2495" s="11" t="inlineStr">
        <is>
          <t>Time Spiral Remastered (TSR)</t>
        </is>
      </c>
      <c r="I2495" s="11" t="inlineStr">
        <is>
          <t>Não</t>
        </is>
      </c>
      <c r="J2495" s="11" t="n">
        <v>2021</v>
      </c>
      <c r="K2495" s="10" t="n">
        <v>46082</v>
      </c>
      <c r="L2495" s="11" t="n">
        <v>1</v>
      </c>
      <c r="M2495" s="8">
        <f>L2495*G2495</f>
        <v/>
      </c>
      <c r="N2495" s="11" t="inlineStr">
        <is>
          <t>Bulk Shopee</t>
        </is>
      </c>
      <c r="P2495" s="9" t="n"/>
    </row>
    <row r="2496">
      <c r="A2496" s="11" t="inlineStr">
        <is>
          <t>Rain of Rust / Chuva de Ferrugem</t>
        </is>
      </c>
      <c r="B2496" s="11" t="inlineStr">
        <is>
          <t>Instant / Mágica Instantânea</t>
        </is>
      </c>
      <c r="C2496" s="11" t="inlineStr">
        <is>
          <t>Common / Comum</t>
        </is>
      </c>
      <c r="D2496" s="11" t="inlineStr">
        <is>
          <t>Choose one — • Destroy target artifact. • Destroy target land. Entwine {3}{R} (Choose both if you pay the entwine cost.) / Escolha um Destrói o artefato alvo; ou destrói o terreno alvo. Entrelaçar {3}{R} (Escolha ambos se pagar o custo de entrelaçar.)</t>
        </is>
      </c>
      <c r="E2496" s="11" t="inlineStr">
        <is>
          <t>{3}{R}{R}</t>
        </is>
      </c>
      <c r="F2496" s="11" t="inlineStr">
        <is>
          <t>Vermelho</t>
        </is>
      </c>
      <c r="G2496" s="8" t="n">
        <v>0.04</v>
      </c>
      <c r="H2496" s="11" t="inlineStr">
        <is>
          <t>Fifth Dawn (5DN)</t>
        </is>
      </c>
      <c r="I2496" s="11" t="inlineStr">
        <is>
          <t>Não</t>
        </is>
      </c>
      <c r="J2496" s="11" t="n">
        <v>2004</v>
      </c>
      <c r="L2496" s="11" t="n">
        <v>1</v>
      </c>
      <c r="M2496" s="8">
        <f>L2496*G2496</f>
        <v/>
      </c>
      <c r="N2496" s="11" t="inlineStr">
        <is>
          <t>Bulk Shopee</t>
        </is>
      </c>
      <c r="P2496" s="9" t="n"/>
    </row>
    <row r="2497">
      <c r="A2497" s="11" t="inlineStr">
        <is>
          <t>Mardu Banner / Estandarte Mardu</t>
        </is>
      </c>
      <c r="B2497" s="11" t="inlineStr">
        <is>
          <t>Artifact / Artefato</t>
        </is>
      </c>
      <c r="C2497" s="11" t="inlineStr">
        <is>
          <t>Common / Comum</t>
        </is>
      </c>
      <c r="D2497" s="11" t="inlineStr">
        <is>
          <t>{T}: Add {R}, {W}, or {B}. {R}{W}{B}, {T}, Sacrifice this artifact: Draw a card. / {T}: Adicione {R}, {W} ou {B} à sua reserva de mana. {R}{W}{B}, {T}, Sacrifique Estandarte Mardu: Compre um card.</t>
        </is>
      </c>
      <c r="E2497" s="11" t="inlineStr">
        <is>
          <t>{3}</t>
        </is>
      </c>
      <c r="F2497" s="11" t="inlineStr">
        <is>
          <t>Preto, Vermelho, Branco</t>
        </is>
      </c>
      <c r="G2497" s="8" t="n">
        <v>0.08</v>
      </c>
      <c r="H2497" s="11" t="inlineStr">
        <is>
          <t>Khans of Tarkir (KTK)</t>
        </is>
      </c>
      <c r="I2497" s="11" t="inlineStr">
        <is>
          <t>Não</t>
        </is>
      </c>
      <c r="J2497" s="11" t="n">
        <v>2014</v>
      </c>
      <c r="L2497" s="11" t="n">
        <v>1</v>
      </c>
      <c r="M2497" s="8">
        <f>L2497*G2497</f>
        <v/>
      </c>
      <c r="N2497" s="11" t="inlineStr">
        <is>
          <t>Bulk Shopee</t>
        </is>
      </c>
      <c r="P2497" s="9" t="n"/>
    </row>
    <row r="2498">
      <c r="A2498" s="11" t="inlineStr">
        <is>
          <t>Rakshasa Gravecaller / Evocador de Túmulos Rakshasa</t>
        </is>
      </c>
      <c r="B2498" s="11" t="inlineStr">
        <is>
          <t>Creature — Demon / Criatura — Felino Demônio</t>
        </is>
      </c>
      <c r="C2498" s="11" t="inlineStr">
        <is>
          <t>Uncommon / Incomum</t>
        </is>
      </c>
      <c r="D2498" s="11"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2498" s="11" t="inlineStr">
        <is>
          <t>{4}{B}</t>
        </is>
      </c>
      <c r="F2498" s="11" t="inlineStr">
        <is>
          <t>Preto</t>
        </is>
      </c>
      <c r="G2498" s="8" t="n">
        <v>0.08</v>
      </c>
      <c r="H2498" s="11" t="inlineStr">
        <is>
          <t>Dragons of Tarkir (DTK)</t>
        </is>
      </c>
      <c r="I2498" s="11" t="inlineStr">
        <is>
          <t>Não</t>
        </is>
      </c>
      <c r="J2498" s="11" t="n">
        <v>2015</v>
      </c>
      <c r="K2498" s="10" t="n">
        <v>46176</v>
      </c>
      <c r="L2498" s="11" t="n">
        <v>1</v>
      </c>
      <c r="M2498" s="8">
        <f>L2498*G2498</f>
        <v/>
      </c>
      <c r="N2498" s="11" t="inlineStr">
        <is>
          <t>Bulk Shopee</t>
        </is>
      </c>
      <c r="P2498" s="9" t="n"/>
    </row>
    <row r="2499">
      <c r="A2499" s="11" t="inlineStr">
        <is>
          <t>Consecrate // Consume / Devotar // Devorar</t>
        </is>
      </c>
      <c r="B2499" s="11" t="inlineStr">
        <is>
          <t>Instant // Sorcery / Mágica Instantânea</t>
        </is>
      </c>
      <c r="C2499" s="11" t="inlineStr">
        <is>
          <t>Uncommon / Incomum</t>
        </is>
      </c>
      <c r="D2499" s="11" t="inlineStr">
        <is>
          <t>Consecrate: Exile target card from a graveyard. Draw a card. // Consume: Target player sacrifices a creature with the greatest power among creatures they control. You gain life equal to its power. / Exile o card alvo de um cemitério. Compre um card.</t>
        </is>
      </c>
      <c r="E2499" s="11" t="inlineStr">
        <is>
          <t>{1}{W/B} // {2}{W}{B}</t>
        </is>
      </c>
      <c r="F2499" s="11" t="inlineStr">
        <is>
          <t>Preto, Branco</t>
        </is>
      </c>
      <c r="G2499" s="8" t="n">
        <v>0.1</v>
      </c>
      <c r="H2499" s="11" t="inlineStr">
        <is>
          <t>Ravnica Allegiance (RNA)</t>
        </is>
      </c>
      <c r="I2499" s="11" t="inlineStr">
        <is>
          <t>Não</t>
        </is>
      </c>
      <c r="J2499" s="11" t="n">
        <v>2019</v>
      </c>
      <c r="L2499" s="11" t="n">
        <v>1</v>
      </c>
      <c r="M2499" s="8">
        <f>L2499*G2499</f>
        <v/>
      </c>
      <c r="N2499" s="11" t="inlineStr">
        <is>
          <t>Bulk Shopee</t>
        </is>
      </c>
      <c r="P2499" s="9" t="n"/>
    </row>
    <row r="2500">
      <c r="A2500" s="11" t="inlineStr">
        <is>
          <t>Magma Spray / Esguicho de Magma</t>
        </is>
      </c>
      <c r="B2500" s="11" t="inlineStr">
        <is>
          <t>Instant / Mágica Instantânea</t>
        </is>
      </c>
      <c r="C2500" s="11" t="inlineStr">
        <is>
          <t>Common / Comum</t>
        </is>
      </c>
      <c r="D2500" s="11" t="inlineStr">
        <is>
          <t>Magma Spray deals 2 damage to target creature. If that creature would die this turn, exile it instead. / Esguicho de Magma causa 2 pontos de dano à criatura alvo. Se aquela criatura for morrer neste turno, em vez disso, exile-a.</t>
        </is>
      </c>
      <c r="E2500" s="11" t="inlineStr">
        <is>
          <t>{R}</t>
        </is>
      </c>
      <c r="F2500" s="11" t="inlineStr">
        <is>
          <t>Vermelho</t>
        </is>
      </c>
      <c r="G2500" s="8" t="n">
        <v>0.06</v>
      </c>
      <c r="H2500" s="11" t="inlineStr">
        <is>
          <t>Amonkhet (AKH)</t>
        </is>
      </c>
      <c r="I2500" s="11" t="inlineStr">
        <is>
          <t>Não</t>
        </is>
      </c>
      <c r="J2500" s="11" t="n">
        <v>2017</v>
      </c>
      <c r="L2500" s="11" t="n">
        <v>1</v>
      </c>
      <c r="M2500" s="8">
        <f>L2500*G2500</f>
        <v/>
      </c>
      <c r="N2500" s="11" t="inlineStr">
        <is>
          <t>Bulk Shopee</t>
        </is>
      </c>
      <c r="P2500" s="9" t="n"/>
    </row>
    <row r="2501">
      <c r="A2501" s="11" t="inlineStr">
        <is>
          <t>Gremlin Infestation / Infestação de Gremlins</t>
        </is>
      </c>
      <c r="B2501" s="11" t="inlineStr">
        <is>
          <t>Enchantment — Aura / Encantamento — Aura</t>
        </is>
      </c>
      <c r="C2501" s="11" t="inlineStr">
        <is>
          <t>Uncommon / Incomum</t>
        </is>
      </c>
      <c r="D2501" s="11"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2501" s="11" t="inlineStr">
        <is>
          <t>{3}{R}</t>
        </is>
      </c>
      <c r="F2501" s="11" t="inlineStr">
        <is>
          <t>Vermelho</t>
        </is>
      </c>
      <c r="G2501" s="8" t="n">
        <v>0.03</v>
      </c>
      <c r="H2501" s="11" t="inlineStr">
        <is>
          <t>Aether Revolt (AER)</t>
        </is>
      </c>
      <c r="I2501" s="11" t="inlineStr">
        <is>
          <t>Não</t>
        </is>
      </c>
      <c r="J2501" s="11" t="n">
        <v>2017</v>
      </c>
      <c r="L2501" s="11" t="n">
        <v>1</v>
      </c>
      <c r="M2501" s="8">
        <f>L2501*G2501</f>
        <v/>
      </c>
      <c r="N2501" s="11" t="inlineStr">
        <is>
          <t>Bulk Shopee</t>
        </is>
      </c>
      <c r="P2501" s="9" t="n"/>
    </row>
    <row r="2502">
      <c r="A2502" s="11" t="inlineStr">
        <is>
          <t>Mogg Flunkies / Moggs Confusos</t>
        </is>
      </c>
      <c r="B2502" s="11" t="inlineStr">
        <is>
          <t>Creature — Goblin / Criatura — Goblin</t>
        </is>
      </c>
      <c r="C2502" s="11" t="inlineStr">
        <is>
          <t>Common / Comum</t>
        </is>
      </c>
      <c r="D2502" s="11" t="inlineStr">
        <is>
          <t>This creature can't attack or block alone. / Moggs Confusos não pode atacar nem bloquear sozinho.</t>
        </is>
      </c>
      <c r="E2502" s="11" t="inlineStr">
        <is>
          <t>{1}{R}</t>
        </is>
      </c>
      <c r="F2502" s="11" t="inlineStr">
        <is>
          <t>Vermelho</t>
        </is>
      </c>
      <c r="G2502" s="8" t="n">
        <v>0.06</v>
      </c>
      <c r="H2502" s="11" t="inlineStr">
        <is>
          <t>Masters 25 (A25)</t>
        </is>
      </c>
      <c r="I2502" s="11" t="inlineStr">
        <is>
          <t>Não</t>
        </is>
      </c>
      <c r="J2502" s="11" t="n">
        <v>2018</v>
      </c>
      <c r="K2502" s="10" t="n">
        <v>46084</v>
      </c>
      <c r="L2502" s="11" t="n">
        <v>1</v>
      </c>
      <c r="M2502" s="8">
        <f>L2502*G2502</f>
        <v/>
      </c>
      <c r="N2502" s="11" t="inlineStr">
        <is>
          <t>Bulk Shopee</t>
        </is>
      </c>
      <c r="P2502" s="9" t="n"/>
    </row>
    <row r="2503">
      <c r="A2503" s="11" t="inlineStr">
        <is>
          <t>Brand of Ill Omen / Estigma do Infortúnio</t>
        </is>
      </c>
      <c r="B2503" s="11" t="inlineStr">
        <is>
          <t>Enchantment — Aura</t>
        </is>
      </c>
      <c r="C2503" s="11" t="inlineStr">
        <is>
          <t>Rare / Rara</t>
        </is>
      </c>
      <c r="D2503" s="11" t="inlineStr">
        <is>
          <t>Enchant creature Cumulative upkeep {R} (At the beginning of your upkeep, put an age counter on this permanent, then sacrifice it unless you pay its upkeep cost for each age counter on it.) Enchanted creature's controller can't cast creature spells.</t>
        </is>
      </c>
      <c r="E2503" s="11" t="inlineStr">
        <is>
          <t>{3}{R}</t>
        </is>
      </c>
      <c r="F2503" s="11" t="inlineStr">
        <is>
          <t>Vermelho</t>
        </is>
      </c>
      <c r="G2503" s="8" t="n">
        <v>1.74</v>
      </c>
      <c r="H2503" s="11" t="inlineStr">
        <is>
          <t>Ice Age (ICE)</t>
        </is>
      </c>
      <c r="I2503" s="11" t="inlineStr">
        <is>
          <t>Não</t>
        </is>
      </c>
      <c r="J2503" s="11" t="n">
        <v>1995</v>
      </c>
      <c r="L2503" s="11" t="n">
        <v>1</v>
      </c>
      <c r="M2503" s="8">
        <f>L2503*G2503</f>
        <v/>
      </c>
      <c r="P2503" s="9" t="n"/>
    </row>
    <row r="2504">
      <c r="A2504" s="11" t="inlineStr">
        <is>
          <t>Aggression / Agressão</t>
        </is>
      </c>
      <c r="B2504" s="11" t="inlineStr">
        <is>
          <t>Enchantment — Aura</t>
        </is>
      </c>
      <c r="C2504" s="11" t="inlineStr">
        <is>
          <t>Uncommon / Incomum</t>
        </is>
      </c>
      <c r="D2504" s="11" t="inlineStr">
        <is>
          <t>Enchant non-Wall creature Enchanted creature has first strike and trample. At the beginning of the end step of enchanted creature's controller, destroy that creature if it didn't attack this turn.</t>
        </is>
      </c>
      <c r="E2504" s="11" t="inlineStr">
        <is>
          <t>{2}{R}</t>
        </is>
      </c>
      <c r="F2504" s="11" t="inlineStr">
        <is>
          <t>Vermelho</t>
        </is>
      </c>
      <c r="G2504" s="8" t="n">
        <v>0.14</v>
      </c>
      <c r="H2504" s="11" t="inlineStr">
        <is>
          <t>Ice Age (ICE)</t>
        </is>
      </c>
      <c r="I2504" s="11" t="inlineStr">
        <is>
          <t>Não</t>
        </is>
      </c>
      <c r="J2504" s="11" t="n">
        <v>1995</v>
      </c>
      <c r="L2504" s="11" t="n">
        <v>1</v>
      </c>
      <c r="M2504" s="8">
        <f>L2504*G2504</f>
        <v/>
      </c>
      <c r="P2504" s="9" t="n"/>
    </row>
    <row r="2505">
      <c r="A2505" s="11" t="inlineStr">
        <is>
          <t>Agility / Agilidade</t>
        </is>
      </c>
      <c r="B2505" s="11" t="inlineStr">
        <is>
          <t>Enchantment — Aura</t>
        </is>
      </c>
      <c r="C2505" s="11" t="inlineStr">
        <is>
          <t>Common / Comum</t>
        </is>
      </c>
      <c r="D2505" s="11" t="inlineStr">
        <is>
          <t>Enchant creature Enchanted creature gets +1/+1 and has flanking. (Whenever a creature without flanking blocks this creature, the blocking creature gets -1/-1 until end of turn.)</t>
        </is>
      </c>
      <c r="E2505" s="11" t="inlineStr">
        <is>
          <t>{1}{R}</t>
        </is>
      </c>
      <c r="F2505" s="11" t="inlineStr">
        <is>
          <t>Vermelho</t>
        </is>
      </c>
      <c r="G2505" s="8" t="n">
        <v>0.05</v>
      </c>
      <c r="H2505" s="11" t="inlineStr">
        <is>
          <t>Mirage (MIR)</t>
        </is>
      </c>
      <c r="I2505" s="11" t="inlineStr">
        <is>
          <t>Não</t>
        </is>
      </c>
      <c r="J2505" s="11" t="n">
        <v>1996</v>
      </c>
      <c r="L2505" s="11" t="n">
        <v>1</v>
      </c>
      <c r="M2505" s="8">
        <f>L2505*G2505</f>
        <v/>
      </c>
      <c r="P2505" s="9" t="n"/>
    </row>
    <row r="2506">
      <c r="A2506" s="11" t="inlineStr">
        <is>
          <t>Imposing Visage / Aparência Imponente</t>
        </is>
      </c>
      <c r="B2506" s="11" t="inlineStr">
        <is>
          <t>Enchantment — Aura</t>
        </is>
      </c>
      <c r="C2506" s="11" t="inlineStr">
        <is>
          <t>Common / Comum</t>
        </is>
      </c>
      <c r="D2506" s="11" t="inlineStr">
        <is>
          <t>Enchant creature Enchanted creature has menace. (It can't be blocked except by two or more creatures.)</t>
        </is>
      </c>
      <c r="E2506" s="11" t="inlineStr">
        <is>
          <t>{R}</t>
        </is>
      </c>
      <c r="F2506" s="11" t="inlineStr">
        <is>
          <t>Vermelho</t>
        </is>
      </c>
      <c r="G2506" s="8" t="n">
        <v>0.05</v>
      </c>
      <c r="H2506" s="11" t="inlineStr">
        <is>
          <t>Ice Age (ICE)</t>
        </is>
      </c>
      <c r="I2506" s="11" t="inlineStr">
        <is>
          <t>Não</t>
        </is>
      </c>
      <c r="J2506" s="11" t="n">
        <v>1995</v>
      </c>
      <c r="L2506" s="11" t="n">
        <v>1</v>
      </c>
      <c r="M2506" s="8">
        <f>L2506*G2506</f>
        <v/>
      </c>
      <c r="P2506" s="9" t="n"/>
    </row>
    <row r="2507">
      <c r="A2507" s="11" t="inlineStr">
        <is>
          <t>Errantry / Peregrinação</t>
        </is>
      </c>
      <c r="B2507" s="11" t="inlineStr">
        <is>
          <t>Enchantment — Aura</t>
        </is>
      </c>
      <c r="C2507" s="11" t="inlineStr">
        <is>
          <t>Common / Comum</t>
        </is>
      </c>
      <c r="D2507" s="11" t="inlineStr">
        <is>
          <t>Enchant creature Enchanted creature gets +3/+0 and can only attack alone.</t>
        </is>
      </c>
      <c r="E2507" s="11" t="inlineStr">
        <is>
          <t>{1}{R}</t>
        </is>
      </c>
      <c r="F2507" s="11" t="inlineStr">
        <is>
          <t>Vermelho</t>
        </is>
      </c>
      <c r="G2507" s="8" t="n">
        <v>0.08</v>
      </c>
      <c r="H2507" s="11" t="inlineStr">
        <is>
          <t>Ice Age (ICE)</t>
        </is>
      </c>
      <c r="I2507" s="11" t="inlineStr">
        <is>
          <t>Não</t>
        </is>
      </c>
      <c r="J2507" s="11" t="n">
        <v>1995</v>
      </c>
      <c r="L2507" s="11" t="n">
        <v>3</v>
      </c>
      <c r="M2507" s="8">
        <f>L2507*G2507</f>
        <v/>
      </c>
      <c r="P2507" s="9" t="n"/>
    </row>
    <row r="2508">
      <c r="A2508" s="11" t="inlineStr">
        <is>
          <t>Magnetic Mountain / Montanha Magnética</t>
        </is>
      </c>
      <c r="B2508" s="11" t="inlineStr">
        <is>
          <t>Enchantment</t>
        </is>
      </c>
      <c r="C2508" s="11" t="inlineStr">
        <is>
          <t>Uncommon / Incomum</t>
        </is>
      </c>
      <c r="D2508" s="11"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508" s="11" t="inlineStr">
        <is>
          <t>{1}{R}{R}</t>
        </is>
      </c>
      <c r="F2508" s="11" t="inlineStr">
        <is>
          <t>Vermelho</t>
        </is>
      </c>
      <c r="G2508" s="8" t="n">
        <v>1.85</v>
      </c>
      <c r="H2508" s="11" t="inlineStr">
        <is>
          <t>Quarta Edição (BB)</t>
        </is>
      </c>
      <c r="I2508" s="11" t="inlineStr">
        <is>
          <t>Não</t>
        </is>
      </c>
      <c r="J2508" s="11" t="n">
        <v>1995</v>
      </c>
      <c r="L2508" s="11" t="n">
        <v>1</v>
      </c>
      <c r="M2508" s="8">
        <f>L2508*G2508</f>
        <v/>
      </c>
      <c r="P2508" s="9" t="n"/>
    </row>
    <row r="2509">
      <c r="A2509" s="11" t="inlineStr">
        <is>
          <t>Magnetic Mountain / Montanha Magnética</t>
        </is>
      </c>
      <c r="B2509" s="11" t="inlineStr">
        <is>
          <t>Enchantment</t>
        </is>
      </c>
      <c r="C2509" s="11" t="inlineStr">
        <is>
          <t>Uncommon / Incomum</t>
        </is>
      </c>
      <c r="D2509" s="11"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2509" s="11" t="inlineStr">
        <is>
          <t>{1}{R}{R}</t>
        </is>
      </c>
      <c r="F2509" s="11" t="inlineStr">
        <is>
          <t>Vermelho</t>
        </is>
      </c>
      <c r="G2509" s="8" t="n">
        <v>0.7</v>
      </c>
      <c r="H2509" s="11" t="inlineStr">
        <is>
          <t>Quarta Edição</t>
        </is>
      </c>
      <c r="I2509" s="11" t="inlineStr">
        <is>
          <t>Não</t>
        </is>
      </c>
      <c r="J2509" s="11" t="n">
        <v>1995</v>
      </c>
      <c r="L2509" s="11" t="n">
        <v>1</v>
      </c>
      <c r="M2509" s="8">
        <f>L2509*G2509</f>
        <v/>
      </c>
      <c r="P2509" s="9" t="n"/>
    </row>
    <row r="2510">
      <c r="A2510" s="11" t="inlineStr">
        <is>
          <t>Eternal Warrior / Guerreiro Perpétuo</t>
        </is>
      </c>
      <c r="B2510" s="11" t="inlineStr">
        <is>
          <t>Enchantment — Aura</t>
        </is>
      </c>
      <c r="C2510" s="11" t="inlineStr">
        <is>
          <t>Common / Comum</t>
        </is>
      </c>
      <c r="D2510" s="11" t="inlineStr">
        <is>
          <t>Enchant creature Enchanted creature has vigilance.</t>
        </is>
      </c>
      <c r="E2510" s="11" t="inlineStr">
        <is>
          <t>{R}</t>
        </is>
      </c>
      <c r="F2510" s="11" t="inlineStr">
        <is>
          <t>Vermelho</t>
        </is>
      </c>
      <c r="G2510" s="8" t="n">
        <v>0.17</v>
      </c>
      <c r="H2510" s="11" t="inlineStr">
        <is>
          <t>Quarta Edição (BB)</t>
        </is>
      </c>
      <c r="I2510" s="11" t="inlineStr">
        <is>
          <t>Não</t>
        </is>
      </c>
      <c r="J2510" s="11" t="n">
        <v>1995</v>
      </c>
      <c r="L2510" s="11" t="n">
        <v>4</v>
      </c>
      <c r="M2510" s="8">
        <f>L2510*G2510</f>
        <v/>
      </c>
      <c r="P2510" s="9" t="n"/>
    </row>
    <row r="2511">
      <c r="A2511" s="11" t="inlineStr">
        <is>
          <t>Eternal Warrior / Guerreiro Perpétuo</t>
        </is>
      </c>
      <c r="B2511" s="11" t="inlineStr">
        <is>
          <t>Enchantment — Aura</t>
        </is>
      </c>
      <c r="C2511" s="11" t="inlineStr">
        <is>
          <t>Common / Comum</t>
        </is>
      </c>
      <c r="D2511" s="11" t="inlineStr">
        <is>
          <t>Enchant creature Enchanted creature has vigilance.</t>
        </is>
      </c>
      <c r="E2511" s="11" t="inlineStr">
        <is>
          <t>{R}</t>
        </is>
      </c>
      <c r="F2511" s="11" t="inlineStr">
        <is>
          <t>Vermelho</t>
        </is>
      </c>
      <c r="G2511" s="8" t="n">
        <v>0.05</v>
      </c>
      <c r="H2511" s="11" t="inlineStr">
        <is>
          <t>Quarta Edição</t>
        </is>
      </c>
      <c r="I2511" s="11" t="inlineStr">
        <is>
          <t>Não</t>
        </is>
      </c>
      <c r="J2511" s="11" t="n">
        <v>1995</v>
      </c>
      <c r="L2511" s="11" t="n">
        <v>2</v>
      </c>
      <c r="M2511" s="8">
        <f>L2511*G2511</f>
        <v/>
      </c>
      <c r="P2511" s="9" t="n"/>
    </row>
    <row r="2512">
      <c r="A2512" s="11" t="inlineStr">
        <is>
          <t>Stonehands / Mãos de Pedra</t>
        </is>
      </c>
      <c r="B2512" s="11" t="inlineStr">
        <is>
          <t>Enchantment — Aura</t>
        </is>
      </c>
      <c r="C2512" s="11" t="inlineStr">
        <is>
          <t>Common / Comum</t>
        </is>
      </c>
      <c r="D2512" s="11" t="inlineStr">
        <is>
          <t>Enchant creature Enchanted creature gets +0/+2. {R}: Enchanted creature gets +1/+0 until end of turn.</t>
        </is>
      </c>
      <c r="E2512" s="11" t="inlineStr">
        <is>
          <t>{2}{R}</t>
        </is>
      </c>
      <c r="F2512" s="11" t="inlineStr">
        <is>
          <t>Vermelho</t>
        </is>
      </c>
      <c r="G2512" s="8" t="n">
        <v>0.05</v>
      </c>
      <c r="H2512" s="11" t="inlineStr">
        <is>
          <t>Ice Age (ICE)</t>
        </is>
      </c>
      <c r="I2512" s="11" t="inlineStr">
        <is>
          <t>Não</t>
        </is>
      </c>
      <c r="J2512" s="11" t="n">
        <v>1995</v>
      </c>
      <c r="L2512" s="11" t="n">
        <v>2</v>
      </c>
      <c r="M2512" s="8">
        <f>L2512*G2512</f>
        <v/>
      </c>
      <c r="P2512" s="9" t="n"/>
    </row>
    <row r="2513">
      <c r="A2513" s="11" t="inlineStr">
        <is>
          <t>Firebreathing / Hálito de Fogo</t>
        </is>
      </c>
      <c r="B2513" s="11" t="inlineStr">
        <is>
          <t>Enchantment — Aura / Encantamento — Aura</t>
        </is>
      </c>
      <c r="C2513" s="11" t="inlineStr">
        <is>
          <t>Common / Comum</t>
        </is>
      </c>
      <c r="D2513" s="11" t="inlineStr">
        <is>
          <t>Enchant creature {R}: Enchanted creature gets +1/+0 until end of turn. / Encantar criatura {R}: A criatura encantada recebe +1/+0 até o final do turno.</t>
        </is>
      </c>
      <c r="E2513" s="11" t="inlineStr">
        <is>
          <t>{R}</t>
        </is>
      </c>
      <c r="F2513" s="11" t="inlineStr">
        <is>
          <t>Vermelho</t>
        </is>
      </c>
      <c r="G2513" s="8" t="n">
        <v>0.05</v>
      </c>
      <c r="H2513" s="11" t="inlineStr">
        <is>
          <t>Quarta Edição</t>
        </is>
      </c>
      <c r="I2513" s="11" t="inlineStr">
        <is>
          <t>Não</t>
        </is>
      </c>
      <c r="J2513" s="11" t="n">
        <v>1995</v>
      </c>
      <c r="L2513" s="11" t="n">
        <v>6</v>
      </c>
      <c r="M2513" s="8">
        <f>L2513*G2513</f>
        <v/>
      </c>
      <c r="P2513" s="9" t="n"/>
    </row>
    <row r="2514">
      <c r="A2514" s="11" t="inlineStr">
        <is>
          <t>Firebreathing / Hálito de Fogo</t>
        </is>
      </c>
      <c r="B2514" s="11" t="inlineStr">
        <is>
          <t>Enchantment — Aura / Encantamento — Aura</t>
        </is>
      </c>
      <c r="C2514" s="11" t="inlineStr">
        <is>
          <t>Common / Comum</t>
        </is>
      </c>
      <c r="D2514" s="11" t="inlineStr">
        <is>
          <t>Enchant creature {R}: Enchanted creature gets +1/+0 until end of turn. / Encantar criatura {R}: A criatura encantada recebe +1/+0 até o final do turno.</t>
        </is>
      </c>
      <c r="E2514" s="11" t="inlineStr">
        <is>
          <t>{R}</t>
        </is>
      </c>
      <c r="F2514" s="11" t="inlineStr">
        <is>
          <t>Vermelho</t>
        </is>
      </c>
      <c r="G2514" s="8" t="n">
        <v>0.17</v>
      </c>
      <c r="H2514" s="11" t="inlineStr">
        <is>
          <t>Quarta Edição (BB)</t>
        </is>
      </c>
      <c r="I2514" s="11" t="inlineStr">
        <is>
          <t>Não</t>
        </is>
      </c>
      <c r="J2514" s="11" t="n">
        <v>1995</v>
      </c>
      <c r="L2514" s="11" t="n">
        <v>1</v>
      </c>
      <c r="M2514" s="8">
        <f>L2514*G2514</f>
        <v/>
      </c>
      <c r="P2514" s="9" t="n"/>
    </row>
    <row r="2515">
      <c r="A2515" s="11" t="inlineStr">
        <is>
          <t>Burrowing / Escavar</t>
        </is>
      </c>
      <c r="B2515" s="11" t="inlineStr">
        <is>
          <t>Enchantment — Aura</t>
        </is>
      </c>
      <c r="C2515" s="11" t="inlineStr">
        <is>
          <t>Uncommon / Incomum</t>
        </is>
      </c>
      <c r="D2515" s="11" t="inlineStr">
        <is>
          <t>Enchant creature Enchanted creature has mountainwalk. (It can't be blocked as long as defending player controls a Mountain.)</t>
        </is>
      </c>
      <c r="E2515" s="11" t="inlineStr">
        <is>
          <t>{R}</t>
        </is>
      </c>
      <c r="F2515" s="11" t="inlineStr">
        <is>
          <t>Vermelho</t>
        </is>
      </c>
      <c r="G2515" s="8" t="n">
        <v>0.43</v>
      </c>
      <c r="H2515" s="11" t="inlineStr">
        <is>
          <t>Quarta Edição (BB)</t>
        </is>
      </c>
      <c r="I2515" s="11" t="inlineStr">
        <is>
          <t>Não</t>
        </is>
      </c>
      <c r="J2515" s="11" t="n">
        <v>1995</v>
      </c>
      <c r="L2515" s="11" t="n">
        <v>1</v>
      </c>
      <c r="M2515" s="8">
        <f>L2515*G2515</f>
        <v/>
      </c>
      <c r="P2515" s="9" t="n"/>
    </row>
    <row r="2516">
      <c r="A2516" s="11" t="inlineStr">
        <is>
          <t>Burrowing / Escavar</t>
        </is>
      </c>
      <c r="B2516" s="11" t="inlineStr">
        <is>
          <t>Enchantment — Aura</t>
        </is>
      </c>
      <c r="C2516" s="11" t="inlineStr">
        <is>
          <t>Uncommon / Incomum</t>
        </is>
      </c>
      <c r="D2516" s="11" t="inlineStr">
        <is>
          <t>Enchant creature Enchanted creature has mountainwalk. (It can't be blocked as long as defending player controls a Mountain.)</t>
        </is>
      </c>
      <c r="E2516" s="11" t="inlineStr">
        <is>
          <t>{R}</t>
        </is>
      </c>
      <c r="F2516" s="11" t="inlineStr">
        <is>
          <t>Vermelho</t>
        </is>
      </c>
      <c r="G2516" s="8" t="n">
        <v>0.18</v>
      </c>
      <c r="H2516" s="11" t="inlineStr">
        <is>
          <t>Quarta Edição</t>
        </is>
      </c>
      <c r="I2516" s="11" t="inlineStr">
        <is>
          <t>Não</t>
        </is>
      </c>
      <c r="J2516" s="11" t="n">
        <v>1995</v>
      </c>
      <c r="L2516" s="11" t="n">
        <v>1</v>
      </c>
      <c r="M2516" s="8">
        <f>L2516*G2516</f>
        <v/>
      </c>
      <c r="P2516" s="9" t="n"/>
    </row>
    <row r="2517">
      <c r="A2517" s="11" t="inlineStr">
        <is>
          <t>Onslaught / Investida Violenta</t>
        </is>
      </c>
      <c r="B2517" s="11" t="inlineStr">
        <is>
          <t>Enchantment</t>
        </is>
      </c>
      <c r="C2517" s="11" t="inlineStr">
        <is>
          <t>Common / Comum</t>
        </is>
      </c>
      <c r="D2517" s="11" t="inlineStr">
        <is>
          <t>Whenever you cast a creature spell, tap target creature.</t>
        </is>
      </c>
      <c r="E2517" s="11" t="inlineStr">
        <is>
          <t>{R}</t>
        </is>
      </c>
      <c r="F2517" s="11" t="inlineStr">
        <is>
          <t>Vermelho</t>
        </is>
      </c>
      <c r="G2517" s="8" t="n">
        <v>0.05</v>
      </c>
      <c r="H2517" s="11" t="inlineStr">
        <is>
          <t>Exodus (EXO)</t>
        </is>
      </c>
      <c r="I2517" s="11" t="inlineStr">
        <is>
          <t>Não</t>
        </is>
      </c>
      <c r="J2517" s="11" t="n">
        <v>1998</v>
      </c>
      <c r="L2517" s="11" t="n">
        <v>2</v>
      </c>
      <c r="M2517" s="8">
        <f>L2517*G2517</f>
        <v/>
      </c>
      <c r="P2517" s="9" t="n"/>
    </row>
    <row r="2518">
      <c r="A2518" s="11" t="inlineStr">
        <is>
          <t>Curse of Marit Lage / Maldição de Marit Lage</t>
        </is>
      </c>
      <c r="B2518" s="11" t="inlineStr">
        <is>
          <t>Enchantment</t>
        </is>
      </c>
      <c r="C2518" s="11" t="inlineStr">
        <is>
          <t>Rare / Rara</t>
        </is>
      </c>
      <c r="D2518" s="11" t="inlineStr">
        <is>
          <t>When this enchantment enters, tap all Islands. Islands don't untap during their controllers' untap steps.</t>
        </is>
      </c>
      <c r="E2518" s="11" t="inlineStr">
        <is>
          <t>{3}{R}{R}</t>
        </is>
      </c>
      <c r="F2518" s="11" t="inlineStr">
        <is>
          <t>Vermelho</t>
        </is>
      </c>
      <c r="G2518" s="8" t="n">
        <v>0.95</v>
      </c>
      <c r="H2518" s="11" t="inlineStr">
        <is>
          <t>Ice Age (ICE)</t>
        </is>
      </c>
      <c r="I2518" s="11" t="inlineStr">
        <is>
          <t>Não</t>
        </is>
      </c>
      <c r="J2518" s="11" t="n">
        <v>1995</v>
      </c>
      <c r="L2518" s="11" t="n">
        <v>2</v>
      </c>
      <c r="M2518" s="8">
        <f>L2518*G2518</f>
        <v/>
      </c>
      <c r="P2518" s="9" t="n"/>
    </row>
    <row r="2519">
      <c r="A2519" s="11" t="inlineStr">
        <is>
          <t>Giant Strength / Força do Gigante</t>
        </is>
      </c>
      <c r="B2519" s="11" t="inlineStr">
        <is>
          <t>Enchantment — Aura</t>
        </is>
      </c>
      <c r="C2519" s="11" t="inlineStr">
        <is>
          <t>Common / Comum</t>
        </is>
      </c>
      <c r="D2519" s="11" t="inlineStr">
        <is>
          <t>Enchant creature Enchanted creature gets +2/+2.</t>
        </is>
      </c>
      <c r="E2519" s="11" t="inlineStr">
        <is>
          <t>{R}{R}</t>
        </is>
      </c>
      <c r="F2519" s="11" t="inlineStr">
        <is>
          <t>Vermelho</t>
        </is>
      </c>
      <c r="G2519" s="8" t="n">
        <v>0.09</v>
      </c>
      <c r="H2519" s="11" t="inlineStr">
        <is>
          <t>Quarta Edição (BB)</t>
        </is>
      </c>
      <c r="I2519" s="11" t="inlineStr">
        <is>
          <t>Não</t>
        </is>
      </c>
      <c r="J2519" s="11" t="n">
        <v>1995</v>
      </c>
      <c r="L2519" s="11" t="n">
        <v>2</v>
      </c>
      <c r="M2519" s="8">
        <f>L2519*G2519</f>
        <v/>
      </c>
      <c r="P2519" s="9" t="n"/>
    </row>
    <row r="2520">
      <c r="A2520" s="11" t="inlineStr">
        <is>
          <t>Giant Strength / Força do Gigante</t>
        </is>
      </c>
      <c r="B2520" s="11" t="inlineStr">
        <is>
          <t>Enchantment — Aura</t>
        </is>
      </c>
      <c r="C2520" s="11" t="inlineStr">
        <is>
          <t>Common / Comum</t>
        </is>
      </c>
      <c r="D2520" s="11" t="inlineStr">
        <is>
          <t>Enchant creature Enchanted creature gets +2/+2.</t>
        </is>
      </c>
      <c r="E2520" s="11" t="inlineStr">
        <is>
          <t>{R}{R}</t>
        </is>
      </c>
      <c r="F2520" s="11" t="inlineStr">
        <is>
          <t>Vermelho</t>
        </is>
      </c>
      <c r="G2520" s="8" t="n">
        <v>0.08</v>
      </c>
      <c r="H2520" s="11" t="inlineStr">
        <is>
          <t>Quarta Edição</t>
        </is>
      </c>
      <c r="I2520" s="11" t="inlineStr">
        <is>
          <t>Não</t>
        </is>
      </c>
      <c r="J2520" s="11" t="n">
        <v>1995</v>
      </c>
      <c r="L2520" s="11" t="n">
        <v>4</v>
      </c>
      <c r="M2520" s="8">
        <f>L2520*G2520</f>
        <v/>
      </c>
      <c r="P2520" s="9" t="n"/>
    </row>
    <row r="2521">
      <c r="A2521" s="11" t="inlineStr">
        <is>
          <t>Flashfires / Tormenta Ígnea</t>
        </is>
      </c>
      <c r="B2521" s="11" t="inlineStr">
        <is>
          <t>Sorcery / Feitiço</t>
        </is>
      </c>
      <c r="C2521" s="11" t="inlineStr">
        <is>
          <t>Uncommon / Incomum</t>
        </is>
      </c>
      <c r="D2521" s="11" t="inlineStr">
        <is>
          <t>Destroy all Plains. / Destrói todas as Planícies.</t>
        </is>
      </c>
      <c r="E2521" s="11" t="inlineStr">
        <is>
          <t>{3}{R}</t>
        </is>
      </c>
      <c r="F2521" s="11" t="inlineStr">
        <is>
          <t>Vermelho</t>
        </is>
      </c>
      <c r="G2521" s="8" t="n">
        <v>0.75</v>
      </c>
      <c r="H2521" s="11" t="inlineStr">
        <is>
          <t>Quarta Edição (BB)</t>
        </is>
      </c>
      <c r="I2521" s="11" t="inlineStr">
        <is>
          <t>Não</t>
        </is>
      </c>
      <c r="J2521" s="11" t="n">
        <v>1995</v>
      </c>
      <c r="L2521" s="11" t="n">
        <v>1</v>
      </c>
      <c r="M2521" s="8">
        <f>L2521*G2521</f>
        <v/>
      </c>
      <c r="P2521" s="9" t="n"/>
    </row>
    <row r="2522">
      <c r="A2522" s="11" t="inlineStr">
        <is>
          <t>Flashfires / Tormenta Ígnea</t>
        </is>
      </c>
      <c r="B2522" s="11" t="inlineStr">
        <is>
          <t>Sorcery / Feitiço</t>
        </is>
      </c>
      <c r="C2522" s="11" t="inlineStr">
        <is>
          <t>Uncommon / Incomum</t>
        </is>
      </c>
      <c r="D2522" s="11" t="inlineStr">
        <is>
          <t>Destroy all Plains. / Destrói todas as Planícies.</t>
        </is>
      </c>
      <c r="E2522" s="11" t="inlineStr">
        <is>
          <t>{3}{R}</t>
        </is>
      </c>
      <c r="F2522" s="11" t="inlineStr">
        <is>
          <t>Vermelho</t>
        </is>
      </c>
      <c r="G2522" s="8" t="n">
        <v>0.19</v>
      </c>
      <c r="H2522" s="11" t="inlineStr">
        <is>
          <t>Quarta Edição</t>
        </is>
      </c>
      <c r="I2522" s="11" t="inlineStr">
        <is>
          <t>Não</t>
        </is>
      </c>
      <c r="J2522" s="11" t="n">
        <v>1995</v>
      </c>
      <c r="L2522" s="11" t="n">
        <v>1</v>
      </c>
      <c r="M2522" s="8">
        <f>L2522*G2522</f>
        <v/>
      </c>
      <c r="P2522" s="9" t="n"/>
    </row>
    <row r="2523">
      <c r="A2523" s="11" t="inlineStr">
        <is>
          <t>Disintegrate / Desintegrar</t>
        </is>
      </c>
      <c r="B2523" s="11" t="inlineStr">
        <is>
          <t>Sorcery / Feitiço</t>
        </is>
      </c>
      <c r="C2523" s="11" t="inlineStr">
        <is>
          <t>Common / Comum</t>
        </is>
      </c>
      <c r="D2523" s="11"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2523" s="11" t="inlineStr">
        <is>
          <t>{X}{R}</t>
        </is>
      </c>
      <c r="F2523" s="11" t="inlineStr">
        <is>
          <t>Vermelho</t>
        </is>
      </c>
      <c r="G2523" s="8" t="n">
        <v>0.23</v>
      </c>
      <c r="H2523" s="11" t="inlineStr">
        <is>
          <t>Quarta Edição (BB)</t>
        </is>
      </c>
      <c r="I2523" s="11" t="inlineStr">
        <is>
          <t>Não</t>
        </is>
      </c>
      <c r="J2523" s="11" t="n">
        <v>1995</v>
      </c>
      <c r="L2523" s="11" t="n">
        <v>1</v>
      </c>
      <c r="M2523" s="8">
        <f>L2523*G2523</f>
        <v/>
      </c>
      <c r="P2523" s="9" t="n"/>
    </row>
    <row r="2524">
      <c r="A2524" s="11" t="inlineStr">
        <is>
          <t>Disintegrate / Desintegrar</t>
        </is>
      </c>
      <c r="B2524" s="11" t="inlineStr">
        <is>
          <t>Sorcery / Feitiço</t>
        </is>
      </c>
      <c r="C2524" s="11" t="inlineStr">
        <is>
          <t>Common / Comum</t>
        </is>
      </c>
      <c r="D2524" s="11"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2524" s="11" t="inlineStr">
        <is>
          <t>{X}{R}</t>
        </is>
      </c>
      <c r="F2524" s="11" t="inlineStr">
        <is>
          <t>Vermelho</t>
        </is>
      </c>
      <c r="G2524" s="8" t="n">
        <v>0.06</v>
      </c>
      <c r="H2524" s="11" t="inlineStr">
        <is>
          <t>Quarta Edição</t>
        </is>
      </c>
      <c r="I2524" s="11" t="inlineStr">
        <is>
          <t>Não</t>
        </is>
      </c>
      <c r="J2524" s="11" t="n">
        <v>1995</v>
      </c>
      <c r="L2524" s="11" t="n">
        <v>5</v>
      </c>
      <c r="M2524" s="8">
        <f>L2524*G2524</f>
        <v/>
      </c>
      <c r="P2524" s="9" t="n"/>
    </row>
    <row r="2525">
      <c r="A2525" s="11" t="inlineStr">
        <is>
          <t>Lava Axe / Machado de Lava</t>
        </is>
      </c>
      <c r="B2525" s="11" t="inlineStr">
        <is>
          <t>Sorcery / Feitiço</t>
        </is>
      </c>
      <c r="C2525" s="11" t="inlineStr">
        <is>
          <t>Common / Comum</t>
        </is>
      </c>
      <c r="D2525" s="11" t="inlineStr">
        <is>
          <t>Lava Axe deals 5 damage to target player or planeswalker. / Machado de Lava causa 5 pontos de dano ao jogador ou planeswalker alvo.</t>
        </is>
      </c>
      <c r="E2525" s="11" t="inlineStr">
        <is>
          <t>{4}{R}</t>
        </is>
      </c>
      <c r="F2525" s="11" t="inlineStr">
        <is>
          <t>Vermelho</t>
        </is>
      </c>
      <c r="G2525" s="8" t="n">
        <v>0.26</v>
      </c>
      <c r="H2525" s="11" t="inlineStr">
        <is>
          <t>Portal</t>
        </is>
      </c>
      <c r="I2525" s="11" t="inlineStr">
        <is>
          <t>Não</t>
        </is>
      </c>
      <c r="J2525" s="11" t="n">
        <v>1997</v>
      </c>
      <c r="L2525" s="11" t="n">
        <v>1</v>
      </c>
      <c r="M2525" s="8">
        <f>L2525*G2525</f>
        <v/>
      </c>
      <c r="P2525" s="9" t="n"/>
    </row>
    <row r="2526">
      <c r="A2526" s="11" t="inlineStr">
        <is>
          <t>Pyrotechnics / Pirotécnica</t>
        </is>
      </c>
      <c r="B2526" s="11" t="inlineStr">
        <is>
          <t>Sorcery / Feitiço</t>
        </is>
      </c>
      <c r="C2526" s="11" t="inlineStr">
        <is>
          <t>Common / Comum</t>
        </is>
      </c>
      <c r="D2526" s="11" t="inlineStr">
        <is>
          <t>Pyrotechnics deals 4 damage divided as you choose among any number of targets. / Pirotécnica causa 4 pontos de dano, distribuídos a sua escolha entre um número qualquer de criaturas e/ou jogadores alvo.</t>
        </is>
      </c>
      <c r="E2526" s="11" t="inlineStr">
        <is>
          <t>{4}{R}</t>
        </is>
      </c>
      <c r="F2526" s="11" t="inlineStr">
        <is>
          <t>Vermelho</t>
        </is>
      </c>
      <c r="G2526" s="8" t="n">
        <v>0.1</v>
      </c>
      <c r="H2526" s="11" t="inlineStr">
        <is>
          <t>Quarta Edição</t>
        </is>
      </c>
      <c r="I2526" s="11" t="inlineStr">
        <is>
          <t>Não</t>
        </is>
      </c>
      <c r="J2526" s="11" t="n">
        <v>1995</v>
      </c>
      <c r="K2526" s="11" t="n">
        <v>0.1</v>
      </c>
      <c r="L2526" s="11" t="n">
        <v>1</v>
      </c>
      <c r="M2526" s="8">
        <f>L2526*G2526</f>
        <v/>
      </c>
      <c r="P2526" s="9" t="n"/>
    </row>
    <row r="2527">
      <c r="A2527" s="11" t="inlineStr">
        <is>
          <t>Flashfires / Tormenta Ígnea</t>
        </is>
      </c>
      <c r="B2527" s="11" t="inlineStr">
        <is>
          <t>Sorcery / Feitiço</t>
        </is>
      </c>
      <c r="C2527" s="11" t="inlineStr">
        <is>
          <t>Uncommon / Incomum</t>
        </is>
      </c>
      <c r="D2527" s="11" t="inlineStr">
        <is>
          <t>Destroy all Plains. / Destrói todas as Planícies.</t>
        </is>
      </c>
      <c r="E2527" s="11" t="inlineStr">
        <is>
          <t>{3}{R}</t>
        </is>
      </c>
      <c r="F2527" s="11" t="inlineStr">
        <is>
          <t>Vermelho</t>
        </is>
      </c>
      <c r="G2527" s="8" t="n">
        <v>0.41</v>
      </c>
      <c r="H2527" s="11" t="inlineStr">
        <is>
          <t>Oitava Edição</t>
        </is>
      </c>
      <c r="I2527" s="11" t="inlineStr">
        <is>
          <t>Não</t>
        </is>
      </c>
      <c r="J2527" s="11" t="n">
        <v>2003</v>
      </c>
      <c r="L2527" s="11" t="n">
        <v>1</v>
      </c>
      <c r="M2527" s="8">
        <f>L2527*G2527</f>
        <v/>
      </c>
      <c r="P2527" s="9" t="n"/>
    </row>
    <row r="2528">
      <c r="A2528" s="11" t="inlineStr">
        <is>
          <t>Builder's Bane / Maldição do Construtor</t>
        </is>
      </c>
      <c r="B2528" s="11" t="inlineStr">
        <is>
          <t>Sorcery</t>
        </is>
      </c>
      <c r="C2528" s="11" t="inlineStr">
        <is>
          <t>Common / Comum</t>
        </is>
      </c>
      <c r="D2528" s="11" t="inlineStr">
        <is>
          <t>Destroy X target artifacts. Builder's Bane deals damage to each player equal to the number of artifacts they controlled that were put into a graveyard this way.</t>
        </is>
      </c>
      <c r="E2528" s="11" t="inlineStr">
        <is>
          <t>{X}{X}{R}</t>
        </is>
      </c>
      <c r="F2528" s="11" t="inlineStr">
        <is>
          <t>Vermelho</t>
        </is>
      </c>
      <c r="G2528" s="8" t="n">
        <v>0.05</v>
      </c>
      <c r="H2528" s="11" t="inlineStr">
        <is>
          <t>Mirage (MIR)</t>
        </is>
      </c>
      <c r="I2528" s="11" t="inlineStr">
        <is>
          <t>Não</t>
        </is>
      </c>
      <c r="J2528" s="11" t="n">
        <v>1996</v>
      </c>
      <c r="L2528" s="11" t="n">
        <v>1</v>
      </c>
      <c r="M2528" s="8">
        <f>L2528*G2528</f>
        <v/>
      </c>
      <c r="P2528" s="9" t="n"/>
    </row>
    <row r="2529">
      <c r="A2529" s="11" t="inlineStr">
        <is>
          <t>Spitting Earth / Golfada de Terra</t>
        </is>
      </c>
      <c r="B2529" s="11" t="inlineStr">
        <is>
          <t>Sorcery / Feitiço</t>
        </is>
      </c>
      <c r="C2529" s="11" t="inlineStr">
        <is>
          <t>Common / Comum</t>
        </is>
      </c>
      <c r="D2529" s="11" t="inlineStr">
        <is>
          <t>Spitting Earth deals damage to target creature equal to the number of Mountains you control. / Golfada de Terra causa à criatura alvo uma quantidade de dano igual ao número de Montanhas que você controla.</t>
        </is>
      </c>
      <c r="E2529" s="11" t="inlineStr">
        <is>
          <t>{1}{R}</t>
        </is>
      </c>
      <c r="F2529" s="11" t="inlineStr">
        <is>
          <t>Vermelho</t>
        </is>
      </c>
      <c r="G2529" s="8" t="n">
        <v>0.05</v>
      </c>
      <c r="H2529" s="11" t="inlineStr">
        <is>
          <t>Mirage (MIR)</t>
        </is>
      </c>
      <c r="I2529" s="11" t="inlineStr">
        <is>
          <t>Não</t>
        </is>
      </c>
      <c r="J2529" s="11" t="n">
        <v>1996</v>
      </c>
      <c r="L2529" s="11" t="n">
        <v>1</v>
      </c>
      <c r="M2529" s="8">
        <f>L2529*G2529</f>
        <v/>
      </c>
      <c r="P2529" s="9" t="n"/>
    </row>
    <row r="2530">
      <c r="A2530" s="11" t="inlineStr">
        <is>
          <t>Detonate / Explodir</t>
        </is>
      </c>
      <c r="B2530" s="11" t="inlineStr">
        <is>
          <t>Sorcery / Feitiço</t>
        </is>
      </c>
      <c r="C2530" s="11" t="inlineStr">
        <is>
          <t>Uncommon / Incomum</t>
        </is>
      </c>
      <c r="D2530" s="11" t="inlineStr">
        <is>
          <t>Destroy target artifact with mana value X. It can't be regenerated. Detonate deals X damage to that artifact's controller. / Destrói o artefato alvo com custo de mana convertido igual a X. Ela não pode ser regenerada. Explodir causa X pontos de dano ao controlador daquele artefato.</t>
        </is>
      </c>
      <c r="E2530" s="11" t="inlineStr">
        <is>
          <t>{X}{R}</t>
        </is>
      </c>
      <c r="F2530" s="11" t="inlineStr">
        <is>
          <t>Vermelho</t>
        </is>
      </c>
      <c r="G2530" s="8" t="n">
        <v>0.06</v>
      </c>
      <c r="H2530" s="11" t="inlineStr">
        <is>
          <t>Quarta Edição</t>
        </is>
      </c>
      <c r="I2530" s="11" t="inlineStr">
        <is>
          <t>Não</t>
        </is>
      </c>
      <c r="J2530" s="11" t="n">
        <v>1995</v>
      </c>
      <c r="L2530" s="11" t="n">
        <v>1</v>
      </c>
      <c r="M2530" s="8">
        <f>L2530*G2530</f>
        <v/>
      </c>
      <c r="P2530" s="9" t="n"/>
    </row>
    <row r="2531">
      <c r="A2531" s="11" t="inlineStr">
        <is>
          <t>Lava Burst / Explosão de Lava</t>
        </is>
      </c>
      <c r="B2531" s="11" t="inlineStr">
        <is>
          <t>Sorcery</t>
        </is>
      </c>
      <c r="C2531" s="11" t="inlineStr">
        <is>
          <t>Common / Comum</t>
        </is>
      </c>
      <c r="D2531" s="11" t="inlineStr">
        <is>
          <t>Lava Burst deals X damage to any target. If Lava Burst would deal damage to a creature, that damage can't be prevented or dealt instead to another permanent or player.</t>
        </is>
      </c>
      <c r="E2531" s="11" t="inlineStr">
        <is>
          <t>{X}{R}</t>
        </is>
      </c>
      <c r="F2531" s="11" t="inlineStr">
        <is>
          <t>Vermelho</t>
        </is>
      </c>
      <c r="G2531" s="8" t="n">
        <v>0.05</v>
      </c>
      <c r="H2531" s="11" t="inlineStr">
        <is>
          <t>Ice Age (ICE)</t>
        </is>
      </c>
      <c r="I2531" s="11" t="inlineStr">
        <is>
          <t>Não</t>
        </is>
      </c>
      <c r="J2531" s="11" t="n">
        <v>1995</v>
      </c>
      <c r="L2531" s="11" t="n">
        <v>1</v>
      </c>
      <c r="M2531" s="8">
        <f>L2531*G2531</f>
        <v/>
      </c>
      <c r="P2531" s="9" t="n"/>
    </row>
    <row r="2532">
      <c r="A2532" s="11" t="inlineStr">
        <is>
          <t>Avalanche</t>
        </is>
      </c>
      <c r="B2532" s="11" t="inlineStr">
        <is>
          <t>Sorcery</t>
        </is>
      </c>
      <c r="C2532" s="11" t="inlineStr">
        <is>
          <t>Uncommon / Incomum</t>
        </is>
      </c>
      <c r="D2532" s="11" t="inlineStr">
        <is>
          <t>Destroy X target snow lands.</t>
        </is>
      </c>
      <c r="E2532" s="11" t="inlineStr">
        <is>
          <t>{X}{2}{R}{R}</t>
        </is>
      </c>
      <c r="F2532" s="11" t="inlineStr">
        <is>
          <t>Vermelho</t>
        </is>
      </c>
      <c r="G2532" s="8" t="n">
        <v>0.2</v>
      </c>
      <c r="H2532" s="11" t="inlineStr">
        <is>
          <t>Ice Age (ICE)</t>
        </is>
      </c>
      <c r="I2532" s="11" t="inlineStr">
        <is>
          <t>Não</t>
        </is>
      </c>
      <c r="J2532" s="11" t="n">
        <v>1995</v>
      </c>
      <c r="L2532" s="11" t="n">
        <v>1</v>
      </c>
      <c r="M2532" s="8">
        <f>L2532*G2532</f>
        <v/>
      </c>
      <c r="P2532" s="9" t="n"/>
    </row>
    <row r="2533">
      <c r="A2533" s="11" t="inlineStr">
        <is>
          <t>Swirling Sandstorm / Redemoinho de Areia</t>
        </is>
      </c>
      <c r="B2533" s="11" t="inlineStr">
        <is>
          <t>Sorcery / Feitiço</t>
        </is>
      </c>
      <c r="C2533" s="11" t="inlineStr">
        <is>
          <t>Common / Comum</t>
        </is>
      </c>
      <c r="D2533" s="11" t="inlineStr">
        <is>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is>
      </c>
      <c r="E2533" s="11" t="inlineStr">
        <is>
          <t>{3}{R}</t>
        </is>
      </c>
      <c r="F2533" s="11" t="inlineStr">
        <is>
          <t>Vermelho</t>
        </is>
      </c>
      <c r="G2533" s="8" t="n">
        <v>0.8</v>
      </c>
      <c r="H2533" s="11" t="inlineStr">
        <is>
          <t>Judgment (JUD)</t>
        </is>
      </c>
      <c r="I2533" s="11" t="inlineStr">
        <is>
          <t>Não</t>
        </is>
      </c>
      <c r="J2533" s="11" t="n">
        <v>2002</v>
      </c>
      <c r="L2533" s="11" t="n">
        <v>1</v>
      </c>
      <c r="M2533" s="8">
        <f>L2533*G2533</f>
        <v/>
      </c>
      <c r="P2533" s="9" t="n"/>
    </row>
    <row r="2534">
      <c r="A2534" s="11" t="inlineStr">
        <is>
          <t>Kaervek's Torch / Tocha de Kaervek</t>
        </is>
      </c>
      <c r="B2534" s="11" t="inlineStr">
        <is>
          <t>Sorcery</t>
        </is>
      </c>
      <c r="C2534" s="11" t="inlineStr">
        <is>
          <t>Common / Comum</t>
        </is>
      </c>
      <c r="D2534" s="11" t="inlineStr">
        <is>
          <t>As long as Kaervek's Torch is on the stack, spells that target it cost {2} more to cast. Kaervek's Torch deals X damage to any target.</t>
        </is>
      </c>
      <c r="E2534" s="11" t="inlineStr">
        <is>
          <t>{X}{R}</t>
        </is>
      </c>
      <c r="F2534" s="11" t="inlineStr">
        <is>
          <t>Vermelho</t>
        </is>
      </c>
      <c r="G2534" s="8" t="n">
        <v>0.8</v>
      </c>
      <c r="H2534" s="11" t="inlineStr">
        <is>
          <t>Mirage (MIR)</t>
        </is>
      </c>
      <c r="I2534" s="11" t="inlineStr">
        <is>
          <t>Não</t>
        </is>
      </c>
      <c r="J2534" s="11" t="n">
        <v>1996</v>
      </c>
      <c r="L2534" s="11" t="n">
        <v>1</v>
      </c>
      <c r="M2534" s="8">
        <f>L2534*G2534</f>
        <v/>
      </c>
      <c r="P2534" s="9" t="n"/>
    </row>
    <row r="2535">
      <c r="A2535" s="11" t="inlineStr">
        <is>
          <t>Stone Rain / Chuva de Pedras</t>
        </is>
      </c>
      <c r="B2535" s="11" t="inlineStr">
        <is>
          <t>Sorcery / Feitiço</t>
        </is>
      </c>
      <c r="C2535" s="11" t="inlineStr">
        <is>
          <t>Common / Comum</t>
        </is>
      </c>
      <c r="D2535" s="11" t="inlineStr">
        <is>
          <t>Destroy target land. / Destrua o terreno alvo.</t>
        </is>
      </c>
      <c r="E2535" s="11" t="inlineStr">
        <is>
          <t>{2}{R}</t>
        </is>
      </c>
      <c r="F2535" s="11" t="inlineStr">
        <is>
          <t>Vermelho</t>
        </is>
      </c>
      <c r="G2535" s="8" t="n">
        <v>0.1</v>
      </c>
      <c r="H2535" s="11" t="inlineStr">
        <is>
          <t>Quarta Edição (BB)</t>
        </is>
      </c>
      <c r="I2535" s="11" t="inlineStr">
        <is>
          <t>Não</t>
        </is>
      </c>
      <c r="J2535" s="11" t="n">
        <v>1995</v>
      </c>
      <c r="L2535" s="11" t="n">
        <v>4</v>
      </c>
      <c r="M2535" s="8">
        <f>L2535*G2535</f>
        <v/>
      </c>
      <c r="P2535" s="9" t="n"/>
    </row>
    <row r="2536">
      <c r="A2536" s="11" t="inlineStr">
        <is>
          <t>Stone Rain / Chuva de Pedras</t>
        </is>
      </c>
      <c r="B2536" s="11" t="inlineStr">
        <is>
          <t>Sorcery / Feitiço</t>
        </is>
      </c>
      <c r="C2536" s="11" t="inlineStr">
        <is>
          <t>Common / Comum</t>
        </is>
      </c>
      <c r="D2536" s="11" t="inlineStr">
        <is>
          <t>Destroy target land. / Destrua o terreno alvo.</t>
        </is>
      </c>
      <c r="E2536" s="11" t="inlineStr">
        <is>
          <t>{2}{R}</t>
        </is>
      </c>
      <c r="F2536" s="11" t="inlineStr">
        <is>
          <t>Vermelho</t>
        </is>
      </c>
      <c r="G2536" s="8" t="n">
        <v>0.08</v>
      </c>
      <c r="H2536" s="11" t="inlineStr">
        <is>
          <t xml:space="preserve">Quarta Edição </t>
        </is>
      </c>
      <c r="I2536" s="11" t="inlineStr">
        <is>
          <t>Não</t>
        </is>
      </c>
      <c r="J2536" s="11" t="n">
        <v>1995</v>
      </c>
      <c r="L2536" s="11" t="n">
        <v>4</v>
      </c>
      <c r="M2536" s="8">
        <f>L2536*G2536</f>
        <v/>
      </c>
      <c r="P2536" s="9" t="n"/>
    </row>
    <row r="2537">
      <c r="A2537" s="11" t="inlineStr">
        <is>
          <t>Stone Rain / Chuva de Pedras</t>
        </is>
      </c>
      <c r="B2537" s="11" t="inlineStr">
        <is>
          <t>Sorcery / Feitiço</t>
        </is>
      </c>
      <c r="C2537" s="11" t="inlineStr">
        <is>
          <t>Common / Comum</t>
        </is>
      </c>
      <c r="D2537" s="11" t="inlineStr">
        <is>
          <t>Destroy target land. / Destrua o terreno alvo.</t>
        </is>
      </c>
      <c r="E2537" s="11" t="inlineStr">
        <is>
          <t>{2}{R}</t>
        </is>
      </c>
      <c r="F2537" s="11" t="inlineStr">
        <is>
          <t>Vermelho</t>
        </is>
      </c>
      <c r="G2537" s="8" t="n">
        <v>0.25</v>
      </c>
      <c r="H2537" s="11" t="inlineStr">
        <is>
          <t>Revised Edition</t>
        </is>
      </c>
      <c r="I2537" s="11" t="inlineStr">
        <is>
          <t>Não</t>
        </is>
      </c>
      <c r="J2537" s="11" t="n">
        <v>1995</v>
      </c>
      <c r="L2537" s="11" t="n">
        <v>2</v>
      </c>
      <c r="M2537" s="8">
        <f>L2537*G2537</f>
        <v/>
      </c>
      <c r="P2537" s="9" t="n"/>
    </row>
    <row r="2538">
      <c r="A2538" s="11" t="inlineStr">
        <is>
          <t>Fireball / Bola de Fogo</t>
        </is>
      </c>
      <c r="B2538" s="11" t="inlineStr">
        <is>
          <t>Sorcery / Feitiço</t>
        </is>
      </c>
      <c r="C2538" s="11" t="inlineStr">
        <is>
          <t>Common / Comum</t>
        </is>
      </c>
      <c r="D2538" s="11" t="inlineStr">
        <is>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is>
      </c>
      <c r="E2538" s="11" t="inlineStr">
        <is>
          <t>{X}{R}</t>
        </is>
      </c>
      <c r="F2538" s="11" t="inlineStr">
        <is>
          <t>Vermelho</t>
        </is>
      </c>
      <c r="G2538" s="8" t="n">
        <v>0.1</v>
      </c>
      <c r="H2538" s="11" t="inlineStr">
        <is>
          <t xml:space="preserve">Quarta Edição </t>
        </is>
      </c>
      <c r="I2538" s="11" t="inlineStr">
        <is>
          <t>Não</t>
        </is>
      </c>
      <c r="J2538" s="11" t="n">
        <v>1995</v>
      </c>
      <c r="L2538" s="11" t="n">
        <v>4</v>
      </c>
      <c r="M2538" s="8">
        <f>L2538*G2538</f>
        <v/>
      </c>
      <c r="P2538" s="9" t="n"/>
    </row>
    <row r="2539">
      <c r="A2539" s="11" t="inlineStr">
        <is>
          <t>Blind Fury / Fúria Cega</t>
        </is>
      </c>
      <c r="B2539" s="11" t="inlineStr">
        <is>
          <t>Instant</t>
        </is>
      </c>
      <c r="C2539" s="11" t="inlineStr">
        <is>
          <t>Uncommon / Incomum</t>
        </is>
      </c>
      <c r="D2539" s="11" t="inlineStr">
        <is>
          <t>All creatures lose trample until end of turn. If a creature would deal combat damage to a creature this turn, it deals double that damage to that creature instead.</t>
        </is>
      </c>
      <c r="E2539" s="11" t="inlineStr">
        <is>
          <t>{2}{R}{R}</t>
        </is>
      </c>
      <c r="F2539" s="11" t="inlineStr">
        <is>
          <t>Vermelho</t>
        </is>
      </c>
      <c r="G2539" s="8" t="n">
        <v>0.23</v>
      </c>
      <c r="H2539" s="11" t="inlineStr">
        <is>
          <t>Mirage (MIR)</t>
        </is>
      </c>
      <c r="I2539" s="11" t="inlineStr">
        <is>
          <t>Não</t>
        </is>
      </c>
      <c r="J2539" s="11" t="n">
        <v>1996</v>
      </c>
      <c r="L2539" s="11" t="n">
        <v>1</v>
      </c>
      <c r="M2539" s="8">
        <f>L2539*G2539</f>
        <v/>
      </c>
      <c r="P2539" s="9" t="n"/>
    </row>
    <row r="2540">
      <c r="A2540" s="11" t="inlineStr">
        <is>
          <t>Soldevi Heretic / Herege Soldeviano</t>
        </is>
      </c>
      <c r="B2540" s="11" t="inlineStr">
        <is>
          <t>Creature — Human Cleric</t>
        </is>
      </c>
      <c r="C2540" s="11" t="inlineStr">
        <is>
          <t>Common / Comum</t>
        </is>
      </c>
      <c r="D2540" s="11" t="inlineStr">
        <is>
          <t>{W}, {T}: Prevent the next 2 damage that would be dealt to target creature this turn. Target opponent may draw a card.</t>
        </is>
      </c>
      <c r="E2540" s="11" t="inlineStr">
        <is>
          <t>{2}{U}</t>
        </is>
      </c>
      <c r="F2540" s="11" t="inlineStr">
        <is>
          <t>Azul</t>
        </is>
      </c>
      <c r="G2540" s="8" t="n">
        <v>0.05</v>
      </c>
      <c r="H2540" s="11" t="inlineStr">
        <is>
          <t>Alliances (ALL)</t>
        </is>
      </c>
      <c r="I2540" s="11" t="inlineStr">
        <is>
          <t>Não</t>
        </is>
      </c>
      <c r="J2540" s="11" t="n">
        <v>1996</v>
      </c>
      <c r="K2540" s="10" t="n">
        <v>46055</v>
      </c>
      <c r="L2540" s="11" t="n">
        <v>1</v>
      </c>
      <c r="M2540" s="8">
        <f>L2540*G2540</f>
        <v/>
      </c>
      <c r="P2540" s="9" t="n"/>
    </row>
    <row r="2541">
      <c r="A2541" s="11" t="inlineStr">
        <is>
          <t>Aliban's Tower / Torre de Aliban</t>
        </is>
      </c>
      <c r="B2541" s="11" t="inlineStr">
        <is>
          <t>Instant</t>
        </is>
      </c>
      <c r="C2541" s="11" t="inlineStr">
        <is>
          <t>Common / Comum</t>
        </is>
      </c>
      <c r="D2541" s="11" t="inlineStr">
        <is>
          <t>Target blocking creature gets +3/+1 until end of turn.</t>
        </is>
      </c>
      <c r="E2541" s="11" t="inlineStr">
        <is>
          <t>{1}{R}</t>
        </is>
      </c>
      <c r="F2541" s="11" t="inlineStr">
        <is>
          <t>Vermelho</t>
        </is>
      </c>
      <c r="G2541" s="8" t="n">
        <v>0.08</v>
      </c>
      <c r="H2541" s="11" t="inlineStr">
        <is>
          <t>Homelands (HML)</t>
        </is>
      </c>
      <c r="I2541" s="11" t="inlineStr">
        <is>
          <t>Não</t>
        </is>
      </c>
      <c r="J2541" s="11" t="n">
        <v>1995</v>
      </c>
      <c r="L2541" s="11" t="n">
        <v>1</v>
      </c>
      <c r="M2541" s="8">
        <f>L2541*G2541</f>
        <v/>
      </c>
      <c r="P2541" s="9" t="n"/>
    </row>
    <row r="2542">
      <c r="A2542" s="11" t="inlineStr">
        <is>
          <t>Aliban's Tower / Torre de Aliban</t>
        </is>
      </c>
      <c r="B2542" s="11" t="inlineStr">
        <is>
          <t>Instant</t>
        </is>
      </c>
      <c r="C2542" s="11" t="inlineStr">
        <is>
          <t>Common / Comum</t>
        </is>
      </c>
      <c r="D2542" s="11" t="inlineStr">
        <is>
          <t>Target blocking creature gets +3/+1 until end of turn.</t>
        </is>
      </c>
      <c r="E2542" s="11" t="inlineStr">
        <is>
          <t>{1}{R}</t>
        </is>
      </c>
      <c r="F2542" s="11" t="inlineStr">
        <is>
          <t>Vermelho</t>
        </is>
      </c>
      <c r="G2542" s="8" t="n">
        <v>0.06</v>
      </c>
      <c r="H2542" s="11" t="inlineStr">
        <is>
          <t>Homelands (HML)</t>
        </is>
      </c>
      <c r="I2542" s="11" t="inlineStr">
        <is>
          <t>Não</t>
        </is>
      </c>
      <c r="J2542" s="11" t="n">
        <v>1995</v>
      </c>
      <c r="L2542" s="11" t="n">
        <v>1</v>
      </c>
      <c r="M2542" s="8">
        <f>L2542*G2542</f>
        <v/>
      </c>
      <c r="P2542" s="9" t="n"/>
    </row>
    <row r="2543">
      <c r="A2543" s="11" t="inlineStr">
        <is>
          <t>Word of Blasting / Palavra de Detonação</t>
        </is>
      </c>
      <c r="B2543" s="11" t="inlineStr">
        <is>
          <t>Instant</t>
        </is>
      </c>
      <c r="C2543" s="11" t="inlineStr">
        <is>
          <t>Uncommon / Incomum</t>
        </is>
      </c>
      <c r="D2543" s="11" t="inlineStr">
        <is>
          <t>Destroy target Wall. It can't be regenerated. Word of Blasting deals damage equal to that Wall's mana value to the Wall's controller.</t>
        </is>
      </c>
      <c r="E2543" s="11" t="inlineStr">
        <is>
          <t>{1}{R}</t>
        </is>
      </c>
      <c r="F2543" s="11" t="inlineStr">
        <is>
          <t>Vermelho</t>
        </is>
      </c>
      <c r="G2543" s="8" t="n">
        <v>0.16</v>
      </c>
      <c r="H2543" s="11" t="inlineStr">
        <is>
          <t>Ice Age (ICE)</t>
        </is>
      </c>
      <c r="I2543" s="11" t="inlineStr">
        <is>
          <t>Não</t>
        </is>
      </c>
      <c r="J2543" s="11" t="n">
        <v>1995</v>
      </c>
      <c r="L2543" s="11" t="n">
        <v>1</v>
      </c>
      <c r="M2543" s="8">
        <f>L2543*G2543</f>
        <v/>
      </c>
      <c r="P2543" s="9" t="n"/>
    </row>
    <row r="2544">
      <c r="A2544" s="11" t="inlineStr">
        <is>
          <t>Vertigo / Vertigem</t>
        </is>
      </c>
      <c r="B2544" s="11" t="inlineStr">
        <is>
          <t>Instant</t>
        </is>
      </c>
      <c r="C2544" s="11" t="inlineStr">
        <is>
          <t>Uncommon / Incomum</t>
        </is>
      </c>
      <c r="D2544" s="11" t="inlineStr">
        <is>
          <t>Vertigo deals 2 damage to target creature with flying. That creature loses flying until end of turn.</t>
        </is>
      </c>
      <c r="E2544" s="11" t="inlineStr">
        <is>
          <t>{R}</t>
        </is>
      </c>
      <c r="F2544" s="11" t="inlineStr">
        <is>
          <t>Vermelho</t>
        </is>
      </c>
      <c r="G2544" s="8" t="n">
        <v>0.18</v>
      </c>
      <c r="H2544" s="11" t="inlineStr">
        <is>
          <t>Ice Age (ICE)</t>
        </is>
      </c>
      <c r="I2544" s="11" t="inlineStr">
        <is>
          <t>Não</t>
        </is>
      </c>
      <c r="J2544" s="11" t="n">
        <v>1995</v>
      </c>
      <c r="L2544" s="11" t="n">
        <v>1</v>
      </c>
      <c r="M2544" s="8">
        <f>L2544*G2544</f>
        <v/>
      </c>
      <c r="P2544" s="9" t="n"/>
    </row>
    <row r="2545">
      <c r="A2545" s="11" t="inlineStr">
        <is>
          <t>Inferno</t>
        </is>
      </c>
      <c r="B2545" s="11" t="inlineStr">
        <is>
          <t>Instant / Mágica Instantânea</t>
        </is>
      </c>
      <c r="C2545" s="11" t="inlineStr">
        <is>
          <t>Rare / Rara</t>
        </is>
      </c>
      <c r="D2545" s="11" t="inlineStr">
        <is>
          <t>Inferno deals 6 damage to each creature and each player. / Inferno causa 6 pontos de dano a cada criatura e cada jogador.</t>
        </is>
      </c>
      <c r="E2545" s="11" t="inlineStr">
        <is>
          <t>{5}{R}{R}</t>
        </is>
      </c>
      <c r="F2545" s="11" t="inlineStr">
        <is>
          <t>Vermelho</t>
        </is>
      </c>
      <c r="G2545" s="8" t="n">
        <v>1</v>
      </c>
      <c r="H2545" s="11" t="inlineStr">
        <is>
          <t xml:space="preserve">Quarta Edição </t>
        </is>
      </c>
      <c r="I2545" s="11" t="inlineStr">
        <is>
          <t>Não</t>
        </is>
      </c>
      <c r="J2545" s="11" t="n">
        <v>1995</v>
      </c>
      <c r="L2545" s="11" t="n">
        <v>1</v>
      </c>
      <c r="M2545" s="8">
        <f>L2545*G2545</f>
        <v/>
      </c>
      <c r="P2545" s="9" t="n"/>
    </row>
    <row r="2546">
      <c r="A2546" s="11" t="inlineStr">
        <is>
          <t>Stun / Atordoar</t>
        </is>
      </c>
      <c r="B2546" s="11" t="inlineStr">
        <is>
          <t>Instant / Mágica Instantânea</t>
        </is>
      </c>
      <c r="C2546" s="11" t="inlineStr">
        <is>
          <t>Common / Comum</t>
        </is>
      </c>
      <c r="D2546" s="11" t="inlineStr">
        <is>
          <t>Target creature can't block this turn. Draw a card. / A criatura alvo não pode bloquear neste turno. Compre um card.</t>
        </is>
      </c>
      <c r="E2546" s="11" t="inlineStr">
        <is>
          <t>{1}{R}</t>
        </is>
      </c>
      <c r="F2546" s="11" t="inlineStr">
        <is>
          <t>Vermelho</t>
        </is>
      </c>
      <c r="G2546" s="8" t="n">
        <v>18</v>
      </c>
      <c r="H2546" s="11" t="inlineStr">
        <is>
          <t>Invasion (INV)</t>
        </is>
      </c>
      <c r="I2546" s="11" t="inlineStr">
        <is>
          <t>Sim</t>
        </is>
      </c>
      <c r="J2546" s="11" t="n">
        <v>2000</v>
      </c>
      <c r="L2546" s="11" t="n">
        <v>1</v>
      </c>
      <c r="M2546" s="8">
        <f>L2546*G2546</f>
        <v/>
      </c>
      <c r="P2546" s="9" t="n"/>
    </row>
    <row r="2547">
      <c r="A2547" s="11" t="inlineStr">
        <is>
          <t>Fissure / Fissura</t>
        </is>
      </c>
      <c r="B2547" s="11" t="inlineStr">
        <is>
          <t>Instant</t>
        </is>
      </c>
      <c r="C2547" s="11" t="inlineStr">
        <is>
          <t>Common / Comum</t>
        </is>
      </c>
      <c r="D2547" s="11" t="inlineStr">
        <is>
          <t>Destroy target creature or land. It can't be regenerated.</t>
        </is>
      </c>
      <c r="E2547" s="11" t="inlineStr">
        <is>
          <t>{3}{R}{R}</t>
        </is>
      </c>
      <c r="F2547" s="11" t="inlineStr">
        <is>
          <t>Vermelho</t>
        </is>
      </c>
      <c r="G2547" s="8" t="n">
        <v>0.09</v>
      </c>
      <c r="H2547" s="11" t="inlineStr">
        <is>
          <t>Quarta Edição (BB)</t>
        </is>
      </c>
      <c r="I2547" s="11" t="inlineStr">
        <is>
          <t>Não</t>
        </is>
      </c>
      <c r="J2547" s="11" t="n">
        <v>1995</v>
      </c>
      <c r="L2547" s="11" t="n">
        <v>1</v>
      </c>
      <c r="M2547" s="8">
        <f>L2547*G2547</f>
        <v/>
      </c>
      <c r="P2547" s="9" t="n"/>
    </row>
    <row r="2548">
      <c r="A2548" s="11" t="inlineStr">
        <is>
          <t>Fissure / Fissura</t>
        </is>
      </c>
      <c r="B2548" s="11" t="inlineStr">
        <is>
          <t>Instant</t>
        </is>
      </c>
      <c r="C2548" s="11" t="inlineStr">
        <is>
          <t>Common / Comum</t>
        </is>
      </c>
      <c r="D2548" s="11" t="inlineStr">
        <is>
          <t>Destroy target creature or land. It can't be regenerated.</t>
        </is>
      </c>
      <c r="E2548" s="11" t="inlineStr">
        <is>
          <t>{3}{R}{R}</t>
        </is>
      </c>
      <c r="F2548" s="11" t="inlineStr">
        <is>
          <t>Vermelho</t>
        </is>
      </c>
      <c r="G2548" s="8" t="n">
        <v>0.09</v>
      </c>
      <c r="H2548" s="11" t="inlineStr">
        <is>
          <t xml:space="preserve">Quarta Edição </t>
        </is>
      </c>
      <c r="I2548" s="11" t="inlineStr">
        <is>
          <t>Não</t>
        </is>
      </c>
      <c r="J2548" s="11" t="n">
        <v>1995</v>
      </c>
      <c r="L2548" s="11" t="n">
        <v>1</v>
      </c>
      <c r="M2548" s="8">
        <f>L2548*G2548</f>
        <v/>
      </c>
      <c r="P2548" s="9" t="n"/>
    </row>
    <row r="2549">
      <c r="A2549" s="11" t="inlineStr">
        <is>
          <t>Battle Frenzy / Frenesi de Batalha</t>
        </is>
      </c>
      <c r="B2549" s="11" t="inlineStr">
        <is>
          <t>Instant</t>
        </is>
      </c>
      <c r="C2549" s="11" t="inlineStr">
        <is>
          <t>Common / Comum</t>
        </is>
      </c>
      <c r="D2549" s="11" t="inlineStr">
        <is>
          <t>Green creatures you control get +1/+1 until end of turn. Nongreen creatures you control get +1/+0 until end of turn.</t>
        </is>
      </c>
      <c r="E2549" s="11" t="inlineStr">
        <is>
          <t>{2}{R}</t>
        </is>
      </c>
      <c r="F2549" s="11" t="inlineStr">
        <is>
          <t>Vermelho</t>
        </is>
      </c>
      <c r="G2549" s="8" t="n">
        <v>0.05</v>
      </c>
      <c r="H2549" s="11" t="inlineStr">
        <is>
          <t>Ice Age (ICE)</t>
        </is>
      </c>
      <c r="I2549" s="11" t="inlineStr">
        <is>
          <t>Não</t>
        </is>
      </c>
      <c r="J2549" s="11" t="n">
        <v>1995</v>
      </c>
      <c r="L2549" s="11" t="n">
        <v>2</v>
      </c>
      <c r="M2549" s="8">
        <f>L2549*G2549</f>
        <v/>
      </c>
      <c r="P2549" s="9" t="n"/>
    </row>
    <row r="2550">
      <c r="A2550" s="11" t="inlineStr">
        <is>
          <t>Blood Lust / Sede de Sangue</t>
        </is>
      </c>
      <c r="B2550" s="11" t="inlineStr">
        <is>
          <t>Instant</t>
        </is>
      </c>
      <c r="C2550" s="11" t="inlineStr">
        <is>
          <t>Uncommon / Incomum</t>
        </is>
      </c>
      <c r="D2550" s="11" t="inlineStr">
        <is>
          <t>If target creature has toughness 5 or greater, it gets +4/-4 until end of turn. Otherwise, it gets +4/-X until end of turn, where X is its toughness minus 1.</t>
        </is>
      </c>
      <c r="E2550" s="11" t="inlineStr">
        <is>
          <t>{1}{R}</t>
        </is>
      </c>
      <c r="F2550" s="11" t="inlineStr">
        <is>
          <t>Vermelho</t>
        </is>
      </c>
      <c r="G2550" s="8" t="n">
        <v>0.3</v>
      </c>
      <c r="H2550" s="11" t="inlineStr">
        <is>
          <t>Quarta Edição (BB)</t>
        </is>
      </c>
      <c r="I2550" s="11" t="inlineStr">
        <is>
          <t>Não</t>
        </is>
      </c>
      <c r="J2550" s="11" t="n">
        <v>1995</v>
      </c>
      <c r="L2550" s="11" t="n">
        <v>4</v>
      </c>
      <c r="M2550" s="8">
        <f>L2550*G2550</f>
        <v/>
      </c>
      <c r="P2550" s="9" t="n"/>
    </row>
    <row r="2551">
      <c r="A2551" s="11" t="inlineStr">
        <is>
          <t>Blood Lust / Sede de Sangue</t>
        </is>
      </c>
      <c r="B2551" s="11" t="inlineStr">
        <is>
          <t>Instant</t>
        </is>
      </c>
      <c r="C2551" s="11" t="inlineStr">
        <is>
          <t>Uncommon / Incomum</t>
        </is>
      </c>
      <c r="D2551" s="11" t="inlineStr">
        <is>
          <t>If target creature has toughness 5 or greater, it gets +4/-4 until end of turn. Otherwise, it gets +4/-X until end of turn, where X is its toughness minus 1.</t>
        </is>
      </c>
      <c r="E2551" s="11" t="inlineStr">
        <is>
          <t>{1}{R}</t>
        </is>
      </c>
      <c r="F2551" s="11" t="inlineStr">
        <is>
          <t>Vermelho</t>
        </is>
      </c>
      <c r="G2551" s="8" t="n">
        <v>0.05</v>
      </c>
      <c r="H2551" s="11" t="inlineStr">
        <is>
          <t xml:space="preserve">Quarta Edição </t>
        </is>
      </c>
      <c r="I2551" s="11" t="inlineStr">
        <is>
          <t>Não</t>
        </is>
      </c>
      <c r="J2551" s="11" t="n">
        <v>1995</v>
      </c>
      <c r="L2551" s="11" t="n">
        <v>2</v>
      </c>
      <c r="M2551" s="8">
        <f>L2551*G2551</f>
        <v/>
      </c>
      <c r="P2551" s="9" t="n"/>
    </row>
    <row r="2552">
      <c r="A2552" s="11" t="inlineStr">
        <is>
          <t>Panic / Pânico</t>
        </is>
      </c>
      <c r="B2552" s="11" t="inlineStr">
        <is>
          <t>Instant</t>
        </is>
      </c>
      <c r="C2552" s="11" t="inlineStr">
        <is>
          <t>Common / Comum</t>
        </is>
      </c>
      <c r="D2552" s="11" t="inlineStr">
        <is>
          <t>Cast this spell only during combat before blockers are declared. Target creature can't block this turn. Draw a card at the beginning of the next turn's upkeep.</t>
        </is>
      </c>
      <c r="E2552" s="11" t="inlineStr">
        <is>
          <t>{R}</t>
        </is>
      </c>
      <c r="F2552" s="11" t="inlineStr">
        <is>
          <t>Vermelho</t>
        </is>
      </c>
      <c r="G2552" s="8" t="n">
        <v>0.05</v>
      </c>
      <c r="H2552" s="11" t="inlineStr">
        <is>
          <t>Ice Age (ICE)</t>
        </is>
      </c>
      <c r="I2552" s="11" t="inlineStr">
        <is>
          <t>Não</t>
        </is>
      </c>
      <c r="J2552" s="11" t="n">
        <v>1995</v>
      </c>
      <c r="L2552" s="11" t="n">
        <v>3</v>
      </c>
      <c r="M2552" s="8">
        <f>L2552*G2552</f>
        <v/>
      </c>
      <c r="P2552" s="9" t="n"/>
    </row>
    <row r="2553">
      <c r="A2553" s="11" t="inlineStr">
        <is>
          <t>Active Volcano</t>
        </is>
      </c>
      <c r="B2553" s="11" t="inlineStr">
        <is>
          <t>Instant</t>
        </is>
      </c>
      <c r="C2553" s="11" t="inlineStr">
        <is>
          <t>Common / Comum</t>
        </is>
      </c>
      <c r="D2553" s="11" t="inlineStr">
        <is>
          <t>Choose one — • Destroy target blue permanent. • Return target Island to its owner's hand.</t>
        </is>
      </c>
      <c r="E2553" s="11" t="inlineStr">
        <is>
          <t>{R}</t>
        </is>
      </c>
      <c r="F2553" s="11" t="inlineStr">
        <is>
          <t>Vermelho</t>
        </is>
      </c>
      <c r="G2553" s="8" t="n">
        <v>1.43</v>
      </c>
      <c r="H2553" s="11" t="inlineStr">
        <is>
          <t>Chronicles</t>
        </is>
      </c>
      <c r="I2553" s="11" t="inlineStr">
        <is>
          <t>Não</t>
        </is>
      </c>
      <c r="J2553" s="11" t="n">
        <v>1995</v>
      </c>
      <c r="L2553" s="11" t="n">
        <v>2</v>
      </c>
      <c r="M2553" s="8">
        <f>L2553*G2553</f>
        <v/>
      </c>
      <c r="P2553" s="9" t="n"/>
    </row>
    <row r="2554">
      <c r="A2554" s="11" t="inlineStr">
        <is>
          <t>Tunnel / Túnel</t>
        </is>
      </c>
      <c r="B2554" s="11" t="inlineStr">
        <is>
          <t>Instant / Mágica Instantânea</t>
        </is>
      </c>
      <c r="C2554" s="11" t="inlineStr">
        <is>
          <t>Uncommon / Incomum</t>
        </is>
      </c>
      <c r="D2554" s="11" t="inlineStr">
        <is>
          <t>Destroy target Wall. It can't be regenerated. / Enterra a barreira-alvo.</t>
        </is>
      </c>
      <c r="E2554" s="11" t="inlineStr">
        <is>
          <t>{R}</t>
        </is>
      </c>
      <c r="F2554" s="11" t="inlineStr">
        <is>
          <t>Vermelho</t>
        </is>
      </c>
      <c r="G2554" s="8" t="n">
        <v>0.44</v>
      </c>
      <c r="H2554" s="11" t="inlineStr">
        <is>
          <t>Fourth Edition (BB)</t>
        </is>
      </c>
      <c r="I2554" s="11" t="inlineStr">
        <is>
          <t>Não</t>
        </is>
      </c>
      <c r="J2554" s="11" t="n">
        <v>1995</v>
      </c>
      <c r="L2554" s="11" t="n">
        <v>1</v>
      </c>
      <c r="M2554" s="8">
        <f>L2554*G2554</f>
        <v/>
      </c>
      <c r="P2554" s="9" t="n"/>
    </row>
    <row r="2555">
      <c r="A2555" s="11" t="inlineStr">
        <is>
          <t>Tunnel / Túnel</t>
        </is>
      </c>
      <c r="B2555" s="11" t="inlineStr">
        <is>
          <t>Instant / Mágica Instantânea</t>
        </is>
      </c>
      <c r="C2555" s="11" t="inlineStr">
        <is>
          <t>Uncommon / Incomum</t>
        </is>
      </c>
      <c r="D2555" s="11" t="inlineStr">
        <is>
          <t>Destroy target Wall. It can't be regenerated. / Enterra a barreira-alvo.</t>
        </is>
      </c>
      <c r="E2555" s="11" t="inlineStr">
        <is>
          <t>{R}</t>
        </is>
      </c>
      <c r="F2555" s="11" t="inlineStr">
        <is>
          <t>Vermelho</t>
        </is>
      </c>
      <c r="G2555" s="8" t="n">
        <v>0.14</v>
      </c>
      <c r="H2555" s="11" t="inlineStr">
        <is>
          <t>Fourth Edition</t>
        </is>
      </c>
      <c r="I2555" s="11" t="inlineStr">
        <is>
          <t>Não</t>
        </is>
      </c>
      <c r="J2555" s="11" t="n">
        <v>1995</v>
      </c>
      <c r="L2555" s="11" t="n">
        <v>1</v>
      </c>
      <c r="M2555" s="8">
        <f>L2555*G2555</f>
        <v/>
      </c>
      <c r="P2555" s="9" t="n"/>
    </row>
    <row r="2556">
      <c r="A2556" s="11" t="inlineStr">
        <is>
          <t>Shatter / Estilhaçar</t>
        </is>
      </c>
      <c r="B2556" s="11" t="inlineStr">
        <is>
          <t>Instant / Mágica Instantânea</t>
        </is>
      </c>
      <c r="C2556" s="11" t="inlineStr">
        <is>
          <t>Common / Comum</t>
        </is>
      </c>
      <c r="D2556" s="11" t="inlineStr">
        <is>
          <t>Destroy target artifact. / Destrói artefato-alvo.</t>
        </is>
      </c>
      <c r="E2556" s="11" t="inlineStr">
        <is>
          <t>{1}{R}</t>
        </is>
      </c>
      <c r="F2556" s="11" t="inlineStr">
        <is>
          <t>Vermelho</t>
        </is>
      </c>
      <c r="G2556" s="8" t="n">
        <v>0.25</v>
      </c>
      <c r="H2556" s="11" t="inlineStr">
        <is>
          <t>Fourth Edition (BB)</t>
        </is>
      </c>
      <c r="I2556" s="11" t="inlineStr">
        <is>
          <t>Não</t>
        </is>
      </c>
      <c r="J2556" s="11" t="n">
        <v>1995</v>
      </c>
      <c r="L2556" s="11" t="n">
        <v>2</v>
      </c>
      <c r="M2556" s="8">
        <f>L2556*G2556</f>
        <v/>
      </c>
      <c r="P2556" s="9" t="n"/>
    </row>
    <row r="2557">
      <c r="A2557" s="11" t="inlineStr">
        <is>
          <t>Shatter / Estilhaçar</t>
        </is>
      </c>
      <c r="B2557" s="11" t="inlineStr">
        <is>
          <t>Instant / Mágica Instantânea</t>
        </is>
      </c>
      <c r="C2557" s="11" t="inlineStr">
        <is>
          <t>Common / Comum</t>
        </is>
      </c>
      <c r="D2557" s="11" t="inlineStr">
        <is>
          <t>Destroy target artifact. / Destrói artefato-alvo.</t>
        </is>
      </c>
      <c r="E2557" s="11" t="inlineStr">
        <is>
          <t>{1}{R}</t>
        </is>
      </c>
      <c r="F2557" s="11" t="inlineStr">
        <is>
          <t>Vermelho</t>
        </is>
      </c>
      <c r="G2557" s="8" t="n">
        <v>0.06</v>
      </c>
      <c r="H2557" s="11" t="inlineStr">
        <is>
          <t>Revised Edition</t>
        </is>
      </c>
      <c r="I2557" s="11" t="inlineStr">
        <is>
          <t>Não</t>
        </is>
      </c>
      <c r="J2557" s="11" t="n">
        <v>1994</v>
      </c>
      <c r="L2557" s="11" t="n">
        <v>3</v>
      </c>
      <c r="M2557" s="8">
        <f>L2557*G2557</f>
        <v/>
      </c>
      <c r="P2557" s="9" t="n"/>
    </row>
    <row r="2558">
      <c r="A2558" s="11" t="inlineStr">
        <is>
          <t>Shatter / Estilhaçar</t>
        </is>
      </c>
      <c r="B2558" s="11" t="inlineStr">
        <is>
          <t>Instant / Mágica Instantânea</t>
        </is>
      </c>
      <c r="C2558" s="11" t="inlineStr">
        <is>
          <t>Common / Comum</t>
        </is>
      </c>
      <c r="D2558" s="11" t="inlineStr">
        <is>
          <t>Destroy target artifact. / Destrói artefato-alvo.</t>
        </is>
      </c>
      <c r="E2558" s="11" t="inlineStr">
        <is>
          <t>{1}{R}</t>
        </is>
      </c>
      <c r="F2558" s="11" t="inlineStr">
        <is>
          <t>Vermelho</t>
        </is>
      </c>
      <c r="G2558" s="8" t="n">
        <v>0.05</v>
      </c>
      <c r="H2558" s="11" t="inlineStr">
        <is>
          <t>Fourth Edition</t>
        </is>
      </c>
      <c r="I2558" s="11" t="inlineStr">
        <is>
          <t>Não</t>
        </is>
      </c>
      <c r="J2558" s="11" t="n">
        <v>1995</v>
      </c>
      <c r="L2558" s="11" t="n">
        <v>3</v>
      </c>
      <c r="M2558" s="8">
        <f>L2558*G2558</f>
        <v/>
      </c>
      <c r="P2558" s="9" t="n"/>
    </row>
    <row r="2559">
      <c r="A2559" s="11" t="inlineStr">
        <is>
          <t>Flare / Detonação</t>
        </is>
      </c>
      <c r="B2559" s="11" t="inlineStr">
        <is>
          <t>Instant / Mágica Instantânea</t>
        </is>
      </c>
      <c r="C2559" s="11" t="inlineStr">
        <is>
          <t>Common / Comum</t>
        </is>
      </c>
      <c r="D2559" s="11" t="inlineStr">
        <is>
          <t>Flare deals 1 damage to any target. Draw a card at the beginning of the next turn's upkeep. / Detonação causa 1 ponto de dano a qualquer alvo. Compre um card no início da manutenção do próximo turno.</t>
        </is>
      </c>
      <c r="E2559" s="11" t="inlineStr">
        <is>
          <t>{2}{R}</t>
        </is>
      </c>
      <c r="F2559" s="11" t="inlineStr">
        <is>
          <t>Vermelho</t>
        </is>
      </c>
      <c r="G2559" s="8" t="n">
        <v>0.05</v>
      </c>
      <c r="H2559" s="11" t="inlineStr">
        <is>
          <t>Ice Age (ICE)</t>
        </is>
      </c>
      <c r="I2559" s="11" t="inlineStr">
        <is>
          <t>Não</t>
        </is>
      </c>
      <c r="J2559" s="11" t="n">
        <v>1995</v>
      </c>
      <c r="L2559" s="11" t="n">
        <v>3</v>
      </c>
      <c r="M2559" s="8">
        <f>L2559*G2559</f>
        <v/>
      </c>
      <c r="P2559" s="9" t="n"/>
    </row>
    <row r="2560">
      <c r="A2560" s="11" t="inlineStr">
        <is>
          <t>Retribution / Retribuição</t>
        </is>
      </c>
      <c r="B2560" s="11" t="inlineStr">
        <is>
          <t>Sorcery</t>
        </is>
      </c>
      <c r="C2560" s="11" t="inlineStr">
        <is>
          <t>Uncommon / Incomum</t>
        </is>
      </c>
      <c r="D2560" s="11" t="inlineStr">
        <is>
          <t>Choose two target creatures controlled by the same opponent. That player chooses and sacrifices one of those creatures. Put a -1/-1 counter on the other.</t>
        </is>
      </c>
      <c r="E2560" s="11" t="inlineStr">
        <is>
          <t>{2}{R}{R}</t>
        </is>
      </c>
      <c r="F2560" s="11" t="inlineStr">
        <is>
          <t>Vermelho</t>
        </is>
      </c>
      <c r="G2560" s="8" t="n">
        <v>0.12</v>
      </c>
      <c r="H2560" s="11" t="inlineStr">
        <is>
          <t>Homelands (HML)</t>
        </is>
      </c>
      <c r="I2560" s="11" t="inlineStr">
        <is>
          <t>Não</t>
        </is>
      </c>
      <c r="J2560" s="11" t="n">
        <v>1995</v>
      </c>
      <c r="L2560" s="11" t="n">
        <v>1</v>
      </c>
      <c r="M2560" s="8">
        <f>L2560*G2560</f>
        <v/>
      </c>
      <c r="P2560" s="9" t="n"/>
    </row>
    <row r="2561">
      <c r="A2561" s="11" t="inlineStr">
        <is>
          <t>Stone Rain / Chuva de Pedras</t>
        </is>
      </c>
      <c r="B2561" s="11" t="inlineStr">
        <is>
          <t>Sorcery / Feitiço</t>
        </is>
      </c>
      <c r="C2561" s="11" t="inlineStr">
        <is>
          <t>Common / Comum</t>
        </is>
      </c>
      <c r="D2561" s="11" t="inlineStr">
        <is>
          <t>Destroy target land. / Destrua o terreno alvo.</t>
        </is>
      </c>
      <c r="E2561" s="11" t="inlineStr">
        <is>
          <t>{2}{R}</t>
        </is>
      </c>
      <c r="F2561" s="11" t="inlineStr">
        <is>
          <t>Vermelho</t>
        </is>
      </c>
      <c r="G2561" s="8" t="n">
        <v>0.25</v>
      </c>
      <c r="H2561" s="11" t="inlineStr">
        <is>
          <t>Ice Age (ICE)</t>
        </is>
      </c>
      <c r="I2561" s="11" t="inlineStr">
        <is>
          <t>Não</t>
        </is>
      </c>
      <c r="J2561" s="11" t="n">
        <v>1995</v>
      </c>
      <c r="L2561" s="11" t="n">
        <v>3</v>
      </c>
      <c r="M2561" s="8">
        <f>L2561*G2561</f>
        <v/>
      </c>
      <c r="P2561" s="9" t="n"/>
    </row>
    <row r="2562">
      <c r="A2562" s="11" t="inlineStr">
        <is>
          <t>The Brute / O Bruto</t>
        </is>
      </c>
      <c r="B2562" s="11" t="inlineStr">
        <is>
          <t>Enchantment — Aura / Encantar Criatura</t>
        </is>
      </c>
      <c r="C2562" s="11" t="inlineStr">
        <is>
          <t>Common / Comum</t>
        </is>
      </c>
      <c r="D2562" s="11" t="inlineStr">
        <is>
          <t>Enchant creature Enchanted creature gets +1/+0. {R}{R}{R}: Regenerate enchanted creature. / A criatura-alvo ganha +1/+0. {R}{R}{R}: Regenera a criatura-alvo encantada pelo Bruto.</t>
        </is>
      </c>
      <c r="E2562" s="11" t="inlineStr">
        <is>
          <t>{1}{R}</t>
        </is>
      </c>
      <c r="F2562" s="11" t="inlineStr">
        <is>
          <t>Vermelho</t>
        </is>
      </c>
      <c r="G2562" s="8" t="n">
        <v>0.17</v>
      </c>
      <c r="H2562" s="11" t="inlineStr">
        <is>
          <t>Fourth Edition (BB)</t>
        </is>
      </c>
      <c r="I2562" s="11" t="inlineStr">
        <is>
          <t>Não</t>
        </is>
      </c>
      <c r="J2562" s="11" t="n">
        <v>1995</v>
      </c>
      <c r="L2562" s="11" t="n">
        <v>6</v>
      </c>
      <c r="M2562" s="8">
        <f>L2562*G2562</f>
        <v/>
      </c>
      <c r="P2562" s="9" t="n"/>
    </row>
    <row r="2563">
      <c r="A2563" s="11" t="inlineStr">
        <is>
          <t>The Brute / O Bruto</t>
        </is>
      </c>
      <c r="B2563" s="11" t="inlineStr">
        <is>
          <t>Enchantment — Aura / Encantar Criatura</t>
        </is>
      </c>
      <c r="C2563" s="11" t="inlineStr">
        <is>
          <t>Common / Comum</t>
        </is>
      </c>
      <c r="D2563" s="11" t="inlineStr">
        <is>
          <t>Enchant creature Enchanted creature gets +1/+0. {R}{R}{R}: Regenerate enchanted creature. / A criatura-alvo ganha +1/+0. {R}{R}{R}: Regenera a criatura-alvo encantada pelo Bruto.</t>
        </is>
      </c>
      <c r="E2563" s="11" t="inlineStr">
        <is>
          <t>{1}{R}</t>
        </is>
      </c>
      <c r="F2563" s="11" t="inlineStr">
        <is>
          <t>Vermelho</t>
        </is>
      </c>
      <c r="G2563" s="8" t="n">
        <v>0.05</v>
      </c>
      <c r="H2563" s="11" t="inlineStr">
        <is>
          <t>Fourth Edition</t>
        </is>
      </c>
      <c r="I2563" s="11" t="inlineStr">
        <is>
          <t>Não</t>
        </is>
      </c>
      <c r="J2563" s="11" t="n">
        <v>1995</v>
      </c>
      <c r="L2563" s="11" t="n">
        <v>2</v>
      </c>
      <c r="M2563" s="8">
        <f>L2563*G2563</f>
        <v/>
      </c>
      <c r="P2563" s="9" t="n"/>
    </row>
    <row r="2564">
      <c r="A2564" s="11" t="inlineStr">
        <is>
          <t>Immolation / Imolação</t>
        </is>
      </c>
      <c r="B2564" s="11" t="inlineStr">
        <is>
          <t>Enchantment — Aura / Encantar Criatura</t>
        </is>
      </c>
      <c r="C2564" s="11" t="inlineStr">
        <is>
          <t>Common / Comum</t>
        </is>
      </c>
      <c r="D2564" s="11" t="inlineStr">
        <is>
          <t>Enchant creature Enchanted creature gets +2/-2. / A criatura-alvo ganha +2/-2.</t>
        </is>
      </c>
      <c r="E2564" s="11" t="inlineStr">
        <is>
          <t>{R}</t>
        </is>
      </c>
      <c r="F2564" s="11" t="inlineStr">
        <is>
          <t>Vermelho</t>
        </is>
      </c>
      <c r="G2564" s="8" t="n">
        <v>0.15</v>
      </c>
      <c r="H2564" s="11" t="inlineStr">
        <is>
          <t>Fourth Edition (4ED)</t>
        </is>
      </c>
      <c r="I2564" s="11" t="inlineStr">
        <is>
          <t>Não</t>
        </is>
      </c>
      <c r="J2564" s="11" t="n">
        <v>1995</v>
      </c>
      <c r="L2564" s="11" t="n">
        <v>3</v>
      </c>
      <c r="M2564" s="8">
        <f>L2564*G2564</f>
        <v/>
      </c>
      <c r="P2564" s="9" t="n"/>
    </row>
    <row r="2565">
      <c r="A2565" s="11" t="inlineStr">
        <is>
          <t>Melting / Degelo</t>
        </is>
      </c>
      <c r="B2565" s="11" t="inlineStr">
        <is>
          <t>Enchantment</t>
        </is>
      </c>
      <c r="C2565" s="11" t="inlineStr">
        <is>
          <t>Uncommon / Incomum</t>
        </is>
      </c>
      <c r="D2565" s="11" t="inlineStr">
        <is>
          <t>All lands are no longer snow.</t>
        </is>
      </c>
      <c r="E2565" s="11" t="inlineStr">
        <is>
          <t>{3}{R}</t>
        </is>
      </c>
      <c r="F2565" s="11" t="inlineStr">
        <is>
          <t>Vermelho</t>
        </is>
      </c>
      <c r="G2565" s="8" t="n">
        <v>0.1</v>
      </c>
      <c r="H2565" s="11" t="inlineStr">
        <is>
          <t>Ice Age (ICE)</t>
        </is>
      </c>
      <c r="I2565" s="11" t="inlineStr">
        <is>
          <t>Não</t>
        </is>
      </c>
      <c r="J2565" s="11" t="n">
        <v>1995</v>
      </c>
      <c r="L2565" s="11" t="n">
        <v>1</v>
      </c>
      <c r="M2565" s="8">
        <f>L2565*G2565</f>
        <v/>
      </c>
      <c r="P2565" s="9" t="n"/>
    </row>
    <row r="2566">
      <c r="A2566" s="11" t="inlineStr">
        <is>
          <t>Barbarian Guides / Guias Bárbaros</t>
        </is>
      </c>
      <c r="B2566" s="11" t="inlineStr">
        <is>
          <t>Creature — Human Barbarian</t>
        </is>
      </c>
      <c r="C2566" s="11" t="inlineStr">
        <is>
          <t>Common / Comum</t>
        </is>
      </c>
      <c r="D2566" s="11" t="inlineStr">
        <is>
          <t>{2}{R}, {T}: Choose a land type. Target creature you control gains snow landwalk of the chosen type until end of turn. Return that creature to its owner's hand at the beginning of the next end step. (It can't be blocked as long as defending player controls a snow land of that type.)</t>
        </is>
      </c>
      <c r="E2566" s="11" t="inlineStr">
        <is>
          <t>{2}{R}</t>
        </is>
      </c>
      <c r="F2566" s="11" t="inlineStr">
        <is>
          <t>Vermelho</t>
        </is>
      </c>
      <c r="G2566" s="8" t="n">
        <v>0.05</v>
      </c>
      <c r="H2566" s="11" t="inlineStr">
        <is>
          <t>Ice Age (ICE)</t>
        </is>
      </c>
      <c r="I2566" s="11" t="inlineStr">
        <is>
          <t>Não</t>
        </is>
      </c>
      <c r="J2566" s="11" t="n">
        <v>1995</v>
      </c>
      <c r="K2566" s="10" t="n">
        <v>46054</v>
      </c>
      <c r="L2566" s="11" t="n">
        <v>3</v>
      </c>
      <c r="M2566" s="8">
        <f>L2566*G2566</f>
        <v/>
      </c>
      <c r="P2566" s="9" t="n"/>
    </row>
    <row r="2567">
      <c r="A2567" s="11" t="inlineStr">
        <is>
          <t>Bird Maiden / Donzela Alada</t>
        </is>
      </c>
      <c r="B2567" s="11" t="inlineStr">
        <is>
          <t>Creature — Human Bird</t>
        </is>
      </c>
      <c r="C2567" s="11" t="inlineStr">
        <is>
          <t>Common / Comum</t>
        </is>
      </c>
      <c r="D2567" s="11" t="inlineStr">
        <is>
          <t>Flying</t>
        </is>
      </c>
      <c r="E2567" s="11" t="inlineStr">
        <is>
          <t>{2}{R}</t>
        </is>
      </c>
      <c r="F2567" s="11" t="inlineStr">
        <is>
          <t>Vermelho</t>
        </is>
      </c>
      <c r="G2567" s="8" t="n">
        <v>0.06</v>
      </c>
      <c r="H2567" s="11" t="inlineStr">
        <is>
          <t>Fourth Edition (BB)</t>
        </is>
      </c>
      <c r="I2567" s="11" t="inlineStr">
        <is>
          <t>Não</t>
        </is>
      </c>
      <c r="J2567" s="11" t="n">
        <v>1995</v>
      </c>
      <c r="K2567" s="10" t="n">
        <v>46054</v>
      </c>
      <c r="L2567" s="11" t="n">
        <v>4</v>
      </c>
      <c r="M2567" s="8">
        <f>L2567*G2567</f>
        <v/>
      </c>
      <c r="P2567" s="9" t="n"/>
    </row>
    <row r="2568">
      <c r="A2568" s="11" t="inlineStr">
        <is>
          <t>Bird Maiden / Donzela Alada</t>
        </is>
      </c>
      <c r="B2568" s="11" t="inlineStr">
        <is>
          <t>Creature — Human Bird</t>
        </is>
      </c>
      <c r="C2568" s="11" t="inlineStr">
        <is>
          <t>Common / Comum</t>
        </is>
      </c>
      <c r="D2568" s="11" t="inlineStr">
        <is>
          <t>Flying</t>
        </is>
      </c>
      <c r="E2568" s="11" t="inlineStr">
        <is>
          <t>{2}{R}</t>
        </is>
      </c>
      <c r="F2568" s="11" t="inlineStr">
        <is>
          <t>Vermelho</t>
        </is>
      </c>
      <c r="G2568" s="8" t="n">
        <v>0.03</v>
      </c>
      <c r="H2568" s="11" t="inlineStr">
        <is>
          <t>Fourth Edition</t>
        </is>
      </c>
      <c r="I2568" s="11" t="inlineStr">
        <is>
          <t>Não</t>
        </is>
      </c>
      <c r="J2568" s="11" t="n">
        <v>1995</v>
      </c>
      <c r="K2568" s="10" t="n">
        <v>46054</v>
      </c>
      <c r="L2568" s="11" t="n">
        <v>4</v>
      </c>
      <c r="M2568" s="8">
        <f>L2568*G2568</f>
        <v/>
      </c>
      <c r="P2568" s="9" t="n"/>
    </row>
    <row r="2569">
      <c r="A2569" s="11" t="inlineStr">
        <is>
          <t>Ali Baba</t>
        </is>
      </c>
      <c r="B2569" s="11" t="inlineStr">
        <is>
          <t>Creature — Human Rogue</t>
        </is>
      </c>
      <c r="C2569" s="11" t="inlineStr">
        <is>
          <t>Uncommon / Incomum</t>
        </is>
      </c>
      <c r="D2569" s="11" t="inlineStr">
        <is>
          <t>{R}: Tap target Wall.</t>
        </is>
      </c>
      <c r="E2569" s="11" t="inlineStr">
        <is>
          <t>{R}</t>
        </is>
      </c>
      <c r="F2569" s="11" t="inlineStr">
        <is>
          <t>Vermelho</t>
        </is>
      </c>
      <c r="G2569" s="8" t="n">
        <v>0.23</v>
      </c>
      <c r="H2569" s="11" t="inlineStr">
        <is>
          <t>Fourth Edition</t>
        </is>
      </c>
      <c r="I2569" s="11" t="inlineStr">
        <is>
          <t>Não</t>
        </is>
      </c>
      <c r="J2569" s="11" t="n">
        <v>1995</v>
      </c>
      <c r="K2569" s="10" t="n">
        <v>46023</v>
      </c>
      <c r="L2569" s="11" t="n">
        <v>2</v>
      </c>
      <c r="M2569" s="8">
        <f>L2569*G2569</f>
        <v/>
      </c>
      <c r="P2569" s="9" t="n"/>
    </row>
    <row r="2570">
      <c r="A2570" s="11" t="inlineStr">
        <is>
          <t>Orcish Veteran</t>
        </is>
      </c>
      <c r="B2570" s="11" t="inlineStr">
        <is>
          <t>Creature — Orc</t>
        </is>
      </c>
      <c r="C2570" s="11" t="inlineStr">
        <is>
          <t>Common / Comum</t>
        </is>
      </c>
      <c r="D2570" s="11" t="inlineStr">
        <is>
          <t>This creature can't block white creatures with power 2 or greater. {R}: This creature gains first strike until end of turn.</t>
        </is>
      </c>
      <c r="E2570" s="11" t="inlineStr">
        <is>
          <t>{2}{R}</t>
        </is>
      </c>
      <c r="F2570" s="11" t="inlineStr">
        <is>
          <t>Vermelho</t>
        </is>
      </c>
      <c r="G2570" s="8" t="n">
        <v>0.2</v>
      </c>
      <c r="H2570" s="11" t="inlineStr">
        <is>
          <t>Fallen Empires (FEM)</t>
        </is>
      </c>
      <c r="I2570" s="11" t="inlineStr">
        <is>
          <t>Não</t>
        </is>
      </c>
      <c r="J2570" s="11" t="n">
        <v>1994</v>
      </c>
      <c r="K2570" s="10" t="n">
        <v>46055</v>
      </c>
      <c r="L2570" s="11" t="n">
        <v>2</v>
      </c>
      <c r="M2570" s="8">
        <f>L2570*G2570</f>
        <v/>
      </c>
      <c r="P2570" s="9" t="n"/>
    </row>
    <row r="2571">
      <c r="A2571" s="11" t="inlineStr">
        <is>
          <t>Orcish Veteran</t>
        </is>
      </c>
      <c r="B2571" s="11" t="inlineStr">
        <is>
          <t>Creature — Orc</t>
        </is>
      </c>
      <c r="C2571" s="11" t="inlineStr">
        <is>
          <t>Common / Comum</t>
        </is>
      </c>
      <c r="D2571" s="11" t="inlineStr">
        <is>
          <t>This creature can't block white creatures with power 2 or greater. {R}: This creature gains first strike until end of turn.</t>
        </is>
      </c>
      <c r="E2571" s="11" t="inlineStr">
        <is>
          <t>{2}{R}</t>
        </is>
      </c>
      <c r="F2571" s="11" t="inlineStr">
        <is>
          <t>Vermelho</t>
        </is>
      </c>
      <c r="G2571" s="8" t="n">
        <v>0.24</v>
      </c>
      <c r="H2571" s="11" t="inlineStr">
        <is>
          <t>Fallen Empires (FEM)</t>
        </is>
      </c>
      <c r="I2571" s="11" t="inlineStr">
        <is>
          <t>Não</t>
        </is>
      </c>
      <c r="J2571" s="11" t="n">
        <v>1994</v>
      </c>
      <c r="K2571" s="10" t="n">
        <v>46055</v>
      </c>
      <c r="L2571" s="11" t="n">
        <v>1</v>
      </c>
      <c r="M2571" s="8">
        <f>L2571*G2571</f>
        <v/>
      </c>
      <c r="P2571" s="9" t="n"/>
    </row>
    <row r="2572">
      <c r="A2572" s="11" t="inlineStr">
        <is>
          <t>Orcish Veteran</t>
        </is>
      </c>
      <c r="B2572" s="11" t="inlineStr">
        <is>
          <t>Creature — Orc</t>
        </is>
      </c>
      <c r="C2572" s="11" t="inlineStr">
        <is>
          <t>Common / Comum</t>
        </is>
      </c>
      <c r="D2572" s="11" t="inlineStr">
        <is>
          <t>This creature can't block white creatures with power 2 or greater. {R}: This creature gains first strike until end of turn.</t>
        </is>
      </c>
      <c r="E2572" s="11" t="inlineStr">
        <is>
          <t>{2}{R}</t>
        </is>
      </c>
      <c r="F2572" s="11" t="inlineStr">
        <is>
          <t>Vermelho</t>
        </is>
      </c>
      <c r="G2572" s="8" t="n">
        <v>0.2</v>
      </c>
      <c r="H2572" s="11" t="inlineStr">
        <is>
          <t>Fallen Empires (FEM)</t>
        </is>
      </c>
      <c r="I2572" s="11" t="inlineStr">
        <is>
          <t>Não</t>
        </is>
      </c>
      <c r="J2572" s="11" t="n">
        <v>1994</v>
      </c>
      <c r="K2572" s="10" t="n">
        <v>46055</v>
      </c>
      <c r="L2572" s="11" t="n">
        <v>1</v>
      </c>
      <c r="M2572" s="8">
        <f>L2572*G2572</f>
        <v/>
      </c>
      <c r="P2572" s="9" t="n"/>
    </row>
    <row r="2573">
      <c r="A2573" s="11" t="inlineStr">
        <is>
          <t>Uthden Troll / Trol de Uthden</t>
        </is>
      </c>
      <c r="B2573" s="11" t="inlineStr">
        <is>
          <t>Creature — Troll / Criatura — Trol</t>
        </is>
      </c>
      <c r="C2573" s="11" t="inlineStr">
        <is>
          <t>Uncommon / Incomum</t>
        </is>
      </c>
      <c r="D2573" s="11" t="inlineStr">
        <is>
          <t>{R}: Regenerate this creature. / {R}: Regenere Trol de Uthden.</t>
        </is>
      </c>
      <c r="E2573" s="11" t="inlineStr">
        <is>
          <t>{2}{R}</t>
        </is>
      </c>
      <c r="F2573" s="11" t="inlineStr">
        <is>
          <t>Vermelho</t>
        </is>
      </c>
      <c r="G2573" s="8" t="n">
        <v>0.48</v>
      </c>
      <c r="H2573" s="11" t="inlineStr">
        <is>
          <t>Fourth Edition (BB)</t>
        </is>
      </c>
      <c r="I2573" s="11" t="inlineStr">
        <is>
          <t>Não</t>
        </is>
      </c>
      <c r="J2573" s="11" t="n">
        <v>1995</v>
      </c>
      <c r="K2573" s="10" t="n">
        <v>46055</v>
      </c>
      <c r="L2573" s="11" t="n">
        <v>1</v>
      </c>
      <c r="M2573" s="8">
        <f>L2573*G2573</f>
        <v/>
      </c>
      <c r="P2573" s="9" t="n"/>
    </row>
    <row r="2574">
      <c r="A2574" s="11" t="inlineStr">
        <is>
          <t>Uthden Troll / Trol de Uthden</t>
        </is>
      </c>
      <c r="B2574" s="11" t="inlineStr">
        <is>
          <t>Creature — Troll / Criatura — Trol</t>
        </is>
      </c>
      <c r="C2574" s="11" t="inlineStr">
        <is>
          <t>Uncommon / Incomum</t>
        </is>
      </c>
      <c r="D2574" s="11" t="inlineStr">
        <is>
          <t>{R}: Regenerate this creature. / {R}: Regenere Trol de Uthden.</t>
        </is>
      </c>
      <c r="E2574" s="11" t="inlineStr">
        <is>
          <t>{2}{R}</t>
        </is>
      </c>
      <c r="F2574" s="11" t="inlineStr">
        <is>
          <t>Vermelho</t>
        </is>
      </c>
      <c r="G2574" s="8" t="n">
        <v>0.2</v>
      </c>
      <c r="H2574" s="11" t="inlineStr">
        <is>
          <t xml:space="preserve">Fourth Edition </t>
        </is>
      </c>
      <c r="I2574" s="11" t="inlineStr">
        <is>
          <t>Não</t>
        </is>
      </c>
      <c r="J2574" s="11" t="n">
        <v>1995</v>
      </c>
      <c r="K2574" s="10" t="n">
        <v>46055</v>
      </c>
      <c r="L2574" s="11" t="n">
        <v>2</v>
      </c>
      <c r="M2574" s="8">
        <f>L2574*G2574</f>
        <v/>
      </c>
      <c r="P2574" s="9" t="n"/>
    </row>
    <row r="2575">
      <c r="A2575" s="11" t="inlineStr">
        <is>
          <t>Tor Giant / Gigante dos Picos Rochosos</t>
        </is>
      </c>
      <c r="B2575" s="11" t="inlineStr">
        <is>
          <t>Creature — Giant</t>
        </is>
      </c>
      <c r="C2575" s="11" t="inlineStr">
        <is>
          <t>Common / Comum</t>
        </is>
      </c>
      <c r="E2575" s="11" t="inlineStr">
        <is>
          <t>{3}{R}</t>
        </is>
      </c>
      <c r="F2575" s="11" t="inlineStr">
        <is>
          <t>Vermelho</t>
        </is>
      </c>
      <c r="G2575" s="8" t="n">
        <v>0.04</v>
      </c>
      <c r="H2575" s="11" t="inlineStr">
        <is>
          <t>Ice Age (ICE)</t>
        </is>
      </c>
      <c r="I2575" s="11" t="inlineStr">
        <is>
          <t>Não</t>
        </is>
      </c>
      <c r="J2575" s="11" t="n">
        <v>1995</v>
      </c>
      <c r="K2575" s="10" t="n">
        <v>46084</v>
      </c>
      <c r="L2575" s="11" t="n">
        <v>2</v>
      </c>
      <c r="M2575" s="8">
        <f>L2575*G2575</f>
        <v/>
      </c>
      <c r="P2575" s="9" t="n"/>
    </row>
    <row r="2576">
      <c r="A2576" s="11" t="inlineStr">
        <is>
          <t>Karplusan Giant / Gigante Karplusano</t>
        </is>
      </c>
      <c r="B2576" s="11" t="inlineStr">
        <is>
          <t>Creature — Giant</t>
        </is>
      </c>
      <c r="C2576" s="11" t="inlineStr">
        <is>
          <t>Uncommon / Incomum</t>
        </is>
      </c>
      <c r="D2576" s="11" t="inlineStr">
        <is>
          <t>Tap an untapped snow land you control: This creature gets +1/+1 until end of turn.</t>
        </is>
      </c>
      <c r="E2576" s="11" t="inlineStr">
        <is>
          <t>{6}{R}</t>
        </is>
      </c>
      <c r="F2576" s="11" t="inlineStr">
        <is>
          <t>Vermelho</t>
        </is>
      </c>
      <c r="G2576" s="8" t="n">
        <v>0.1</v>
      </c>
      <c r="H2576" s="11" t="inlineStr">
        <is>
          <t>Ice Age (ICE)</t>
        </is>
      </c>
      <c r="I2576" s="11" t="inlineStr">
        <is>
          <t>Não</t>
        </is>
      </c>
      <c r="J2576" s="11" t="n">
        <v>1995</v>
      </c>
      <c r="K2576" s="10" t="n">
        <v>46084</v>
      </c>
      <c r="L2576" s="11" t="n">
        <v>1</v>
      </c>
      <c r="M2576" s="8">
        <f>L2576*G2576</f>
        <v/>
      </c>
      <c r="P2576" s="9" t="n"/>
    </row>
    <row r="2577">
      <c r="A2577" s="11" t="inlineStr">
        <is>
          <t>Hill Giant / Gigante da Colina</t>
        </is>
      </c>
      <c r="B2577" s="11" t="inlineStr">
        <is>
          <t>Creature — Giant / Criatura — Gigante</t>
        </is>
      </c>
      <c r="C2577" s="11" t="inlineStr">
        <is>
          <t>Common / Comum</t>
        </is>
      </c>
      <c r="E2577" s="11" t="inlineStr">
        <is>
          <t>{3}{R}</t>
        </is>
      </c>
      <c r="F2577" s="11" t="inlineStr">
        <is>
          <t>Vermelho</t>
        </is>
      </c>
      <c r="G2577" s="8" t="n">
        <v>0.08</v>
      </c>
      <c r="H2577" s="11" t="inlineStr">
        <is>
          <t>Fourth Edition (BB)</t>
        </is>
      </c>
      <c r="I2577" s="11" t="inlineStr">
        <is>
          <t>Não</t>
        </is>
      </c>
      <c r="J2577" s="11" t="n">
        <v>1995</v>
      </c>
      <c r="K2577" s="10" t="n">
        <v>46055</v>
      </c>
      <c r="L2577" s="11" t="n">
        <v>3</v>
      </c>
      <c r="M2577" s="8">
        <f>L2577*G2577</f>
        <v/>
      </c>
      <c r="P2577" s="9" t="n"/>
    </row>
    <row r="2578">
      <c r="A2578" s="11" t="inlineStr">
        <is>
          <t>Hill Giant / Gigante da Colina</t>
        </is>
      </c>
      <c r="B2578" s="11" t="inlineStr">
        <is>
          <t>Creature — Giant / Criatura — Gigante</t>
        </is>
      </c>
      <c r="C2578" s="11" t="inlineStr">
        <is>
          <t>Common / Comum</t>
        </is>
      </c>
      <c r="E2578" s="11" t="inlineStr">
        <is>
          <t>{3}{R}</t>
        </is>
      </c>
      <c r="F2578" s="11" t="inlineStr">
        <is>
          <t>Vermelho</t>
        </is>
      </c>
      <c r="G2578" s="8" t="n">
        <v>0.05</v>
      </c>
      <c r="H2578" s="11" t="inlineStr">
        <is>
          <t>Fourth Edition</t>
        </is>
      </c>
      <c r="I2578" s="11" t="inlineStr">
        <is>
          <t>Não</t>
        </is>
      </c>
      <c r="J2578" s="11" t="n">
        <v>1995</v>
      </c>
      <c r="K2578" s="10" t="n">
        <v>46055</v>
      </c>
      <c r="L2578" s="11" t="n">
        <v>2</v>
      </c>
      <c r="M2578" s="8">
        <f>L2578*G2578</f>
        <v/>
      </c>
      <c r="P2578" s="9" t="n"/>
    </row>
    <row r="2579">
      <c r="A2579" s="11" t="inlineStr">
        <is>
          <t>Hill Giant / Gigante da Colina</t>
        </is>
      </c>
      <c r="B2579" s="11" t="inlineStr">
        <is>
          <t>Creature — Giant / Criatura — Gigante</t>
        </is>
      </c>
      <c r="C2579" s="11" t="inlineStr">
        <is>
          <t>Common / Comum</t>
        </is>
      </c>
      <c r="E2579" s="11" t="inlineStr">
        <is>
          <t>{3}{R}</t>
        </is>
      </c>
      <c r="F2579" s="11" t="inlineStr">
        <is>
          <t>Vermelho</t>
        </is>
      </c>
      <c r="G2579" s="8" t="n">
        <v>0.09</v>
      </c>
      <c r="H2579" s="11" t="inlineStr">
        <is>
          <t>Revised Edition</t>
        </is>
      </c>
      <c r="I2579" s="11" t="inlineStr">
        <is>
          <t>Não</t>
        </is>
      </c>
      <c r="J2579" s="11" t="n">
        <v>1995</v>
      </c>
      <c r="K2579" s="10" t="n">
        <v>46055</v>
      </c>
      <c r="L2579" s="11" t="n">
        <v>2</v>
      </c>
      <c r="M2579" s="8">
        <f>L2579*G2579</f>
        <v/>
      </c>
      <c r="P2579" s="9" t="n"/>
    </row>
    <row r="2580">
      <c r="A2580" s="11" t="inlineStr">
        <is>
          <t>Dwarven Trader / Comerciante Anão</t>
        </is>
      </c>
      <c r="B2580" s="11" t="inlineStr">
        <is>
          <t>Creature — Dwarf</t>
        </is>
      </c>
      <c r="C2580" s="11" t="inlineStr">
        <is>
          <t>Common / Comum</t>
        </is>
      </c>
      <c r="E2580" s="11" t="inlineStr">
        <is>
          <t>{R}</t>
        </is>
      </c>
      <c r="F2580" s="11" t="inlineStr">
        <is>
          <t>Vermelho</t>
        </is>
      </c>
      <c r="G2580" s="8" t="n">
        <v>0.09</v>
      </c>
      <c r="H2580" s="11" t="inlineStr">
        <is>
          <t>Homelands (HML)</t>
        </is>
      </c>
      <c r="I2580" s="11" t="inlineStr">
        <is>
          <t>Não</t>
        </is>
      </c>
      <c r="J2580" s="11" t="n">
        <v>1995</v>
      </c>
      <c r="K2580" s="10" t="n">
        <v>46023</v>
      </c>
      <c r="L2580" s="11" t="n">
        <v>3</v>
      </c>
      <c r="M2580" s="8">
        <f>L2580*G2580</f>
        <v/>
      </c>
      <c r="P2580" s="9" t="n"/>
    </row>
    <row r="2581">
      <c r="A2581" s="11" t="inlineStr">
        <is>
          <t>Cave People / Povo da Caverna</t>
        </is>
      </c>
      <c r="B2581" s="11" t="inlineStr">
        <is>
          <t>Creature — Human</t>
        </is>
      </c>
      <c r="C2581" s="11" t="inlineStr">
        <is>
          <t>Uncommon / Incomum</t>
        </is>
      </c>
      <c r="D2581" s="11" t="inlineStr">
        <is>
          <t>Whenever this creature attacks, it gets +1/-2 until end of turn. {1}{R}{R}, {T}: Target creature gains mountainwalk until end of turn. (It can't be blocked as long as defending player controls a Mountain.)</t>
        </is>
      </c>
      <c r="E2581" s="11" t="inlineStr">
        <is>
          <t>{1}{R}{R}</t>
        </is>
      </c>
      <c r="F2581" s="11" t="inlineStr">
        <is>
          <t>Vermelho</t>
        </is>
      </c>
      <c r="G2581" s="8" t="n">
        <v>0.2</v>
      </c>
      <c r="H2581" s="11" t="inlineStr">
        <is>
          <t>Fourth Edition (BB)</t>
        </is>
      </c>
      <c r="I2581" s="11" t="inlineStr">
        <is>
          <t>Não</t>
        </is>
      </c>
      <c r="J2581" s="11" t="n">
        <v>1995</v>
      </c>
      <c r="K2581" s="10" t="n">
        <v>46113</v>
      </c>
      <c r="L2581" s="11" t="n">
        <v>2</v>
      </c>
      <c r="M2581" s="8">
        <f>L2581*G2581</f>
        <v/>
      </c>
      <c r="P2581" s="9" t="n"/>
    </row>
    <row r="2582">
      <c r="A2582" s="11" t="inlineStr">
        <is>
          <t>Cave People / Povo da Caverna</t>
        </is>
      </c>
      <c r="B2582" s="11" t="inlineStr">
        <is>
          <t>Creature — Human</t>
        </is>
      </c>
      <c r="C2582" s="11" t="inlineStr">
        <is>
          <t>Uncommon / Incomum</t>
        </is>
      </c>
      <c r="D2582" s="11" t="inlineStr">
        <is>
          <t>Whenever this creature attacks, it gets +1/-2 until end of turn. {1}{R}{R}, {T}: Target creature gains mountainwalk until end of turn. (It can't be blocked as long as defending player controls a Mountain.)</t>
        </is>
      </c>
      <c r="E2582" s="11" t="inlineStr">
        <is>
          <t>{1}{R}{R}</t>
        </is>
      </c>
      <c r="F2582" s="11" t="inlineStr">
        <is>
          <t>Vermelho</t>
        </is>
      </c>
      <c r="G2582" s="8" t="n">
        <v>0.1</v>
      </c>
      <c r="H2582" s="11" t="inlineStr">
        <is>
          <t>Fourth Edition</t>
        </is>
      </c>
      <c r="I2582" s="11" t="inlineStr">
        <is>
          <t>Não</t>
        </is>
      </c>
      <c r="J2582" s="11" t="n">
        <v>1995</v>
      </c>
      <c r="K2582" s="10" t="n">
        <v>46113</v>
      </c>
      <c r="L2582" s="11" t="n">
        <v>1</v>
      </c>
      <c r="M2582" s="8">
        <f>L2582*G2582</f>
        <v/>
      </c>
      <c r="P2582" s="9" t="n"/>
    </row>
    <row r="2583">
      <c r="A2583" s="11" t="inlineStr">
        <is>
          <t>Goblin Rock Sled / Martelo de Pedra Goblin</t>
        </is>
      </c>
      <c r="B2583" s="11" t="inlineStr">
        <is>
          <t>Creature — Goblin</t>
        </is>
      </c>
      <c r="C2583" s="11" t="inlineStr">
        <is>
          <t>Common / Comum</t>
        </is>
      </c>
      <c r="D2583" s="11" t="inlineStr">
        <is>
          <t>Trample This creature doesn't untap during your untap step if it attacked during your last turn. This creature can't attack unless defending player controls a Mountain.</t>
        </is>
      </c>
      <c r="E2583" s="11" t="inlineStr">
        <is>
          <t>{1}{R}</t>
        </is>
      </c>
      <c r="F2583" s="11" t="inlineStr">
        <is>
          <t>Vermelho</t>
        </is>
      </c>
      <c r="G2583" s="8" t="n">
        <v>0.17</v>
      </c>
      <c r="H2583" s="11" t="inlineStr">
        <is>
          <t>Fourth Edition (BB)</t>
        </is>
      </c>
      <c r="I2583" s="11" t="inlineStr">
        <is>
          <t>Não</t>
        </is>
      </c>
      <c r="J2583" s="11" t="n">
        <v>1995</v>
      </c>
      <c r="K2583" s="10" t="n">
        <v>46025</v>
      </c>
      <c r="L2583" s="11" t="n">
        <v>6</v>
      </c>
      <c r="M2583" s="8">
        <f>L2583*G2583</f>
        <v/>
      </c>
      <c r="P2583" s="9" t="n"/>
    </row>
    <row r="2584">
      <c r="A2584" s="11" t="inlineStr">
        <is>
          <t>Goblin Rock Sled / Martelo de Pedra Goblin</t>
        </is>
      </c>
      <c r="B2584" s="11" t="inlineStr">
        <is>
          <t>Creature — Goblin</t>
        </is>
      </c>
      <c r="C2584" s="11" t="inlineStr">
        <is>
          <t>Common / Comum</t>
        </is>
      </c>
      <c r="D2584" s="11" t="inlineStr">
        <is>
          <t>Trample This creature doesn't untap during your untap step if it attacked during your last turn. This creature can't attack unless defending player controls a Mountain.</t>
        </is>
      </c>
      <c r="E2584" s="11" t="inlineStr">
        <is>
          <t>{1}{R}</t>
        </is>
      </c>
      <c r="F2584" s="11" t="inlineStr">
        <is>
          <t>Vermelho</t>
        </is>
      </c>
      <c r="G2584" s="8" t="n">
        <v>0.08</v>
      </c>
      <c r="H2584" s="11" t="inlineStr">
        <is>
          <t>Fourth Edition</t>
        </is>
      </c>
      <c r="I2584" s="11" t="inlineStr">
        <is>
          <t>Não</t>
        </is>
      </c>
      <c r="J2584" s="11" t="n">
        <v>1995</v>
      </c>
      <c r="K2584" s="10" t="n">
        <v>46025</v>
      </c>
      <c r="L2584" s="11" t="n">
        <v>3</v>
      </c>
      <c r="M2584" s="8">
        <f>L2584*G2584</f>
        <v/>
      </c>
      <c r="P2584" s="9" t="n"/>
    </row>
    <row r="2585">
      <c r="A2585" s="11" t="inlineStr">
        <is>
          <t>Hurloon Minotaur / Minotauro de Hurloon</t>
        </is>
      </c>
      <c r="B2585" s="11" t="inlineStr">
        <is>
          <t>Creature — Minotaur</t>
        </is>
      </c>
      <c r="C2585" s="11" t="inlineStr">
        <is>
          <t>Common / Comum</t>
        </is>
      </c>
      <c r="E2585" s="11" t="inlineStr">
        <is>
          <t>{1}{R}{R}</t>
        </is>
      </c>
      <c r="F2585" s="11" t="inlineStr">
        <is>
          <t>Vermelho</t>
        </is>
      </c>
      <c r="G2585" s="8" t="n">
        <v>0.08</v>
      </c>
      <c r="H2585" s="11" t="inlineStr">
        <is>
          <t>Fourth Edition (BB)</t>
        </is>
      </c>
      <c r="I2585" s="11" t="inlineStr">
        <is>
          <t>Não</t>
        </is>
      </c>
      <c r="J2585" s="11" t="n">
        <v>1995</v>
      </c>
      <c r="K2585" s="10" t="n">
        <v>46083</v>
      </c>
      <c r="L2585" s="11" t="n">
        <v>4</v>
      </c>
      <c r="M2585" s="8">
        <f>L2585*G2585</f>
        <v/>
      </c>
      <c r="P2585" s="9" t="n"/>
    </row>
    <row r="2586">
      <c r="A2586" s="11" t="inlineStr">
        <is>
          <t>Hurloon Minotaur / Minotauro de Hurloon</t>
        </is>
      </c>
      <c r="B2586" s="11" t="inlineStr">
        <is>
          <t>Creature — Minotaur</t>
        </is>
      </c>
      <c r="C2586" s="11" t="inlineStr">
        <is>
          <t>Common / Comum</t>
        </is>
      </c>
      <c r="E2586" s="11" t="inlineStr">
        <is>
          <t>{1}{R}{R}</t>
        </is>
      </c>
      <c r="F2586" s="11" t="inlineStr">
        <is>
          <t>Vermelho</t>
        </is>
      </c>
      <c r="G2586" s="8" t="n">
        <v>0.05</v>
      </c>
      <c r="H2586" s="11" t="inlineStr">
        <is>
          <t>Fourth Edition</t>
        </is>
      </c>
      <c r="I2586" s="11" t="inlineStr">
        <is>
          <t>Não</t>
        </is>
      </c>
      <c r="J2586" s="11" t="n">
        <v>1995</v>
      </c>
      <c r="K2586" s="10" t="n">
        <v>46083</v>
      </c>
      <c r="L2586" s="11" t="n">
        <v>3</v>
      </c>
      <c r="M2586" s="8">
        <f>L2586*G2586</f>
        <v/>
      </c>
      <c r="P2586" s="9" t="n"/>
    </row>
    <row r="2587">
      <c r="A2587" s="11" t="inlineStr">
        <is>
          <t>Hurloon Minotaur / Minotauro de Hurloon</t>
        </is>
      </c>
      <c r="B2587" s="11" t="inlineStr">
        <is>
          <t>Creature — Minotaur</t>
        </is>
      </c>
      <c r="C2587" s="11" t="inlineStr">
        <is>
          <t>Common / Comum</t>
        </is>
      </c>
      <c r="E2587" s="11" t="inlineStr">
        <is>
          <t>{1}{R}{R}</t>
        </is>
      </c>
      <c r="F2587" s="11" t="inlineStr">
        <is>
          <t>Vermelho</t>
        </is>
      </c>
      <c r="G2587" s="8" t="n">
        <v>0.1</v>
      </c>
      <c r="H2587" s="11" t="inlineStr">
        <is>
          <t>Revised Edition</t>
        </is>
      </c>
      <c r="I2587" s="11" t="inlineStr">
        <is>
          <t>Não</t>
        </is>
      </c>
      <c r="J2587" s="11" t="n">
        <v>1994</v>
      </c>
      <c r="K2587" s="10" t="n">
        <v>46083</v>
      </c>
      <c r="L2587" s="11" t="n">
        <v>1</v>
      </c>
      <c r="M2587" s="8">
        <f>L2587*G2587</f>
        <v/>
      </c>
      <c r="P2587" s="9" t="n"/>
    </row>
    <row r="2588">
      <c r="A2588" s="11" t="inlineStr">
        <is>
          <t>Goblin Digging Team / Grupo de Goblins Escavadores</t>
        </is>
      </c>
      <c r="B2588" s="11" t="inlineStr">
        <is>
          <t>Creature — Goblin</t>
        </is>
      </c>
      <c r="C2588" s="11" t="inlineStr">
        <is>
          <t>Common / Comum</t>
        </is>
      </c>
      <c r="D2588" s="11" t="inlineStr">
        <is>
          <t>{T}, Sacrifice this creature: Destroy target Wall.</t>
        </is>
      </c>
      <c r="E2588" s="11" t="inlineStr">
        <is>
          <t>{R}</t>
        </is>
      </c>
      <c r="F2588" s="11" t="inlineStr">
        <is>
          <t>Vermelho</t>
        </is>
      </c>
      <c r="G2588" s="8" t="n">
        <v>0.09</v>
      </c>
      <c r="H2588" s="11" t="inlineStr">
        <is>
          <t xml:space="preserve">Chronicles </t>
        </is>
      </c>
      <c r="I2588" s="11" t="inlineStr">
        <is>
          <t>Não</t>
        </is>
      </c>
      <c r="J2588" s="11" t="n">
        <v>1995</v>
      </c>
      <c r="K2588" s="10" t="n">
        <v>46023</v>
      </c>
      <c r="L2588" s="11" t="n">
        <v>2</v>
      </c>
      <c r="M2588" s="8">
        <f>L2588*G2588</f>
        <v/>
      </c>
      <c r="P2588" s="9" t="n"/>
    </row>
    <row r="2589">
      <c r="A2589" s="11" t="inlineStr">
        <is>
          <t>Ironclaw Orcs / Orcs da Garra de Ferro</t>
        </is>
      </c>
      <c r="B2589" s="11" t="inlineStr">
        <is>
          <t>Creature — Orc</t>
        </is>
      </c>
      <c r="C2589" s="11" t="inlineStr">
        <is>
          <t>Common / Comum</t>
        </is>
      </c>
      <c r="D2589" s="11" t="inlineStr">
        <is>
          <t>This creature can't block creatures with power 2 or greater.</t>
        </is>
      </c>
      <c r="E2589" s="11" t="inlineStr">
        <is>
          <t>{1}{R}</t>
        </is>
      </c>
      <c r="F2589" s="11" t="inlineStr">
        <is>
          <t>Vermelho</t>
        </is>
      </c>
      <c r="G2589" s="8" t="n">
        <v>0.18</v>
      </c>
      <c r="H2589" s="11" t="inlineStr">
        <is>
          <t>Fourth Edition (BB)</t>
        </is>
      </c>
      <c r="I2589" s="11" t="inlineStr">
        <is>
          <t>Não</t>
        </is>
      </c>
      <c r="J2589" s="11" t="n">
        <v>1995</v>
      </c>
      <c r="K2589" s="10" t="n">
        <v>46055</v>
      </c>
      <c r="L2589" s="11" t="n">
        <v>6</v>
      </c>
      <c r="M2589" s="8">
        <f>L2589*G2589</f>
        <v/>
      </c>
      <c r="P2589" s="9" t="n"/>
    </row>
    <row r="2590">
      <c r="A2590" s="11" t="inlineStr">
        <is>
          <t>Ironclaw Orcs / Orcs da Garra de Ferro</t>
        </is>
      </c>
      <c r="B2590" s="11" t="inlineStr">
        <is>
          <t>Creature — Orc</t>
        </is>
      </c>
      <c r="C2590" s="11" t="inlineStr">
        <is>
          <t>Common / Comum</t>
        </is>
      </c>
      <c r="D2590" s="11" t="inlineStr">
        <is>
          <t>This creature can't block creatures with power 2 or greater.</t>
        </is>
      </c>
      <c r="E2590" s="11" t="inlineStr">
        <is>
          <t>{1}{R}</t>
        </is>
      </c>
      <c r="F2590" s="11" t="inlineStr">
        <is>
          <t>Vermelho</t>
        </is>
      </c>
      <c r="G2590" s="8" t="n">
        <v>0.05</v>
      </c>
      <c r="H2590" s="11" t="inlineStr">
        <is>
          <t>Fourth Edition</t>
        </is>
      </c>
      <c r="I2590" s="11" t="inlineStr">
        <is>
          <t>Não</t>
        </is>
      </c>
      <c r="J2590" s="11" t="n">
        <v>1995</v>
      </c>
      <c r="K2590" s="10" t="n">
        <v>46055</v>
      </c>
      <c r="L2590" s="11" t="n">
        <v>5</v>
      </c>
      <c r="M2590" s="8">
        <f>L2590*G2590</f>
        <v/>
      </c>
      <c r="P2590" s="9" t="n"/>
    </row>
    <row r="2591">
      <c r="A2591" s="11" t="inlineStr">
        <is>
          <t>Sabretooth Tiger / Tigre Dentes-de-sabre</t>
        </is>
      </c>
      <c r="B2591" s="11" t="inlineStr">
        <is>
          <t>Creature — Cat / Criatura — Gato</t>
        </is>
      </c>
      <c r="C2591" s="11" t="inlineStr">
        <is>
          <t>Common / Comum</t>
        </is>
      </c>
      <c r="D2591" s="11" t="inlineStr">
        <is>
          <t>First strike / Iniciativa (Esta criatura causa dano de combate antes de criaturas sem a habilidade de iniciativa.)</t>
        </is>
      </c>
      <c r="E2591" s="11" t="inlineStr">
        <is>
          <t>{2}{R}</t>
        </is>
      </c>
      <c r="F2591" s="11" t="inlineStr">
        <is>
          <t>Vermelho</t>
        </is>
      </c>
      <c r="G2591" s="8" t="n">
        <v>0.05</v>
      </c>
      <c r="H2591" s="11" t="inlineStr">
        <is>
          <t>Ice Age (ICE)</t>
        </is>
      </c>
      <c r="I2591" s="11" t="inlineStr">
        <is>
          <t>Não</t>
        </is>
      </c>
      <c r="J2591" s="11" t="n">
        <v>1995</v>
      </c>
      <c r="K2591" s="10" t="n">
        <v>46024</v>
      </c>
      <c r="L2591" s="11" t="n">
        <v>3</v>
      </c>
      <c r="M2591" s="8">
        <f>L2591*G2591</f>
        <v/>
      </c>
      <c r="P2591" s="9" t="n"/>
    </row>
    <row r="2592">
      <c r="A2592" s="11" t="inlineStr">
        <is>
          <t>Mons's Goblin Raiders / Goblins Salteadores do Mons</t>
        </is>
      </c>
      <c r="B2592" s="11" t="inlineStr">
        <is>
          <t>Creature — Goblin</t>
        </is>
      </c>
      <c r="C2592" s="11" t="inlineStr">
        <is>
          <t>Common / Comum</t>
        </is>
      </c>
      <c r="E2592" s="11" t="inlineStr">
        <is>
          <t>{R}</t>
        </is>
      </c>
      <c r="F2592" s="11" t="inlineStr">
        <is>
          <t>Vermelho</t>
        </is>
      </c>
      <c r="G2592" s="8" t="n">
        <v>0.18</v>
      </c>
      <c r="H2592" s="11" t="inlineStr">
        <is>
          <t>Fourth Edition (BB)</t>
        </is>
      </c>
      <c r="I2592" s="11" t="inlineStr">
        <is>
          <t>Não</t>
        </is>
      </c>
      <c r="J2592" s="11" t="n">
        <v>1995</v>
      </c>
      <c r="K2592" s="10" t="n">
        <v>46023</v>
      </c>
      <c r="L2592" s="11" t="n">
        <v>4</v>
      </c>
      <c r="M2592" s="8">
        <f>L2592*G2592</f>
        <v/>
      </c>
      <c r="P2592" s="9" t="n"/>
    </row>
    <row r="2593">
      <c r="A2593" s="11" t="inlineStr">
        <is>
          <t>Mons's Goblin Raiders / Goblins Salteadores do Mons</t>
        </is>
      </c>
      <c r="B2593" s="11" t="inlineStr">
        <is>
          <t>Creature — Goblin</t>
        </is>
      </c>
      <c r="C2593" s="11" t="inlineStr">
        <is>
          <t>Common / Comum</t>
        </is>
      </c>
      <c r="E2593" s="11" t="inlineStr">
        <is>
          <t>{R}</t>
        </is>
      </c>
      <c r="F2593" s="11" t="inlineStr">
        <is>
          <t>Vermelho</t>
        </is>
      </c>
      <c r="G2593" s="8" t="n">
        <v>0.04</v>
      </c>
      <c r="H2593" s="11" t="inlineStr">
        <is>
          <t>Fourth Edition</t>
        </is>
      </c>
      <c r="I2593" s="11" t="inlineStr">
        <is>
          <t>Não</t>
        </is>
      </c>
      <c r="J2593" s="11" t="n">
        <v>1995</v>
      </c>
      <c r="K2593" s="10" t="n">
        <v>46023</v>
      </c>
      <c r="L2593" s="11" t="n">
        <v>2</v>
      </c>
      <c r="M2593" s="8">
        <f>L2593*G2593</f>
        <v/>
      </c>
      <c r="P2593" s="9" t="n"/>
    </row>
    <row r="2594">
      <c r="A2594" s="11" t="inlineStr">
        <is>
          <t>Mons's Goblin Raiders / Goblins Salteadores do Mons</t>
        </is>
      </c>
      <c r="B2594" s="11" t="inlineStr">
        <is>
          <t>Creature — Goblin</t>
        </is>
      </c>
      <c r="C2594" s="11" t="inlineStr">
        <is>
          <t>Common / Comum</t>
        </is>
      </c>
      <c r="E2594" s="11" t="inlineStr">
        <is>
          <t>{R}</t>
        </is>
      </c>
      <c r="F2594" s="11" t="inlineStr">
        <is>
          <t>Vermelho</t>
        </is>
      </c>
      <c r="G2594" s="8" t="n">
        <v>0.15</v>
      </c>
      <c r="H2594" s="11" t="inlineStr">
        <is>
          <t>Revised Edition</t>
        </is>
      </c>
      <c r="I2594" s="11" t="inlineStr">
        <is>
          <t>Não</t>
        </is>
      </c>
      <c r="J2594" s="11" t="n">
        <v>1994</v>
      </c>
      <c r="K2594" s="10" t="n">
        <v>46023</v>
      </c>
      <c r="L2594" s="11" t="n">
        <v>1</v>
      </c>
      <c r="M2594" s="8">
        <f>L2594*G2594</f>
        <v/>
      </c>
      <c r="P2594" s="9" t="n"/>
    </row>
    <row r="2595">
      <c r="A2595" s="11" t="inlineStr">
        <is>
          <t>Gray Ogre / Ogro Cinzento</t>
        </is>
      </c>
      <c r="B2595" s="11" t="inlineStr">
        <is>
          <t>Creature — Ogre</t>
        </is>
      </c>
      <c r="C2595" s="11" t="inlineStr">
        <is>
          <t>Common / Comum</t>
        </is>
      </c>
      <c r="E2595" s="11" t="inlineStr">
        <is>
          <t>{2}{R}</t>
        </is>
      </c>
      <c r="F2595" s="11" t="inlineStr">
        <is>
          <t>Vermelho</t>
        </is>
      </c>
      <c r="G2595" s="8" t="n">
        <v>0.06</v>
      </c>
      <c r="H2595" s="11" t="inlineStr">
        <is>
          <t>Fourth Edition (BB)</t>
        </is>
      </c>
      <c r="I2595" s="11" t="inlineStr">
        <is>
          <t>Não</t>
        </is>
      </c>
      <c r="J2595" s="11" t="n">
        <v>1995</v>
      </c>
      <c r="K2595" s="10" t="n">
        <v>46055</v>
      </c>
      <c r="L2595" s="11" t="n">
        <v>5</v>
      </c>
      <c r="M2595" s="8">
        <f>L2595*G2595</f>
        <v/>
      </c>
      <c r="P2595" s="9" t="n"/>
    </row>
    <row r="2596">
      <c r="A2596" s="11" t="inlineStr">
        <is>
          <t>Gray Ogre / Ogro Cinzento</t>
        </is>
      </c>
      <c r="B2596" s="11" t="inlineStr">
        <is>
          <t>Creature — Ogre</t>
        </is>
      </c>
      <c r="C2596" s="11" t="inlineStr">
        <is>
          <t>Common / Comum</t>
        </is>
      </c>
      <c r="E2596" s="11" t="inlineStr">
        <is>
          <t>{2}{R}</t>
        </is>
      </c>
      <c r="F2596" s="11" t="inlineStr">
        <is>
          <t>Vermelho</t>
        </is>
      </c>
      <c r="G2596" s="8" t="n">
        <v>0.04</v>
      </c>
      <c r="H2596" s="11" t="inlineStr">
        <is>
          <t>Fourth Edition</t>
        </is>
      </c>
      <c r="I2596" s="11" t="inlineStr">
        <is>
          <t>Não</t>
        </is>
      </c>
      <c r="J2596" s="11" t="n">
        <v>1995</v>
      </c>
      <c r="K2596" s="10" t="n">
        <v>46055</v>
      </c>
      <c r="L2596" s="11" t="n">
        <v>3</v>
      </c>
      <c r="M2596" s="8">
        <f>L2596*G2596</f>
        <v/>
      </c>
      <c r="P2596" s="9" t="n"/>
    </row>
    <row r="2597">
      <c r="A2597" s="11" t="inlineStr">
        <is>
          <t>Brothers of Fire / Irmãos do Fogo</t>
        </is>
      </c>
      <c r="B2597" s="11" t="inlineStr">
        <is>
          <t>Creature — Human Shaman</t>
        </is>
      </c>
      <c r="C2597" s="11" t="inlineStr">
        <is>
          <t>Uncommon / Incomum</t>
        </is>
      </c>
      <c r="D2597" s="11" t="inlineStr">
        <is>
          <t>{1}{R}{R}: This creature deals 1 damage to any target and 1 damage to you.</t>
        </is>
      </c>
      <c r="E2597" s="11" t="inlineStr">
        <is>
          <t>{1}{R}{R}</t>
        </is>
      </c>
      <c r="F2597" s="11" t="inlineStr">
        <is>
          <t>Vermelho</t>
        </is>
      </c>
      <c r="G2597" s="8" t="n">
        <v>0.16</v>
      </c>
      <c r="H2597" s="11" t="inlineStr">
        <is>
          <t>Fourth Edition (BB)</t>
        </is>
      </c>
      <c r="I2597" s="11" t="inlineStr">
        <is>
          <t>Não</t>
        </is>
      </c>
      <c r="J2597" s="11" t="n">
        <v>1995</v>
      </c>
      <c r="K2597" s="10" t="n">
        <v>46055</v>
      </c>
      <c r="L2597" s="11" t="n">
        <v>3</v>
      </c>
      <c r="M2597" s="8">
        <f>L2597*G2597</f>
        <v/>
      </c>
      <c r="P2597" s="9" t="n"/>
    </row>
    <row r="2598">
      <c r="A2598" s="11" t="inlineStr">
        <is>
          <t>Brothers of Fire / Irmãos do Fogo</t>
        </is>
      </c>
      <c r="B2598" s="11" t="inlineStr">
        <is>
          <t>Creature — Human Shaman</t>
        </is>
      </c>
      <c r="C2598" s="11" t="inlineStr">
        <is>
          <t>Uncommon / Incomum</t>
        </is>
      </c>
      <c r="D2598" s="11" t="inlineStr">
        <is>
          <t>{1}{R}{R}: This creature deals 1 damage to any target and 1 damage to you.</t>
        </is>
      </c>
      <c r="E2598" s="11" t="inlineStr">
        <is>
          <t>{1}{R}{R}</t>
        </is>
      </c>
      <c r="F2598" s="11" t="inlineStr">
        <is>
          <t>Vermelho</t>
        </is>
      </c>
      <c r="G2598" s="8" t="n">
        <v>0.05</v>
      </c>
      <c r="H2598" s="11" t="inlineStr">
        <is>
          <t>Fourth Edition</t>
        </is>
      </c>
      <c r="I2598" s="11" t="inlineStr">
        <is>
          <t>Não</t>
        </is>
      </c>
      <c r="J2598" s="11" t="n">
        <v>1995</v>
      </c>
      <c r="K2598" s="10" t="n">
        <v>46055</v>
      </c>
      <c r="L2598" s="11" t="n">
        <v>2</v>
      </c>
      <c r="M2598" s="8">
        <f>L2598*G2598</f>
        <v/>
      </c>
      <c r="P2598" s="9" t="n"/>
    </row>
    <row r="2599">
      <c r="A2599" s="11" t="inlineStr">
        <is>
          <t>Orcish Artillery / Artilharia Órquica</t>
        </is>
      </c>
      <c r="B2599" s="11" t="inlineStr">
        <is>
          <t>Creature — Orc Warrior / Criatura — Orc Guerreiro</t>
        </is>
      </c>
      <c r="C2599" s="11" t="inlineStr">
        <is>
          <t>Uncommon / Incomum</t>
        </is>
      </c>
      <c r="D2599" s="11" t="inlineStr">
        <is>
          <t>{T}: This creature deals 2 damage to any target and 3 damage to you. / {T}: Artilharia Órquica causa 2 pontos de dano à criatura ou ao jogador alvo e 3 pontos de dano a você.</t>
        </is>
      </c>
      <c r="E2599" s="11" t="inlineStr">
        <is>
          <t>{1}{R}{R}</t>
        </is>
      </c>
      <c r="F2599" s="11" t="inlineStr">
        <is>
          <t>Vermelho</t>
        </is>
      </c>
      <c r="G2599" s="8" t="n">
        <v>0.25</v>
      </c>
      <c r="H2599" s="11" t="inlineStr">
        <is>
          <t>Fourth Edition (BB)</t>
        </is>
      </c>
      <c r="I2599" s="11" t="inlineStr">
        <is>
          <t>Não</t>
        </is>
      </c>
      <c r="J2599" s="11" t="n">
        <v>1995</v>
      </c>
      <c r="K2599" s="10" t="n">
        <v>46082</v>
      </c>
      <c r="L2599" s="11" t="n">
        <v>2</v>
      </c>
      <c r="M2599" s="8">
        <f>L2599*G2599</f>
        <v/>
      </c>
      <c r="P2599" s="9" t="n"/>
    </row>
    <row r="2600">
      <c r="A2600" s="11" t="inlineStr">
        <is>
          <t>Fire Elemental / Elemental do Fogo</t>
        </is>
      </c>
      <c r="B2600" s="11" t="inlineStr">
        <is>
          <t>Creature — Elemental / Criatura — Elemental</t>
        </is>
      </c>
      <c r="C2600" s="11" t="inlineStr">
        <is>
          <t>Uncommon / Incomum</t>
        </is>
      </c>
      <c r="E2600" s="11" t="inlineStr">
        <is>
          <t>{3}{R}{R}</t>
        </is>
      </c>
      <c r="F2600" s="11" t="inlineStr">
        <is>
          <t>Vermelho</t>
        </is>
      </c>
      <c r="G2600" s="8" t="n">
        <v>0.2</v>
      </c>
      <c r="H2600" s="11" t="inlineStr">
        <is>
          <t>Fourth Edition (BB)</t>
        </is>
      </c>
      <c r="I2600" s="11" t="inlineStr">
        <is>
          <t>Não</t>
        </is>
      </c>
      <c r="J2600" s="11" t="n">
        <v>1995</v>
      </c>
      <c r="K2600" s="10" t="n">
        <v>46117</v>
      </c>
      <c r="L2600" s="11" t="n">
        <v>1</v>
      </c>
      <c r="M2600" s="8">
        <f>L2600*G2600</f>
        <v/>
      </c>
      <c r="P2600" s="9" t="n"/>
    </row>
    <row r="2601">
      <c r="A2601" s="11" t="inlineStr">
        <is>
          <t>Fire Elemental / Elemental do Fogo</t>
        </is>
      </c>
      <c r="B2601" s="11" t="inlineStr">
        <is>
          <t>Creature — Elemental / Criatura — Elemental</t>
        </is>
      </c>
      <c r="C2601" s="11" t="inlineStr">
        <is>
          <t>Uncommon / Incomum</t>
        </is>
      </c>
      <c r="E2601" s="11" t="inlineStr">
        <is>
          <t>{3}{R}{R}</t>
        </is>
      </c>
      <c r="F2601" s="11" t="inlineStr">
        <is>
          <t>Vermelho</t>
        </is>
      </c>
      <c r="G2601" s="8" t="n">
        <v>0.1</v>
      </c>
      <c r="H2601" s="11" t="inlineStr">
        <is>
          <t>Fourth Edition</t>
        </is>
      </c>
      <c r="I2601" s="11" t="inlineStr">
        <is>
          <t>Não</t>
        </is>
      </c>
      <c r="J2601" s="11" t="n">
        <v>1995</v>
      </c>
      <c r="K2601" s="10" t="n">
        <v>46117</v>
      </c>
      <c r="L2601" s="11" t="n">
        <v>1</v>
      </c>
      <c r="M2601" s="8">
        <f>L2601*G2601</f>
        <v/>
      </c>
      <c r="P2601" s="9" t="n"/>
    </row>
    <row r="2602">
      <c r="A2602" s="11" t="inlineStr">
        <is>
          <t>Flame Spirit / Espírito das Chamas</t>
        </is>
      </c>
      <c r="B2602" s="11" t="inlineStr">
        <is>
          <t>Creature — Elemental Spirit</t>
        </is>
      </c>
      <c r="C2602" s="11" t="inlineStr">
        <is>
          <t>Uncommon / Incomum</t>
        </is>
      </c>
      <c r="D2602" s="11" t="inlineStr">
        <is>
          <t>{R}: This creature gets +1/+0 until end of turn.</t>
        </is>
      </c>
      <c r="E2602" s="11" t="inlineStr">
        <is>
          <t>{4}{R}</t>
        </is>
      </c>
      <c r="F2602" s="11" t="inlineStr">
        <is>
          <t>Vermelho</t>
        </is>
      </c>
      <c r="G2602" s="8" t="n">
        <v>0.05</v>
      </c>
      <c r="H2602" s="11" t="inlineStr">
        <is>
          <t>Ice Age (ICE)</t>
        </is>
      </c>
      <c r="I2602" s="11" t="inlineStr">
        <is>
          <t>Não</t>
        </is>
      </c>
      <c r="J2602" s="11" t="n">
        <v>1995</v>
      </c>
      <c r="K2602" s="10" t="n">
        <v>46083</v>
      </c>
      <c r="L2602" s="11" t="n">
        <v>1</v>
      </c>
      <c r="M2602" s="8">
        <f>L2602*G2602</f>
        <v/>
      </c>
      <c r="P2602" s="9" t="n"/>
    </row>
    <row r="2603">
      <c r="A2603" s="11" t="inlineStr">
        <is>
          <t>Ambush Party / Grupo de Emboscada</t>
        </is>
      </c>
      <c r="B2603" s="11" t="inlineStr">
        <is>
          <t>Creature — Human Rogue</t>
        </is>
      </c>
      <c r="C2603" s="11" t="inlineStr">
        <is>
          <t>Common / Comum</t>
        </is>
      </c>
      <c r="D2603" s="11" t="inlineStr">
        <is>
          <t>First strike, haste</t>
        </is>
      </c>
      <c r="E2603" s="11" t="inlineStr">
        <is>
          <t>{4}{R}</t>
        </is>
      </c>
      <c r="F2603" s="11" t="inlineStr">
        <is>
          <t>Vermelho</t>
        </is>
      </c>
      <c r="G2603" s="8" t="n">
        <v>0.06</v>
      </c>
      <c r="H2603" s="11" t="inlineStr">
        <is>
          <t>Homelands (HML)</t>
        </is>
      </c>
      <c r="I2603" s="11" t="inlineStr">
        <is>
          <t>Não</t>
        </is>
      </c>
      <c r="J2603" s="11" t="n">
        <v>1995</v>
      </c>
      <c r="K2603" s="10" t="n">
        <v>46025</v>
      </c>
      <c r="L2603" s="11" t="n">
        <v>1</v>
      </c>
      <c r="M2603" s="8">
        <f>L2603*G2603</f>
        <v/>
      </c>
      <c r="P2603" s="9" t="n"/>
    </row>
    <row r="2604">
      <c r="A2604" s="11" t="inlineStr">
        <is>
          <t>Keldon Warlord / Senhor da Guerra de Keldon</t>
        </is>
      </c>
      <c r="B2604" s="11" t="inlineStr">
        <is>
          <t>Creature — Human Barbarian</t>
        </is>
      </c>
      <c r="C2604" s="11" t="inlineStr">
        <is>
          <t>Uncommon / Incomum</t>
        </is>
      </c>
      <c r="D2604" s="11" t="inlineStr">
        <is>
          <t>Keldon Warlord's power and toughness are each equal to the number of non-Wall creatures you control.</t>
        </is>
      </c>
      <c r="E2604" s="11" t="inlineStr">
        <is>
          <t>{2}{R}{R}</t>
        </is>
      </c>
      <c r="F2604" s="11" t="inlineStr">
        <is>
          <t>Vermelho</t>
        </is>
      </c>
      <c r="G2604" s="8" t="n">
        <v>0.15</v>
      </c>
      <c r="H2604" s="11" t="inlineStr">
        <is>
          <t>Fourth Edition</t>
        </is>
      </c>
      <c r="I2604" s="11" t="inlineStr">
        <is>
          <t>Não</t>
        </is>
      </c>
      <c r="J2604" s="11" t="n">
        <v>1995</v>
      </c>
      <c r="K2604" s="11" t="inlineStr">
        <is>
          <t>*/*</t>
        </is>
      </c>
      <c r="L2604" s="11" t="n">
        <v>1</v>
      </c>
      <c r="M2604" s="8">
        <f>L2604*G2604</f>
        <v/>
      </c>
      <c r="P2604" s="9" t="n"/>
    </row>
    <row r="2605">
      <c r="A2605" s="11" t="inlineStr">
        <is>
          <t>Crimson Manticore / Mantícora Escarlate</t>
        </is>
      </c>
      <c r="B2605" s="11" t="inlineStr">
        <is>
          <t>Creature — Manticore</t>
        </is>
      </c>
      <c r="C2605" s="11" t="inlineStr">
        <is>
          <t>Rare / Rara</t>
        </is>
      </c>
      <c r="D2605" s="11" t="inlineStr">
        <is>
          <t>Flying {R}, {T}: This creature deals 1 damage to target attacking or blocking creature.</t>
        </is>
      </c>
      <c r="E2605" s="11" t="inlineStr">
        <is>
          <t>{2}{R}{R}</t>
        </is>
      </c>
      <c r="F2605" s="11" t="inlineStr">
        <is>
          <t>Vermelho</t>
        </is>
      </c>
      <c r="G2605" s="8" t="n">
        <v>0.18</v>
      </c>
      <c r="H2605" s="11" t="inlineStr">
        <is>
          <t>Fourth Edition</t>
        </is>
      </c>
      <c r="I2605" s="11" t="inlineStr">
        <is>
          <t>Não</t>
        </is>
      </c>
      <c r="J2605" s="11" t="n">
        <v>1995</v>
      </c>
      <c r="K2605" s="10" t="n">
        <v>46055</v>
      </c>
      <c r="L2605" s="11" t="n">
        <v>1</v>
      </c>
      <c r="M2605" s="8">
        <f>L2605*G2605</f>
        <v/>
      </c>
      <c r="P2605" s="9" t="n"/>
    </row>
    <row r="2606">
      <c r="A2606" s="11" t="inlineStr">
        <is>
          <t>Balduvian Horde / Horda Balduviana</t>
        </is>
      </c>
      <c r="B2606" s="11" t="inlineStr">
        <is>
          <t>Creature — Human Barbarian</t>
        </is>
      </c>
      <c r="C2606" s="11" t="inlineStr">
        <is>
          <t>Rare / Rara</t>
        </is>
      </c>
      <c r="D2606" s="11" t="inlineStr">
        <is>
          <t>When this creature enters, sacrifice it unless you discard a card at random.</t>
        </is>
      </c>
      <c r="E2606" s="11" t="inlineStr">
        <is>
          <t>{2}{R}{R}</t>
        </is>
      </c>
      <c r="F2606" s="11" t="inlineStr">
        <is>
          <t>Vermelho</t>
        </is>
      </c>
      <c r="G2606" s="8" t="n">
        <v>3</v>
      </c>
      <c r="H2606" s="11" t="inlineStr">
        <is>
          <t>Alliances (ALL)</t>
        </is>
      </c>
      <c r="I2606" s="11" t="inlineStr">
        <is>
          <t>Não</t>
        </is>
      </c>
      <c r="J2606" s="11" t="n">
        <v>1996</v>
      </c>
      <c r="K2606" s="10" t="n">
        <v>46147</v>
      </c>
      <c r="L2606" s="11" t="n">
        <v>1</v>
      </c>
      <c r="M2606" s="8">
        <f>L2606*G2606</f>
        <v/>
      </c>
      <c r="P2606" s="9" t="n"/>
    </row>
    <row r="2607">
      <c r="A2607" s="11" t="inlineStr">
        <is>
          <t>Telim'Tor / TelimíTor</t>
        </is>
      </c>
      <c r="B2607" s="11" t="inlineStr">
        <is>
          <t>Legendary Creature — Human Knight</t>
        </is>
      </c>
      <c r="C2607" s="11" t="inlineStr">
        <is>
          <t>Rare / Rara</t>
        </is>
      </c>
      <c r="D2607" s="11" t="inlineStr">
        <is>
          <t>Flanking (Whenever a creature without flanking blocks this creature, the blocking creature gets -1/-1 until end of turn.) Whenever Telim'Tor attacks, all attacking creatures with flanking get +1/+1 until end of turn.</t>
        </is>
      </c>
      <c r="E2607" s="11" t="inlineStr">
        <is>
          <t>{4}{R}</t>
        </is>
      </c>
      <c r="F2607" s="11" t="inlineStr">
        <is>
          <t>Vermelho</t>
        </is>
      </c>
      <c r="G2607" s="8" t="n">
        <v>2.5</v>
      </c>
      <c r="H2607" s="11" t="inlineStr">
        <is>
          <t>Mirage (MIR)</t>
        </is>
      </c>
      <c r="I2607" s="11" t="inlineStr">
        <is>
          <t>Não</t>
        </is>
      </c>
      <c r="J2607" s="11" t="n">
        <v>1996</v>
      </c>
      <c r="K2607" s="10" t="n">
        <v>46055</v>
      </c>
      <c r="L2607" s="11" t="n">
        <v>1</v>
      </c>
      <c r="M2607" s="8">
        <f>L2607*G2607</f>
        <v/>
      </c>
      <c r="P2607" s="9" t="n"/>
    </row>
    <row r="2608">
      <c r="A2608" s="11" t="inlineStr">
        <is>
          <t>Wall of Opposition</t>
        </is>
      </c>
      <c r="B2608" s="11" t="inlineStr">
        <is>
          <t>Creature — Wall</t>
        </is>
      </c>
      <c r="C2608" s="11" t="inlineStr">
        <is>
          <t>Rare / Rara</t>
        </is>
      </c>
      <c r="D2608" s="11" t="inlineStr">
        <is>
          <t>Defender (This creature can't attack.) {1}: This creature gets +1/+0 until end of turn.</t>
        </is>
      </c>
      <c r="E2608" s="11" t="inlineStr">
        <is>
          <t>{3}{R}{R}</t>
        </is>
      </c>
      <c r="F2608" s="11" t="inlineStr">
        <is>
          <t>Vermelho</t>
        </is>
      </c>
      <c r="G2608" s="8" t="n">
        <v>0.21</v>
      </c>
      <c r="H2608" s="11" t="inlineStr">
        <is>
          <t>Chronicles</t>
        </is>
      </c>
      <c r="I2608" s="11" t="inlineStr">
        <is>
          <t>Não</t>
        </is>
      </c>
      <c r="J2608" s="11" t="n">
        <v>1995</v>
      </c>
      <c r="K2608" s="11" t="inlineStr">
        <is>
          <t>0/6</t>
        </is>
      </c>
      <c r="L2608" s="11" t="n">
        <v>1</v>
      </c>
      <c r="M2608" s="8">
        <f>L2608*G2608</f>
        <v/>
      </c>
      <c r="P2608" s="9" t="n"/>
    </row>
    <row r="2609">
      <c r="A2609" s="11" t="inlineStr">
        <is>
          <t>Crimson Hellkite / Dragão Avérneo Escarlate</t>
        </is>
      </c>
      <c r="B2609" s="11" t="inlineStr">
        <is>
          <t>Creature — Dragon</t>
        </is>
      </c>
      <c r="C2609" s="11" t="inlineStr">
        <is>
          <t>Rare / Rara</t>
        </is>
      </c>
      <c r="D2609" s="11" t="inlineStr">
        <is>
          <t>Flying {X}, {T}: This creature deals X damage to target creature. Spend only red mana on X.</t>
        </is>
      </c>
      <c r="E2609" s="11" t="inlineStr">
        <is>
          <t>{6}{R}{R}{R}</t>
        </is>
      </c>
      <c r="F2609" s="11" t="inlineStr">
        <is>
          <t>Vermelho</t>
        </is>
      </c>
      <c r="G2609" s="8" t="n">
        <v>1.72</v>
      </c>
      <c r="H2609" s="11" t="inlineStr">
        <is>
          <t>Mirage (MIR)</t>
        </is>
      </c>
      <c r="I2609" s="11" t="inlineStr">
        <is>
          <t>Não</t>
        </is>
      </c>
      <c r="J2609" s="11" t="n">
        <v>1996</v>
      </c>
      <c r="K2609" s="10" t="n">
        <v>46179</v>
      </c>
      <c r="L2609" s="11" t="n">
        <v>1</v>
      </c>
      <c r="M2609" s="8">
        <f>L2609*G2609</f>
        <v/>
      </c>
      <c r="P2609" s="9" t="n"/>
    </row>
    <row r="2610">
      <c r="A2610" s="11" t="inlineStr">
        <is>
          <t>Goblin Brigand / Bandoleiro Goblin</t>
        </is>
      </c>
      <c r="B2610" s="11" t="inlineStr">
        <is>
          <t>Creature — Goblin Warrior / Criatura — Guerreiro Goblin</t>
        </is>
      </c>
      <c r="C2610" s="11" t="inlineStr">
        <is>
          <t>Common / Comum</t>
        </is>
      </c>
      <c r="D2610" s="11" t="inlineStr">
        <is>
          <t>This creature attacks each combat if able. / Bandoleiro Goblin ataca a cada turno se estiver apto.</t>
        </is>
      </c>
      <c r="E2610" s="11" t="inlineStr">
        <is>
          <t>{1}{R}</t>
        </is>
      </c>
      <c r="F2610" s="11" t="inlineStr">
        <is>
          <t>Vermelho</t>
        </is>
      </c>
      <c r="G2610" s="8" t="n">
        <v>0.08</v>
      </c>
      <c r="H2610" s="11" t="inlineStr">
        <is>
          <t>Scourge (SCG)</t>
        </is>
      </c>
      <c r="I2610" s="11" t="inlineStr">
        <is>
          <t>Não</t>
        </is>
      </c>
      <c r="J2610" s="11" t="n">
        <v>2003</v>
      </c>
      <c r="K2610" s="10" t="n">
        <v>46055</v>
      </c>
      <c r="L2610" s="11" t="n">
        <v>1</v>
      </c>
      <c r="M2610" s="8">
        <f>L2610*G2610</f>
        <v/>
      </c>
      <c r="P2610" s="9" t="n"/>
    </row>
    <row r="2611">
      <c r="A2611" s="11" t="inlineStr">
        <is>
          <t>Spitfire Handler / Manuseador de Cospe-Fogos</t>
        </is>
      </c>
      <c r="B2611" s="11" t="inlineStr">
        <is>
          <t>Creature — Goblin / Criatura — Goblin</t>
        </is>
      </c>
      <c r="C2611" s="11" t="inlineStr">
        <is>
          <t>Uncommon / Incomum</t>
        </is>
      </c>
      <c r="D2611" s="11" t="inlineStr">
        <is>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is>
      </c>
      <c r="E2611" s="11" t="inlineStr">
        <is>
          <t>{1}{R}</t>
        </is>
      </c>
      <c r="F2611" s="11" t="inlineStr">
        <is>
          <t>Vermelho</t>
        </is>
      </c>
      <c r="G2611" s="8" t="n">
        <v>0.18</v>
      </c>
      <c r="H2611" s="11" t="inlineStr">
        <is>
          <t>Onslaught (ONS)</t>
        </is>
      </c>
      <c r="I2611" s="11" t="inlineStr">
        <is>
          <t>Não</t>
        </is>
      </c>
      <c r="J2611" s="11" t="n">
        <v>2002</v>
      </c>
      <c r="K2611" s="10" t="n">
        <v>46023</v>
      </c>
      <c r="L2611" s="11" t="n">
        <v>1</v>
      </c>
      <c r="M2611" s="8">
        <f>L2611*G2611</f>
        <v/>
      </c>
      <c r="P2611" s="9" t="n"/>
    </row>
    <row r="2612">
      <c r="A2612" s="11" t="inlineStr">
        <is>
          <t>Skirk Marauder / Saqueador de Skirk</t>
        </is>
      </c>
      <c r="B2612" s="11" t="inlineStr">
        <is>
          <t>Creature — Goblin / Criatura — Goblin</t>
        </is>
      </c>
      <c r="C2612" s="11" t="inlineStr">
        <is>
          <t>Rare / Rara</t>
        </is>
      </c>
      <c r="D2612" s="11" t="inlineStr">
        <is>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is>
      </c>
      <c r="E2612" s="11" t="inlineStr">
        <is>
          <t>{1}{R}</t>
        </is>
      </c>
      <c r="F2612" s="11" t="inlineStr">
        <is>
          <t>Vermelho</t>
        </is>
      </c>
      <c r="G2612" s="8" t="n">
        <v>0.06</v>
      </c>
      <c r="H2612" s="11" t="inlineStr">
        <is>
          <t>Arena League 2003 (PAL03)</t>
        </is>
      </c>
      <c r="I2612" s="11" t="inlineStr">
        <is>
          <t>Sim</t>
        </is>
      </c>
      <c r="J2612" s="11" t="n">
        <v>2003</v>
      </c>
      <c r="K2612" s="10" t="n">
        <v>46024</v>
      </c>
      <c r="L2612" s="11" t="n">
        <v>1</v>
      </c>
      <c r="M2612" s="8">
        <f>L2612*G2612</f>
        <v/>
      </c>
      <c r="P2612" s="9" t="n"/>
    </row>
    <row r="2613">
      <c r="A2613" s="11" t="inlineStr">
        <is>
          <t>Goblin Taskmaster / Goblin Capataz</t>
        </is>
      </c>
      <c r="B2613" s="11" t="inlineStr">
        <is>
          <t>Creature — Goblin / Criatura — Goblin</t>
        </is>
      </c>
      <c r="C2613" s="11" t="inlineStr">
        <is>
          <t>Common / Comum</t>
        </is>
      </c>
      <c r="D2613" s="11" t="inlineStr">
        <is>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is>
      </c>
      <c r="E2613" s="11" t="inlineStr">
        <is>
          <t>{R}</t>
        </is>
      </c>
      <c r="F2613" s="11" t="inlineStr">
        <is>
          <t>Vermelho</t>
        </is>
      </c>
      <c r="G2613" s="8" t="n">
        <v>0.08</v>
      </c>
      <c r="H2613" s="11" t="inlineStr">
        <is>
          <t>Onslaught (ONS)</t>
        </is>
      </c>
      <c r="I2613" s="11" t="inlineStr">
        <is>
          <t>Não</t>
        </is>
      </c>
      <c r="J2613" s="11" t="n">
        <v>2002</v>
      </c>
      <c r="K2613" s="10" t="n">
        <v>46023</v>
      </c>
      <c r="L2613" s="11" t="n">
        <v>1</v>
      </c>
      <c r="M2613" s="8">
        <f>L2613*G2613</f>
        <v/>
      </c>
      <c r="P2613" s="9" t="n"/>
    </row>
    <row r="2614">
      <c r="A2614" s="11" t="inlineStr">
        <is>
          <t>Goblin Grappler / Goblin Agarrador</t>
        </is>
      </c>
      <c r="B2614" s="11" t="inlineStr">
        <is>
          <t>Creature — Goblin / Criatura — Goblin</t>
        </is>
      </c>
      <c r="C2614" s="11" t="inlineStr">
        <is>
          <t>Common / Comum</t>
        </is>
      </c>
      <c r="D2614" s="11" t="inlineStr">
        <is>
          <t>Provoke (Whenever this creature attacks, you may have target creature defending player controls untap and block it if able.) / Provocar (Quando esta criatura atacar, você pode desvirar a criatura alvo que o jogador defensor controla e fazer com que ela a bloqueie se estiver apta.)</t>
        </is>
      </c>
      <c r="E2614" s="11" t="inlineStr">
        <is>
          <t>{R}</t>
        </is>
      </c>
      <c r="F2614" s="11" t="inlineStr">
        <is>
          <t>Vermelho</t>
        </is>
      </c>
      <c r="G2614" s="8" t="n">
        <v>0.12</v>
      </c>
      <c r="H2614" s="11" t="inlineStr">
        <is>
          <t>Legions (LGN)</t>
        </is>
      </c>
      <c r="I2614" s="11" t="inlineStr">
        <is>
          <t>Não</t>
        </is>
      </c>
      <c r="J2614" s="11" t="n">
        <v>2003</v>
      </c>
      <c r="K2614" s="10" t="n">
        <v>46023</v>
      </c>
      <c r="L2614" s="11" t="n">
        <v>1</v>
      </c>
      <c r="M2614" s="8">
        <f>L2614*G2614</f>
        <v/>
      </c>
      <c r="P2614" s="9" t="n"/>
    </row>
    <row r="2615">
      <c r="A2615" s="11" t="inlineStr">
        <is>
          <t>Warbreak Trumpeter / Trombeteiro Irrompe-Guerra</t>
        </is>
      </c>
      <c r="B2615" s="11" t="inlineStr">
        <is>
          <t>Creature — Goblin / Criatura — Goblin</t>
        </is>
      </c>
      <c r="C2615" s="11" t="inlineStr">
        <is>
          <t>Uncommon / Incomum</t>
        </is>
      </c>
      <c r="D2615" s="11" t="inlineStr">
        <is>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is>
      </c>
      <c r="E2615" s="11" t="inlineStr">
        <is>
          <t>{R}</t>
        </is>
      </c>
      <c r="F2615" s="11" t="inlineStr">
        <is>
          <t>Vermelho</t>
        </is>
      </c>
      <c r="G2615" s="8" t="n">
        <v>0.18</v>
      </c>
      <c r="H2615" s="11" t="inlineStr">
        <is>
          <t>Legions (LGN)</t>
        </is>
      </c>
      <c r="I2615" s="11" t="inlineStr">
        <is>
          <t>Não</t>
        </is>
      </c>
      <c r="J2615" s="11" t="n">
        <v>2003</v>
      </c>
      <c r="K2615" s="10" t="n">
        <v>46023</v>
      </c>
      <c r="L2615" s="11" t="n">
        <v>1</v>
      </c>
      <c r="M2615" s="8">
        <f>L2615*G2615</f>
        <v/>
      </c>
      <c r="P2615" s="9" t="n"/>
    </row>
    <row r="2616">
      <c r="A2616" s="11" t="inlineStr">
        <is>
          <t>Goblin Dynamo / Dínamo Goblin</t>
        </is>
      </c>
      <c r="B2616" s="11" t="inlineStr">
        <is>
          <t>Creature — Goblin Mutant / Criatura — Goblin Mutante</t>
        </is>
      </c>
      <c r="C2616" s="11" t="inlineStr">
        <is>
          <t>Uncommon / Incomum</t>
        </is>
      </c>
      <c r="D2616" s="11" t="inlineStr">
        <is>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is>
      </c>
      <c r="E2616" s="11" t="inlineStr">
        <is>
          <t>{5}{R}{R}</t>
        </is>
      </c>
      <c r="F2616" s="11" t="inlineStr">
        <is>
          <t>Vermelho</t>
        </is>
      </c>
      <c r="G2616" s="8" t="n">
        <v>0.45</v>
      </c>
      <c r="H2616" s="11" t="inlineStr">
        <is>
          <t>Legions (LGN)</t>
        </is>
      </c>
      <c r="I2616" s="11" t="inlineStr">
        <is>
          <t>Não</t>
        </is>
      </c>
      <c r="J2616" s="11" t="n">
        <v>2003</v>
      </c>
      <c r="K2616" s="10" t="n">
        <v>46116</v>
      </c>
      <c r="L2616" s="11" t="n">
        <v>1</v>
      </c>
      <c r="M2616" s="8">
        <f>L2616*G2616</f>
        <v/>
      </c>
      <c r="P2616" s="9" t="n"/>
    </row>
    <row r="2617">
      <c r="A2617" s="11" t="inlineStr">
        <is>
          <t>Goblin Machinist / Maquinista Goblin</t>
        </is>
      </c>
      <c r="B2617" s="11" t="inlineStr">
        <is>
          <t>Creature — Goblin / Criatura — Goblin</t>
        </is>
      </c>
      <c r="C2617" s="11" t="inlineStr">
        <is>
          <t>Uncommon / Incomum</t>
        </is>
      </c>
      <c r="D2617" s="11" t="inlineStr">
        <is>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is>
      </c>
      <c r="E2617" s="11" t="inlineStr">
        <is>
          <t>{4}{R}</t>
        </is>
      </c>
      <c r="F2617" s="11" t="inlineStr">
        <is>
          <t>Vermelho</t>
        </is>
      </c>
      <c r="G2617" s="8" t="n">
        <v>0.08</v>
      </c>
      <c r="H2617" s="11" t="inlineStr">
        <is>
          <t>Onslaught (ONS)</t>
        </is>
      </c>
      <c r="I2617" s="11" t="inlineStr">
        <is>
          <t>Não</t>
        </is>
      </c>
      <c r="J2617" s="11" t="n">
        <v>2002</v>
      </c>
      <c r="K2617" s="11" t="inlineStr">
        <is>
          <t>0/5</t>
        </is>
      </c>
      <c r="L2617" s="11" t="n">
        <v>1</v>
      </c>
      <c r="M2617" s="8">
        <f>L2617*G2617</f>
        <v/>
      </c>
      <c r="P2617" s="9" t="n"/>
    </row>
    <row r="2618">
      <c r="A2618" s="11" t="inlineStr">
        <is>
          <t>Goblin Clearcutter / Goblin Limpa-Caminhos</t>
        </is>
      </c>
      <c r="B2618" s="11" t="inlineStr">
        <is>
          <t>Creature — Goblin / Criatura — Goblin</t>
        </is>
      </c>
      <c r="C2618" s="11" t="inlineStr">
        <is>
          <t>Uncommon / Incomum</t>
        </is>
      </c>
      <c r="D2618" s="11" t="inlineStr">
        <is>
          <t>{T}, Sacrifice a Forest: Add three mana in any combination of {R} and/or {G}. / {T}, Sacrifique uma floresta: Adiciona três manas em qualquer combinação de vermelho e/ou verde à sua reserva de mana.</t>
        </is>
      </c>
      <c r="E2618" s="11" t="inlineStr">
        <is>
          <t>{3}{R}</t>
        </is>
      </c>
      <c r="F2618" s="11" t="inlineStr">
        <is>
          <t>Vermelho</t>
        </is>
      </c>
      <c r="G2618" s="8" t="n">
        <v>0.27</v>
      </c>
      <c r="H2618" s="11" t="inlineStr">
        <is>
          <t>Legions (LGN)</t>
        </is>
      </c>
      <c r="I2618" s="11" t="inlineStr">
        <is>
          <t>Não</t>
        </is>
      </c>
      <c r="J2618" s="11" t="n">
        <v>2003</v>
      </c>
      <c r="K2618" s="10" t="n">
        <v>46084</v>
      </c>
      <c r="L2618" s="11" t="n">
        <v>1</v>
      </c>
      <c r="M2618" s="8">
        <f>L2618*G2618</f>
        <v/>
      </c>
      <c r="P2618" s="9" t="n"/>
    </row>
    <row r="2619">
      <c r="A2619" s="11" t="inlineStr">
        <is>
          <t>Skirk Outrider / Vanguardeiro de Skirk</t>
        </is>
      </c>
      <c r="B2619" s="11" t="inlineStr">
        <is>
          <t>Creature — Goblin / Criatura — Goblin</t>
        </is>
      </c>
      <c r="C2619" s="11" t="inlineStr">
        <is>
          <t>Common / Comum</t>
        </is>
      </c>
      <c r="D2619" s="11" t="inlineStr">
        <is>
          <t>As long as you control a Beast, this creature gets +2/+2 and has trample. / Vanguardeiro de Skirk recebe +2/+2 e tem a habilidade de atropelar desde que você controle uma Besta.</t>
        </is>
      </c>
      <c r="E2619" s="11" t="inlineStr">
        <is>
          <t>{3}{R}</t>
        </is>
      </c>
      <c r="F2619" s="11" t="inlineStr">
        <is>
          <t>Vermelho</t>
        </is>
      </c>
      <c r="G2619" s="8" t="n">
        <v>0.08</v>
      </c>
      <c r="H2619" s="11" t="inlineStr">
        <is>
          <t>Legions (LGN)</t>
        </is>
      </c>
      <c r="I2619" s="11" t="inlineStr">
        <is>
          <t>Não</t>
        </is>
      </c>
      <c r="J2619" s="11" t="n">
        <v>2003</v>
      </c>
      <c r="K2619" s="10" t="n">
        <v>46055</v>
      </c>
      <c r="L2619" s="11" t="n">
        <v>1</v>
      </c>
      <c r="M2619" s="8">
        <f>L2619*G2619</f>
        <v/>
      </c>
      <c r="P2619" s="9" t="n"/>
    </row>
    <row r="2620">
      <c r="A2620" s="11" t="inlineStr">
        <is>
          <t>Skirk Volcanist / Vulcanólogo de Skirk</t>
        </is>
      </c>
      <c r="B2620" s="11" t="inlineStr">
        <is>
          <t>Creature — Goblin / Criatura — Goblin</t>
        </is>
      </c>
      <c r="C2620" s="11" t="inlineStr">
        <is>
          <t>Uncommon / Incomum</t>
        </is>
      </c>
      <c r="D2620" s="11" t="inlineStr">
        <is>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is>
      </c>
      <c r="E2620" s="11" t="inlineStr">
        <is>
          <t>{3}{R}</t>
        </is>
      </c>
      <c r="F2620" s="11" t="inlineStr">
        <is>
          <t>Vermelho</t>
        </is>
      </c>
      <c r="G2620" s="8" t="n">
        <v>0.08</v>
      </c>
      <c r="H2620" s="11" t="inlineStr">
        <is>
          <t>Scourge (SCG)</t>
        </is>
      </c>
      <c r="I2620" s="11" t="inlineStr">
        <is>
          <t>Não</t>
        </is>
      </c>
      <c r="J2620" s="11" t="n">
        <v>2003</v>
      </c>
      <c r="K2620" s="10" t="n">
        <v>46025</v>
      </c>
      <c r="L2620" s="11" t="n">
        <v>1</v>
      </c>
      <c r="M2620" s="8">
        <f>L2620*G2620</f>
        <v/>
      </c>
      <c r="P2620" s="9" t="n"/>
    </row>
    <row r="2621">
      <c r="A2621" s="11" t="inlineStr">
        <is>
          <t>Embermage Goblin / Mago Ígneo Goblin</t>
        </is>
      </c>
      <c r="B2621" s="11" t="inlineStr">
        <is>
          <t>Creature — Goblin Wizard / Criatura — Mago Goblin</t>
        </is>
      </c>
      <c r="C2621" s="11" t="inlineStr">
        <is>
          <t>Uncommon / Incomum</t>
        </is>
      </c>
      <c r="D2621" s="11" t="inlineStr">
        <is>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is>
      </c>
      <c r="E2621" s="11" t="inlineStr">
        <is>
          <t>{3}{R}</t>
        </is>
      </c>
      <c r="F2621" s="11" t="inlineStr">
        <is>
          <t>Vermelho</t>
        </is>
      </c>
      <c r="G2621" s="8" t="n">
        <v>0.18</v>
      </c>
      <c r="H2621" s="11" t="inlineStr">
        <is>
          <t>Onslaught (ONS)</t>
        </is>
      </c>
      <c r="I2621" s="11" t="inlineStr">
        <is>
          <t>Não</t>
        </is>
      </c>
      <c r="J2621" s="11" t="n">
        <v>2002</v>
      </c>
      <c r="K2621" s="10" t="n">
        <v>46023</v>
      </c>
      <c r="L2621" s="11" t="n">
        <v>1</v>
      </c>
      <c r="M2621" s="8">
        <f>L2621*G2621</f>
        <v/>
      </c>
      <c r="P2621" s="9" t="n"/>
    </row>
    <row r="2622">
      <c r="A2622" s="11" t="inlineStr">
        <is>
          <t>Goblin Firebug / Goblin Toca-Fogo</t>
        </is>
      </c>
      <c r="B2622" s="11" t="inlineStr">
        <is>
          <t>Creature — Goblin / Criatura — Goblin</t>
        </is>
      </c>
      <c r="C2622" s="11" t="inlineStr">
        <is>
          <t>Common / Comum</t>
        </is>
      </c>
      <c r="D2622" s="11" t="inlineStr">
        <is>
          <t>When this creature leaves the battlefield, sacrifice a land. / Quando Goblin Toca-Fogo sair de jogo, sacrifique um terreno.</t>
        </is>
      </c>
      <c r="E2622" s="11" t="inlineStr">
        <is>
          <t>{1}{R}</t>
        </is>
      </c>
      <c r="F2622" s="11" t="inlineStr">
        <is>
          <t>Vermelho</t>
        </is>
      </c>
      <c r="G2622" s="8" t="n">
        <v>0.08</v>
      </c>
      <c r="H2622" s="11" t="inlineStr">
        <is>
          <t>Legions (LGN)</t>
        </is>
      </c>
      <c r="I2622" s="11" t="inlineStr">
        <is>
          <t>Não</t>
        </is>
      </c>
      <c r="J2622" s="11" t="n">
        <v>2003</v>
      </c>
      <c r="K2622" s="10" t="n">
        <v>46055</v>
      </c>
      <c r="L2622" s="11" t="n">
        <v>1</v>
      </c>
      <c r="M2622" s="8">
        <f>L2622*G2622</f>
        <v/>
      </c>
      <c r="P2622" s="9" t="n"/>
    </row>
    <row r="2623">
      <c r="A2623" s="11" t="inlineStr">
        <is>
          <t>Anaba Bodyguard / Guarda-Costas de Anaba</t>
        </is>
      </c>
      <c r="B2623" s="11" t="inlineStr">
        <is>
          <t>Creature — Minotaur / Criatura — Minotauro</t>
        </is>
      </c>
      <c r="C2623" s="11" t="inlineStr">
        <is>
          <t>Common / Comum</t>
        </is>
      </c>
      <c r="D2623" s="11" t="inlineStr">
        <is>
          <t>First strike (This creature deals combat damage before creatures without first strike.) / Iniciativa (Esta criatura causa dano de combate antes de criaturas sem a habilidade de iniciativa.)</t>
        </is>
      </c>
      <c r="E2623" s="11" t="inlineStr">
        <is>
          <t>{3}{R}</t>
        </is>
      </c>
      <c r="F2623" s="11" t="inlineStr">
        <is>
          <t>Vermelho</t>
        </is>
      </c>
      <c r="G2623" s="8" t="n">
        <v>0.05</v>
      </c>
      <c r="H2623" s="11" t="inlineStr">
        <is>
          <t>Homelands (HML)</t>
        </is>
      </c>
      <c r="I2623" s="11" t="inlineStr">
        <is>
          <t>Não</t>
        </is>
      </c>
      <c r="J2623" s="11" t="n">
        <v>1995</v>
      </c>
      <c r="K2623" s="10" t="n">
        <v>46083</v>
      </c>
      <c r="L2623" s="11" t="n">
        <v>2</v>
      </c>
      <c r="M2623" s="8">
        <f>L2623*G2623</f>
        <v/>
      </c>
      <c r="P2623" s="9" t="n"/>
    </row>
    <row r="2624">
      <c r="A2624" s="11" t="inlineStr">
        <is>
          <t>Anaba Shaman / Xamã de Anaba</t>
        </is>
      </c>
      <c r="B2624" s="11" t="inlineStr">
        <is>
          <t>Creature — Minotaur Shaman / Criatura — Xamã Minotauro</t>
        </is>
      </c>
      <c r="C2624" s="11" t="inlineStr">
        <is>
          <t>Common / Comum</t>
        </is>
      </c>
      <c r="D2624" s="11" t="inlineStr">
        <is>
          <t>{R}, {T}: This creature deals 1 damage to any target. / {R}, {T}: Xamã de Anaba causa 1 ponto de dano à criatura ou ao jogador alvo.</t>
        </is>
      </c>
      <c r="E2624" s="11" t="inlineStr">
        <is>
          <t>{3}{R}</t>
        </is>
      </c>
      <c r="F2624" s="11" t="inlineStr">
        <is>
          <t>Vermelho</t>
        </is>
      </c>
      <c r="G2624" s="8" t="n">
        <v>0.06</v>
      </c>
      <c r="H2624" s="11" t="inlineStr">
        <is>
          <t>Homelands (HML)</t>
        </is>
      </c>
      <c r="I2624" s="11" t="inlineStr">
        <is>
          <t>Não</t>
        </is>
      </c>
      <c r="J2624" s="11" t="n">
        <v>1995</v>
      </c>
      <c r="K2624" s="10" t="n">
        <v>46055</v>
      </c>
      <c r="L2624" s="11" t="n">
        <v>3</v>
      </c>
      <c r="M2624" s="8">
        <f>L2624*G2624</f>
        <v/>
      </c>
      <c r="P2624" s="9" t="n"/>
    </row>
    <row r="2625">
      <c r="A2625" s="11" t="inlineStr">
        <is>
          <t>Roc of Kher Ridges</t>
        </is>
      </c>
      <c r="B2625" s="11" t="inlineStr">
        <is>
          <t>Creature — Bird</t>
        </is>
      </c>
      <c r="C2625" s="11" t="inlineStr">
        <is>
          <t>Rare / Rara</t>
        </is>
      </c>
      <c r="D2625" s="11" t="inlineStr">
        <is>
          <t>Flying</t>
        </is>
      </c>
      <c r="E2625" s="11" t="inlineStr">
        <is>
          <t>{3}{R}</t>
        </is>
      </c>
      <c r="F2625" s="11" t="inlineStr">
        <is>
          <t>Vermelho</t>
        </is>
      </c>
      <c r="G2625" s="8" t="n">
        <v>3.75</v>
      </c>
      <c r="H2625" s="11" t="inlineStr">
        <is>
          <t>Revised Edition</t>
        </is>
      </c>
      <c r="I2625" s="11" t="inlineStr">
        <is>
          <t>Não</t>
        </is>
      </c>
      <c r="J2625" s="11" t="n">
        <v>1994</v>
      </c>
      <c r="K2625" s="10" t="n">
        <v>46084</v>
      </c>
      <c r="L2625" s="11" t="n">
        <v>1</v>
      </c>
      <c r="M2625" s="8">
        <f>L2625*G2625</f>
        <v/>
      </c>
      <c r="P2625" s="9" t="n"/>
    </row>
    <row r="2626">
      <c r="A2626" s="11" t="inlineStr">
        <is>
          <t>Varchild's Crusader / Cruzado de Varchild</t>
        </is>
      </c>
      <c r="B2626" s="11" t="inlineStr">
        <is>
          <t>Creature — Human Knight</t>
        </is>
      </c>
      <c r="C2626" s="11" t="inlineStr">
        <is>
          <t>Common / Comum</t>
        </is>
      </c>
      <c r="D2626" s="11" t="inlineStr">
        <is>
          <t>{0}: This creature can't be blocked this turn except by Walls. Sacrifice this creature at the beginning of the next end step.</t>
        </is>
      </c>
      <c r="E2626" s="11" t="inlineStr">
        <is>
          <t>{3}{R}</t>
        </is>
      </c>
      <c r="F2626" s="11" t="inlineStr">
        <is>
          <t>Vermelho</t>
        </is>
      </c>
      <c r="G2626" s="8" t="n">
        <v>0.09</v>
      </c>
      <c r="H2626" s="11" t="inlineStr">
        <is>
          <t>Alliances (ALL)</t>
        </is>
      </c>
      <c r="I2626" s="11" t="inlineStr">
        <is>
          <t>Não</t>
        </is>
      </c>
      <c r="J2626" s="11" t="n">
        <v>1996</v>
      </c>
      <c r="K2626" s="10" t="n">
        <v>46056</v>
      </c>
      <c r="L2626" s="11" t="n">
        <v>1</v>
      </c>
      <c r="M2626" s="8">
        <f>L2626*G2626</f>
        <v/>
      </c>
      <c r="P2626" s="9" t="n"/>
    </row>
    <row r="2627">
      <c r="A2627" s="11" t="inlineStr">
        <is>
          <t>Stone Giant / Gigante de Pedra</t>
        </is>
      </c>
      <c r="B2627" s="11" t="inlineStr">
        <is>
          <t>Creature — Giant / Criatura — Gigante</t>
        </is>
      </c>
      <c r="C2627" s="11" t="inlineStr">
        <is>
          <t>Uncommon / Incomum</t>
        </is>
      </c>
      <c r="D2627" s="11" t="inlineStr">
        <is>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is>
      </c>
      <c r="E2627" s="11" t="inlineStr">
        <is>
          <t>{2}{R}{R}</t>
        </is>
      </c>
      <c r="F2627" s="11" t="inlineStr">
        <is>
          <t>Vermelho</t>
        </is>
      </c>
      <c r="G2627" s="8" t="n">
        <v>0.2</v>
      </c>
      <c r="H2627" s="11" t="inlineStr">
        <is>
          <t>Fourth Edition (BB)</t>
        </is>
      </c>
      <c r="I2627" s="11" t="inlineStr">
        <is>
          <t>Não</t>
        </is>
      </c>
      <c r="J2627" s="11" t="n">
        <v>1995</v>
      </c>
      <c r="K2627" s="10" t="n">
        <v>46115</v>
      </c>
      <c r="L2627" s="11" t="n">
        <v>2</v>
      </c>
      <c r="M2627" s="8">
        <f>L2627*G2627</f>
        <v/>
      </c>
      <c r="P2627" s="9" t="n"/>
    </row>
    <row r="2628">
      <c r="A2628" s="11" t="inlineStr">
        <is>
          <t>Dragon Whelp / Filhote de Dragão</t>
        </is>
      </c>
      <c r="B2628" s="11" t="inlineStr">
        <is>
          <t>Creature — Dragon / Criatura — Dragão</t>
        </is>
      </c>
      <c r="C2628" s="11" t="inlineStr">
        <is>
          <t>Uncommon / Incomum</t>
        </is>
      </c>
      <c r="D2628" s="11"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2628" s="11" t="inlineStr">
        <is>
          <t>{2}{R}{R}</t>
        </is>
      </c>
      <c r="F2628" s="11" t="inlineStr">
        <is>
          <t>Vermelho</t>
        </is>
      </c>
      <c r="G2628" s="8" t="n">
        <v>0.5</v>
      </c>
      <c r="H2628" s="11" t="inlineStr">
        <is>
          <t>Fourth Edition (BB)</t>
        </is>
      </c>
      <c r="I2628" s="11" t="inlineStr">
        <is>
          <t>Não</t>
        </is>
      </c>
      <c r="J2628" s="11" t="n">
        <v>1995</v>
      </c>
      <c r="K2628" s="10" t="n">
        <v>46083</v>
      </c>
      <c r="L2628" s="11" t="n">
        <v>1</v>
      </c>
      <c r="M2628" s="8">
        <f>L2628*G2628</f>
        <v/>
      </c>
      <c r="P2628" s="9" t="n"/>
    </row>
    <row r="2629">
      <c r="A2629" s="11" t="inlineStr">
        <is>
          <t>Dragon Whelp / Filhote de Dragão</t>
        </is>
      </c>
      <c r="B2629" s="11" t="inlineStr">
        <is>
          <t>Creature — Dragon / Criatura — Dragão</t>
        </is>
      </c>
      <c r="C2629" s="11" t="inlineStr">
        <is>
          <t>Uncommon / Incomum</t>
        </is>
      </c>
      <c r="D2629" s="11"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2629" s="11" t="inlineStr">
        <is>
          <t>{2}{R}{R}</t>
        </is>
      </c>
      <c r="F2629" s="11" t="inlineStr">
        <is>
          <t>Vermelho</t>
        </is>
      </c>
      <c r="G2629" s="8" t="n">
        <v>0.1</v>
      </c>
      <c r="H2629" s="11" t="inlineStr">
        <is>
          <t>Fourth Edition</t>
        </is>
      </c>
      <c r="I2629" s="11" t="inlineStr">
        <is>
          <t>Não</t>
        </is>
      </c>
      <c r="J2629" s="11" t="n">
        <v>1995</v>
      </c>
      <c r="K2629" s="10" t="n">
        <v>46083</v>
      </c>
      <c r="L2629" s="11" t="n">
        <v>3</v>
      </c>
      <c r="M2629" s="8">
        <f>L2629*G2629</f>
        <v/>
      </c>
      <c r="P2629" s="9" t="n"/>
    </row>
    <row r="2630">
      <c r="A2630" s="11" t="inlineStr">
        <is>
          <t>Bone Shaman / Xamã dos Ossos</t>
        </is>
      </c>
      <c r="B2630" s="11" t="inlineStr">
        <is>
          <t>Creature — Giant Shaman</t>
        </is>
      </c>
      <c r="C2630" s="11" t="inlineStr">
        <is>
          <t>Common / Comum</t>
        </is>
      </c>
      <c r="D2630" s="11" t="inlineStr">
        <is>
          <t>{B}: Until end of turn, this creature gains "Creatures dealt damage by this creature this turn can't be regenerated this turn."</t>
        </is>
      </c>
      <c r="E2630" s="11" t="inlineStr">
        <is>
          <t>{2}{R}{R}</t>
        </is>
      </c>
      <c r="F2630" s="11" t="inlineStr">
        <is>
          <t>Vermelho</t>
        </is>
      </c>
      <c r="G2630" s="8" t="n">
        <v>0.05</v>
      </c>
      <c r="H2630" s="11" t="inlineStr">
        <is>
          <t>Ice Age (ICE)</t>
        </is>
      </c>
      <c r="I2630" s="11" t="inlineStr">
        <is>
          <t>Não</t>
        </is>
      </c>
      <c r="J2630" s="11" t="n">
        <v>1995</v>
      </c>
      <c r="K2630" s="10" t="n">
        <v>46084</v>
      </c>
      <c r="L2630" s="11" t="n">
        <v>2</v>
      </c>
      <c r="M2630" s="8">
        <f>L2630*G2630</f>
        <v/>
      </c>
      <c r="P2630" s="9" t="n"/>
    </row>
    <row r="2631">
      <c r="A2631" s="11" t="inlineStr">
        <is>
          <t>Chandler</t>
        </is>
      </c>
      <c r="B2631" s="11" t="inlineStr">
        <is>
          <t>Legendary Creature — Human Rogue</t>
        </is>
      </c>
      <c r="C2631" s="11" t="inlineStr">
        <is>
          <t>Common / Comum</t>
        </is>
      </c>
      <c r="D2631" s="11" t="inlineStr">
        <is>
          <t>{R}{R}{R}, {T}: Destroy target artifact creature.</t>
        </is>
      </c>
      <c r="E2631" s="11" t="inlineStr">
        <is>
          <t>{4}{R}</t>
        </is>
      </c>
      <c r="F2631" s="11" t="inlineStr">
        <is>
          <t>Vermelho</t>
        </is>
      </c>
      <c r="G2631" s="8" t="n">
        <v>0.1</v>
      </c>
      <c r="H2631" s="11" t="inlineStr">
        <is>
          <t>Homelands (HML)</t>
        </is>
      </c>
      <c r="I2631" s="11" t="inlineStr">
        <is>
          <t>Não</t>
        </is>
      </c>
      <c r="J2631" s="11" t="n">
        <v>1995</v>
      </c>
      <c r="K2631" s="10" t="n">
        <v>46084</v>
      </c>
      <c r="L2631" s="11" t="n">
        <v>1</v>
      </c>
      <c r="M2631" s="8">
        <f>L2631*G2631</f>
        <v/>
      </c>
      <c r="P2631" s="9" t="n"/>
    </row>
    <row r="2632">
      <c r="A2632" s="11" t="inlineStr">
        <is>
          <t>Flamestick Courier / Mensageiro do Archote</t>
        </is>
      </c>
      <c r="B2632" s="11" t="inlineStr">
        <is>
          <t>Creature — Goblin / Criatura — Goblin</t>
        </is>
      </c>
      <c r="C2632" s="11" t="inlineStr">
        <is>
          <t>Uncommon / Incomum</t>
        </is>
      </c>
      <c r="D2632" s="11" t="inlineStr">
        <is>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is>
      </c>
      <c r="E2632" s="11" t="inlineStr">
        <is>
          <t>{2}{R}</t>
        </is>
      </c>
      <c r="F2632" s="11" t="inlineStr">
        <is>
          <t>Vermelho</t>
        </is>
      </c>
      <c r="G2632" s="8" t="n">
        <v>0.08</v>
      </c>
      <c r="H2632" s="11" t="inlineStr">
        <is>
          <t>Onslaught (ONS)</t>
        </is>
      </c>
      <c r="I2632" s="11" t="inlineStr">
        <is>
          <t>Não</t>
        </is>
      </c>
      <c r="J2632" s="11" t="n">
        <v>2002</v>
      </c>
      <c r="K2632" s="10" t="n">
        <v>46024</v>
      </c>
      <c r="L2632" s="11" t="n">
        <v>1</v>
      </c>
      <c r="M2632" s="8">
        <f>L2632*G2632</f>
        <v/>
      </c>
      <c r="P2632" s="9" t="n"/>
    </row>
    <row r="2633">
      <c r="A2633" s="11" t="inlineStr">
        <is>
          <t>Goblin Sky Raider / Goblin Atacante Celeste</t>
        </is>
      </c>
      <c r="B2633" s="11" t="inlineStr">
        <is>
          <t>Creature — Goblin Warrior / Criatura — Goblin Guerreiro</t>
        </is>
      </c>
      <c r="C2633" s="11" t="inlineStr">
        <is>
          <t>Common / Comum</t>
        </is>
      </c>
      <c r="D2633" s="11" t="inlineStr">
        <is>
          <t>Flying (This creature can't be blocked except by creatures with flying or reach.) / Voar (Esta criatura só pode ser bloqueada por criaturas com a habilidade de voar ou alcance.)</t>
        </is>
      </c>
      <c r="E2633" s="11" t="inlineStr">
        <is>
          <t>{2}{R}</t>
        </is>
      </c>
      <c r="F2633" s="11" t="inlineStr">
        <is>
          <t>Vermelho</t>
        </is>
      </c>
      <c r="G2633" s="8" t="n">
        <v>0.05</v>
      </c>
      <c r="H2633" s="11" t="inlineStr">
        <is>
          <t>Onslaught (ONS)</t>
        </is>
      </c>
      <c r="I2633" s="11" t="inlineStr">
        <is>
          <t>Não</t>
        </is>
      </c>
      <c r="J2633" s="11" t="n">
        <v>2002</v>
      </c>
      <c r="K2633" s="10" t="n">
        <v>46054</v>
      </c>
      <c r="L2633" s="11" t="n">
        <v>1</v>
      </c>
      <c r="M2633" s="8">
        <f>L2633*G2633</f>
        <v/>
      </c>
      <c r="P2633" s="9" t="n"/>
    </row>
    <row r="2634">
      <c r="A2634" s="11" t="inlineStr">
        <is>
          <t>Nosy Goblin / Goblin Intrometido</t>
        </is>
      </c>
      <c r="B2634" s="11" t="inlineStr">
        <is>
          <t>Creature — Goblin / Criatura — Goblin</t>
        </is>
      </c>
      <c r="C2634" s="11" t="inlineStr">
        <is>
          <t>Common / Comum</t>
        </is>
      </c>
      <c r="D2634" s="11" t="inlineStr">
        <is>
          <t>{T}, Sacrifice this creature: Destroy target face-down creature. / {T}, Sacrifique Goblin Intrometido: Destrói a criatura alvo com a face voltada para baixo.</t>
        </is>
      </c>
      <c r="E2634" s="11" t="inlineStr">
        <is>
          <t>{2}{R}</t>
        </is>
      </c>
      <c r="F2634" s="11" t="inlineStr">
        <is>
          <t>Vermelho</t>
        </is>
      </c>
      <c r="G2634" s="8" t="n">
        <v>0.05</v>
      </c>
      <c r="H2634" s="11" t="inlineStr">
        <is>
          <t>Onslaught (ONS)</t>
        </is>
      </c>
      <c r="I2634" s="11" t="inlineStr">
        <is>
          <t>Não</t>
        </is>
      </c>
      <c r="J2634" s="11" t="n">
        <v>2002</v>
      </c>
      <c r="K2634" s="10" t="n">
        <v>46024</v>
      </c>
      <c r="L2634" s="11" t="n">
        <v>1</v>
      </c>
      <c r="M2634" s="8">
        <f>L2634*G2634</f>
        <v/>
      </c>
      <c r="P2634" s="9" t="n"/>
    </row>
    <row r="2635">
      <c r="A2635" s="11" t="inlineStr">
        <is>
          <t>Rock Jockey / Jóquei de Pedras</t>
        </is>
      </c>
      <c r="B2635" s="11" t="inlineStr">
        <is>
          <t>Creature — Goblin / Criatura — Goblin</t>
        </is>
      </c>
      <c r="C2635" s="11" t="inlineStr">
        <is>
          <t>Common / Comum</t>
        </is>
      </c>
      <c r="D2635" s="11" t="inlineStr">
        <is>
          <t>You can't cast Rock Jockey if you've played a land this turn. You can't play lands if this creature was cast this turn. / Você não pode baixar Jóquei de Pedras se tiver baixado um terreno neste turno. Você não pode baixar terrenos se tiver baixado Jóquei de Pedras neste turno.</t>
        </is>
      </c>
      <c r="E2635" s="11" t="inlineStr">
        <is>
          <t>{2}{R}</t>
        </is>
      </c>
      <c r="F2635" s="11" t="inlineStr">
        <is>
          <t>Vermelho</t>
        </is>
      </c>
      <c r="G2635" s="8" t="n">
        <v>0.06</v>
      </c>
      <c r="H2635" s="11" t="inlineStr">
        <is>
          <t>Scourge (SCG)</t>
        </is>
      </c>
      <c r="I2635" s="11" t="inlineStr">
        <is>
          <t>Não</t>
        </is>
      </c>
      <c r="J2635" s="11" t="n">
        <v>2003</v>
      </c>
      <c r="K2635" s="10" t="n">
        <v>46084</v>
      </c>
      <c r="L2635" s="11" t="n">
        <v>1</v>
      </c>
      <c r="M2635" s="8">
        <f>L2635*G2635</f>
        <v/>
      </c>
      <c r="P2635" s="9" t="n"/>
    </row>
    <row r="2636">
      <c r="A2636" s="11" t="inlineStr">
        <is>
          <t>Skirk Commando / Comando de Skirk</t>
        </is>
      </c>
      <c r="B2636" s="11" t="inlineStr">
        <is>
          <t>Creature — Goblin / Criatura — Goblin</t>
        </is>
      </c>
      <c r="C2636" s="11" t="inlineStr">
        <is>
          <t>Common / Comum</t>
        </is>
      </c>
      <c r="D2636" s="11" t="inlineStr">
        <is>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is>
      </c>
      <c r="E2636" s="11" t="inlineStr">
        <is>
          <t>{1}{R}{R}</t>
        </is>
      </c>
      <c r="F2636" s="11" t="inlineStr">
        <is>
          <t>Vermelho</t>
        </is>
      </c>
      <c r="G2636" s="8" t="n">
        <v>0.04</v>
      </c>
      <c r="H2636" s="11" t="inlineStr">
        <is>
          <t>Onslaught (ONS)</t>
        </is>
      </c>
      <c r="I2636" s="11" t="inlineStr">
        <is>
          <t>Não</t>
        </is>
      </c>
      <c r="J2636" s="11" t="n">
        <v>2002</v>
      </c>
      <c r="K2636" s="10" t="n">
        <v>46024</v>
      </c>
      <c r="L2636" s="11" t="n">
        <v>1</v>
      </c>
      <c r="M2636" s="8">
        <f>L2636*G2636</f>
        <v/>
      </c>
      <c r="P2636" s="9" t="n"/>
    </row>
    <row r="2637">
      <c r="A2637" s="11" t="inlineStr">
        <is>
          <t>Krark-Clan Shaman / Xamã do Clã de Krark</t>
        </is>
      </c>
      <c r="B2637" s="11" t="inlineStr">
        <is>
          <t>Creature — Goblin Shaman / Criatura — Xamã Goblin</t>
        </is>
      </c>
      <c r="C2637" s="11" t="inlineStr">
        <is>
          <t>Common / Comum</t>
        </is>
      </c>
      <c r="D2637" s="11" t="inlineStr">
        <is>
          <t>Sacrifice an artifact: This creature deals 1 damage to each creature without flying. / Sacrifique um artefato: Xamã do Clã de Krark causa 1 ponto de dano a cada criatura sem a habilidade de voar.</t>
        </is>
      </c>
      <c r="E2637" s="11" t="inlineStr">
        <is>
          <t>{R}</t>
        </is>
      </c>
      <c r="F2637" s="11" t="inlineStr">
        <is>
          <t>Vermelho</t>
        </is>
      </c>
      <c r="G2637" s="8" t="n">
        <v>39.21</v>
      </c>
      <c r="H2637" s="11" t="inlineStr">
        <is>
          <t>Mirrodin (MRD)</t>
        </is>
      </c>
      <c r="I2637" s="11" t="inlineStr">
        <is>
          <t>Não</t>
        </is>
      </c>
      <c r="J2637" s="11" t="n">
        <v>2003</v>
      </c>
      <c r="K2637" s="10" t="n">
        <v>46023</v>
      </c>
      <c r="L2637" s="11" t="n">
        <v>1</v>
      </c>
      <c r="M2637" s="8">
        <f>L2637*G2637</f>
        <v/>
      </c>
      <c r="P2637" s="9" t="n"/>
    </row>
    <row r="2638">
      <c r="A2638" s="11" t="inlineStr">
        <is>
          <t>Gorilla Shaman / Xamã dos Gorilas</t>
        </is>
      </c>
      <c r="B2638" s="11" t="inlineStr">
        <is>
          <t>Creature — Ape Shaman / Criatura — Símio Xamã</t>
        </is>
      </c>
      <c r="C2638" s="11" t="inlineStr">
        <is>
          <t>Common / Comum</t>
        </is>
      </c>
      <c r="D2638" s="11" t="inlineStr">
        <is>
          <t>{X}{X}{1}: Destroy target noncreature artifact with mana value X. / {X}{X}{1}: Destrua o artefato alvo não de criatura com valor de mana igual a X.</t>
        </is>
      </c>
      <c r="E2638" s="11" t="inlineStr">
        <is>
          <t>{R}</t>
        </is>
      </c>
      <c r="F2638" s="11" t="inlineStr">
        <is>
          <t>Vermelho</t>
        </is>
      </c>
      <c r="G2638" s="8" t="n">
        <v>1.64</v>
      </c>
      <c r="H2638" s="11" t="inlineStr">
        <is>
          <t>Alliances (ALL)</t>
        </is>
      </c>
      <c r="I2638" s="11" t="inlineStr">
        <is>
          <t>Não</t>
        </is>
      </c>
      <c r="J2638" s="11" t="n">
        <v>1996</v>
      </c>
      <c r="K2638" s="10" t="n">
        <v>46023</v>
      </c>
      <c r="L2638" s="11" t="n">
        <v>2</v>
      </c>
      <c r="M2638" s="8">
        <f>L2638*G2638</f>
        <v/>
      </c>
      <c r="P2638" s="9" t="n"/>
    </row>
    <row r="2639">
      <c r="A2639" s="11" t="inlineStr">
        <is>
          <t>Gorilla Shaman / Xamã dos Gorilas</t>
        </is>
      </c>
      <c r="B2639" s="11" t="inlineStr">
        <is>
          <t>Creature — Ape Shaman / Criatura — Símio Xamã</t>
        </is>
      </c>
      <c r="C2639" s="11" t="inlineStr">
        <is>
          <t>Common / Comum</t>
        </is>
      </c>
      <c r="D2639" s="11" t="inlineStr">
        <is>
          <t>{X}{X}{1}: Destroy target noncreature artifact with mana value X. / {X}{X}{1}: Destrua o artefato alvo não de criatura com valor de mana igual a X.</t>
        </is>
      </c>
      <c r="E2639" s="11" t="inlineStr">
        <is>
          <t>{R}</t>
        </is>
      </c>
      <c r="F2639" s="11" t="inlineStr">
        <is>
          <t>Vermelho</t>
        </is>
      </c>
      <c r="G2639" s="8" t="n">
        <v>1.49</v>
      </c>
      <c r="H2639" s="11" t="inlineStr">
        <is>
          <t>Alliances (ALL)</t>
        </is>
      </c>
      <c r="I2639" s="11" t="inlineStr">
        <is>
          <t>Não</t>
        </is>
      </c>
      <c r="J2639" s="11" t="n">
        <v>1996</v>
      </c>
      <c r="K2639" s="10" t="n">
        <v>46023</v>
      </c>
      <c r="L2639" s="11" t="n">
        <v>2</v>
      </c>
      <c r="M2639" s="8">
        <f>L2639*G2639</f>
        <v/>
      </c>
      <c r="P2639" s="9" t="n"/>
    </row>
    <row r="2640">
      <c r="A2640" s="11" t="inlineStr">
        <is>
          <t>Granite Gargoyle</t>
        </is>
      </c>
      <c r="B2640" s="11" t="inlineStr">
        <is>
          <t>Creature — Gargoyle</t>
        </is>
      </c>
      <c r="C2640" s="11" t="inlineStr">
        <is>
          <t>Rare / Rara</t>
        </is>
      </c>
      <c r="D2640" s="11" t="inlineStr">
        <is>
          <t>Flying {R}: This creature gets +0/+1 until end of turn.</t>
        </is>
      </c>
      <c r="E2640" s="11" t="inlineStr">
        <is>
          <t>{2}{R}</t>
        </is>
      </c>
      <c r="F2640" s="11" t="inlineStr">
        <is>
          <t>Vermelho</t>
        </is>
      </c>
      <c r="G2640" s="8" t="n">
        <v>9.75</v>
      </c>
      <c r="H2640" s="11" t="inlineStr">
        <is>
          <t>Revised Edition</t>
        </is>
      </c>
      <c r="I2640" s="11" t="inlineStr">
        <is>
          <t>Não</t>
        </is>
      </c>
      <c r="J2640" s="11" t="n">
        <v>1994</v>
      </c>
      <c r="K2640" s="10" t="n">
        <v>46055</v>
      </c>
      <c r="L2640" s="11" t="n">
        <v>1</v>
      </c>
      <c r="M2640" s="8">
        <f>L2640*G2640</f>
        <v/>
      </c>
      <c r="P2640" s="9" t="n"/>
    </row>
    <row r="2641">
      <c r="A2641" s="11" t="inlineStr">
        <is>
          <t>Orcish Farmer / Fazendeiro Orc</t>
        </is>
      </c>
      <c r="B2641" s="11" t="inlineStr">
        <is>
          <t>Creature — Orc</t>
        </is>
      </c>
      <c r="C2641" s="11" t="inlineStr">
        <is>
          <t>Common / Comum</t>
        </is>
      </c>
      <c r="D2641" s="11" t="inlineStr">
        <is>
          <t>{T}: Target land becomes a Swamp until its controller's next untap step.</t>
        </is>
      </c>
      <c r="E2641" s="11" t="inlineStr">
        <is>
          <t>{1}{R}{R}</t>
        </is>
      </c>
      <c r="F2641" s="11" t="inlineStr">
        <is>
          <t>Vermelho</t>
        </is>
      </c>
      <c r="G2641" s="8" t="n">
        <v>0.05</v>
      </c>
      <c r="H2641" s="11" t="inlineStr">
        <is>
          <t>Ice Age (ICE)</t>
        </is>
      </c>
      <c r="I2641" s="11" t="inlineStr">
        <is>
          <t>Não</t>
        </is>
      </c>
      <c r="J2641" s="11" t="n">
        <v>1995</v>
      </c>
      <c r="K2641" s="10" t="n">
        <v>46055</v>
      </c>
      <c r="L2641" s="11" t="n">
        <v>1</v>
      </c>
      <c r="M2641" s="8">
        <f>L2641*G2641</f>
        <v/>
      </c>
      <c r="P2641" s="9" t="n"/>
    </row>
    <row r="2642">
      <c r="A2642" s="11" t="inlineStr">
        <is>
          <t>Spikeshot Goblin / Goblin Atira-Ferrões</t>
        </is>
      </c>
      <c r="B2642" s="11" t="inlineStr">
        <is>
          <t>Creature — Goblin Shaman / Criatura — Xamã Goblin</t>
        </is>
      </c>
      <c r="C2642" s="11" t="inlineStr">
        <is>
          <t>Common / Comum</t>
        </is>
      </c>
      <c r="D2642" s="11" t="inlineStr">
        <is>
          <t>{R}, {T}: This creature deals damage equal to its power to any target. / {R}, {T}: Goblin Atira-Ferrões causa uma quantidade de dano igual ao seu poder à criatura alvo ou ao jogador alvo.</t>
        </is>
      </c>
      <c r="E2642" s="11" t="inlineStr">
        <is>
          <t>{2}{R}</t>
        </is>
      </c>
      <c r="F2642" s="11" t="inlineStr">
        <is>
          <t>Vermelho</t>
        </is>
      </c>
      <c r="G2642" s="8" t="n">
        <v>0.05</v>
      </c>
      <c r="H2642" s="11" t="inlineStr">
        <is>
          <t>Mirrodin (MRD)</t>
        </is>
      </c>
      <c r="I2642" s="11" t="inlineStr">
        <is>
          <t>Não</t>
        </is>
      </c>
      <c r="J2642" s="11" t="n">
        <v>2003</v>
      </c>
      <c r="K2642" s="10" t="n">
        <v>46054</v>
      </c>
      <c r="L2642" s="11" t="n">
        <v>1</v>
      </c>
      <c r="M2642" s="8">
        <f>L2642*G2642</f>
        <v/>
      </c>
      <c r="P2642" s="9" t="n"/>
    </row>
    <row r="2643">
      <c r="A2643" s="11" t="inlineStr">
        <is>
          <t>Dwarven Blastminer / Anão Detonador</t>
        </is>
      </c>
      <c r="B2643" s="11" t="inlineStr">
        <is>
          <t>Criatura — Anão / Creature — Dwarf</t>
        </is>
      </c>
      <c r="C2643" s="11" t="inlineStr">
        <is>
          <t>Rara / Rare</t>
        </is>
      </c>
      <c r="D2643" s="11" t="inlineStr">
        <is>
          <t>{2}{R}, {T}: Destrua o terreno alvo não básico. / {2}{R}, {T}: Destroy target nonbasic land. Morf {R} (Você pode conjurar esta face voltada para baixo como uma criatura 2/2 por {3}. Vire-a para cima a qualquer momento pelo seu custo de morf.) / Morph {R} (You may play this face down as a 2/2 creature for {3}. Turn it face up any time for its morph cost.)</t>
        </is>
      </c>
      <c r="E2643" s="11" t="inlineStr">
        <is>
          <t>{1}{R}</t>
        </is>
      </c>
      <c r="F2643" s="11" t="inlineStr">
        <is>
          <t>Vermelho</t>
        </is>
      </c>
      <c r="G2643" s="8" t="n">
        <v>26.9</v>
      </c>
      <c r="H2643" s="11" t="inlineStr">
        <is>
          <t>Onslaught (ONS)</t>
        </is>
      </c>
      <c r="I2643" s="11" t="inlineStr">
        <is>
          <t>Não</t>
        </is>
      </c>
      <c r="J2643" s="11" t="n">
        <v>2002</v>
      </c>
      <c r="K2643" s="10" t="n">
        <v>46023</v>
      </c>
      <c r="L2643" s="11" t="n">
        <v>1</v>
      </c>
      <c r="M2643" s="8">
        <f>L2643*G2643</f>
        <v/>
      </c>
      <c r="P2643" s="9" t="n"/>
    </row>
    <row r="2644">
      <c r="A2644" s="11" t="inlineStr">
        <is>
          <t>Earth Elemental / Elemental da Terra</t>
        </is>
      </c>
      <c r="B2644" s="11" t="inlineStr">
        <is>
          <t>Creature — Elemental / Criatura — Elemental</t>
        </is>
      </c>
      <c r="C2644" s="11" t="inlineStr">
        <is>
          <t>Uncommon / Incomum</t>
        </is>
      </c>
      <c r="E2644" s="11" t="inlineStr">
        <is>
          <t>{3}{R}{R}</t>
        </is>
      </c>
      <c r="F2644" s="11" t="inlineStr">
        <is>
          <t>Vermelho</t>
        </is>
      </c>
      <c r="G2644" s="8" t="n">
        <v>0.05</v>
      </c>
      <c r="H2644" s="11" t="inlineStr">
        <is>
          <t>Fourth Edition</t>
        </is>
      </c>
      <c r="I2644" s="11" t="inlineStr">
        <is>
          <t>Não</t>
        </is>
      </c>
      <c r="J2644" s="11" t="n">
        <v>1995</v>
      </c>
      <c r="K2644" s="10" t="n">
        <v>46146</v>
      </c>
      <c r="L2644" s="11" t="n">
        <v>2</v>
      </c>
      <c r="M2644" s="8">
        <f>L2644*G2644</f>
        <v/>
      </c>
      <c r="P2644" s="9" t="n"/>
    </row>
    <row r="2645">
      <c r="A2645" s="11" t="inlineStr">
        <is>
          <t>Joven</t>
        </is>
      </c>
      <c r="B2645" s="11" t="inlineStr">
        <is>
          <t>Summon Legend</t>
        </is>
      </c>
      <c r="C2645" s="11" t="inlineStr">
        <is>
          <t>Uncommon</t>
        </is>
      </c>
      <c r="D2645" s="11" t="inlineStr">
        <is>
          <t>{R}{R}{R}, {T}: Destroy target non-creature artifact.</t>
        </is>
      </c>
      <c r="E2645" s="11" t="inlineStr">
        <is>
          <t>{3}{R}{R}</t>
        </is>
      </c>
      <c r="F2645" s="11" t="inlineStr">
        <is>
          <t>Vermelho</t>
        </is>
      </c>
      <c r="G2645" s="8" t="n">
        <v>0.2</v>
      </c>
      <c r="H2645" s="11" t="inlineStr">
        <is>
          <t>Homelands (HML)</t>
        </is>
      </c>
      <c r="I2645" s="11" t="inlineStr">
        <is>
          <t>Não</t>
        </is>
      </c>
      <c r="J2645" s="11" t="n">
        <v>1995</v>
      </c>
      <c r="K2645" s="10" t="n">
        <v>46084</v>
      </c>
      <c r="L2645" s="11" t="n">
        <v>1</v>
      </c>
      <c r="M2645" s="8">
        <f>L2645*G2645</f>
        <v/>
      </c>
      <c r="P2645" s="9" t="n"/>
    </row>
    <row r="2646">
      <c r="A2646" s="11" t="inlineStr">
        <is>
          <t>Anões Guerreiros / Dwarven Warriors</t>
        </is>
      </c>
      <c r="B2646" s="11" t="inlineStr">
        <is>
          <t>Invocar Anões / Summon Dwarves</t>
        </is>
      </c>
      <c r="C2646" s="11" t="inlineStr">
        <is>
          <t>Comum / Common</t>
        </is>
      </c>
      <c r="D2646"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6" s="11" t="inlineStr">
        <is>
          <t>{2}{R}</t>
        </is>
      </c>
      <c r="F2646" s="11" t="inlineStr">
        <is>
          <t>Vermelho</t>
        </is>
      </c>
      <c r="G2646" s="8" t="n">
        <v>0.16</v>
      </c>
      <c r="H2646" s="11" t="inlineStr">
        <is>
          <t>Fourth Edition (BB)</t>
        </is>
      </c>
      <c r="I2646" s="11" t="inlineStr">
        <is>
          <t>Não</t>
        </is>
      </c>
      <c r="J2646" s="11" t="n">
        <v>1995</v>
      </c>
      <c r="K2646" s="10" t="n">
        <v>46023</v>
      </c>
      <c r="L2646" s="11" t="n">
        <v>1</v>
      </c>
      <c r="M2646" s="8">
        <f>L2646*G2646</f>
        <v/>
      </c>
      <c r="P2646" s="9" t="n"/>
    </row>
    <row r="2647">
      <c r="A2647" s="11" t="inlineStr">
        <is>
          <t>Anões Guerreiros / Dwarven Warriors</t>
        </is>
      </c>
      <c r="B2647" s="11" t="inlineStr">
        <is>
          <t>Invocar Anões / Summon Dwarves</t>
        </is>
      </c>
      <c r="C2647" s="11" t="inlineStr">
        <is>
          <t>Comum / Common</t>
        </is>
      </c>
      <c r="D2647"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7" s="11" t="inlineStr">
        <is>
          <t>{2}{R}</t>
        </is>
      </c>
      <c r="F2647" s="11" t="inlineStr">
        <is>
          <t>Vermelho</t>
        </is>
      </c>
      <c r="G2647" s="8" t="n">
        <v>0.05</v>
      </c>
      <c r="H2647" s="11" t="inlineStr">
        <is>
          <t xml:space="preserve">Fourth Edition </t>
        </is>
      </c>
      <c r="I2647" s="11" t="inlineStr">
        <is>
          <t>Não</t>
        </is>
      </c>
      <c r="J2647" s="11" t="n">
        <v>1995</v>
      </c>
      <c r="K2647" s="10" t="n">
        <v>46023</v>
      </c>
      <c r="L2647" s="11" t="n">
        <v>5</v>
      </c>
      <c r="M2647" s="8">
        <f>L2647*G2647</f>
        <v/>
      </c>
      <c r="P2647" s="9" t="n"/>
    </row>
    <row r="2648">
      <c r="A2648" s="11" t="inlineStr">
        <is>
          <t>Anões Guerreiros / Dwarven Warriors</t>
        </is>
      </c>
      <c r="B2648" s="11" t="inlineStr">
        <is>
          <t>Invocar Anões / Summon Dwarves</t>
        </is>
      </c>
      <c r="C2648" s="11" t="inlineStr">
        <is>
          <t>Comum / Common</t>
        </is>
      </c>
      <c r="D2648" s="11" t="inlineStr">
        <is>
          <t>{T}: Uma criatura-alvo com poder menor ou igual a 2 torna-se impossível de ser bloqueada até o final do turno. Mais tarde naquele combate, pode-se usar outros efeitos para aumentar o poder da criatura a um valor maior do que 2. / {T}: Target creature with power 2 or less is unblockable this turn. {T}: Target creature with power 2 or less can't be blocked this turn.</t>
        </is>
      </c>
      <c r="E2648" s="11" t="inlineStr">
        <is>
          <t>{2}{R}</t>
        </is>
      </c>
      <c r="F2648" s="11" t="inlineStr">
        <is>
          <t>Vermelho</t>
        </is>
      </c>
      <c r="G2648" s="8" t="n">
        <v>0.12</v>
      </c>
      <c r="H2648" s="11" t="inlineStr">
        <is>
          <t>Revised Edition</t>
        </is>
      </c>
      <c r="I2648" s="11" t="inlineStr">
        <is>
          <t>Não</t>
        </is>
      </c>
      <c r="J2648" s="11" t="n">
        <v>1994</v>
      </c>
      <c r="K2648" s="10" t="n">
        <v>46023</v>
      </c>
      <c r="L2648" s="11" t="n">
        <v>1</v>
      </c>
      <c r="M2648" s="8">
        <f>L2648*G2648</f>
        <v/>
      </c>
      <c r="P2648" s="9" t="n"/>
    </row>
    <row r="2649">
      <c r="A2649" s="11" t="inlineStr">
        <is>
          <t>Sisters of the Flame / Irmãs da Chama</t>
        </is>
      </c>
      <c r="B2649" s="11" t="inlineStr">
        <is>
          <t>Creature — Human Shaman</t>
        </is>
      </c>
      <c r="C2649" s="11" t="inlineStr">
        <is>
          <t>Uncommon / Incomum</t>
        </is>
      </c>
      <c r="D2649" s="11" t="inlineStr">
        <is>
          <t>{T}: Add {R}.</t>
        </is>
      </c>
      <c r="E2649" s="11" t="inlineStr">
        <is>
          <t>{1}{R}{R}</t>
        </is>
      </c>
      <c r="F2649" s="11" t="inlineStr">
        <is>
          <t>Vermelho</t>
        </is>
      </c>
      <c r="G2649" s="8" t="n">
        <v>0.15</v>
      </c>
      <c r="H2649" s="11" t="inlineStr">
        <is>
          <t>Fourth Edition (BB)</t>
        </is>
      </c>
      <c r="I2649" s="11" t="inlineStr">
        <is>
          <t>Não</t>
        </is>
      </c>
      <c r="J2649" s="11" t="n">
        <v>1995</v>
      </c>
      <c r="K2649" s="10" t="n">
        <v>46055</v>
      </c>
      <c r="L2649" s="11" t="n">
        <v>6</v>
      </c>
      <c r="M2649" s="8">
        <f>L2649*G2649</f>
        <v/>
      </c>
      <c r="P2649" s="9" t="n"/>
    </row>
    <row r="2650">
      <c r="A2650" s="11" t="inlineStr">
        <is>
          <t>Sisters of the Flame / Irmãs da Chama</t>
        </is>
      </c>
      <c r="B2650" s="11" t="inlineStr">
        <is>
          <t>Creature — Human Shaman</t>
        </is>
      </c>
      <c r="C2650" s="11" t="inlineStr">
        <is>
          <t>Uncommon / Incomum</t>
        </is>
      </c>
      <c r="D2650" s="11" t="inlineStr">
        <is>
          <t>{T}: Add {R}.</t>
        </is>
      </c>
      <c r="E2650" s="11" t="inlineStr">
        <is>
          <t>{1}{R}{R}</t>
        </is>
      </c>
      <c r="F2650" s="11" t="inlineStr">
        <is>
          <t>Vermelho</t>
        </is>
      </c>
      <c r="G2650" s="8" t="n">
        <v>0.05</v>
      </c>
      <c r="H2650" s="11" t="inlineStr">
        <is>
          <t xml:space="preserve">Fourth Edition </t>
        </is>
      </c>
      <c r="I2650" s="11" t="inlineStr">
        <is>
          <t>Não</t>
        </is>
      </c>
      <c r="J2650" s="11" t="n">
        <v>1995</v>
      </c>
      <c r="K2650" s="10" t="n">
        <v>46055</v>
      </c>
      <c r="L2650" s="11" t="n">
        <v>2</v>
      </c>
      <c r="M2650" s="8">
        <f>L2650*G2650</f>
        <v/>
      </c>
      <c r="P2650" s="9" t="n"/>
    </row>
    <row r="2651">
      <c r="A2651" s="11" t="inlineStr">
        <is>
          <t>Wall of Heat</t>
        </is>
      </c>
      <c r="B2651" s="11" t="inlineStr">
        <is>
          <t>Creature — Wall</t>
        </is>
      </c>
      <c r="C2651" s="11" t="inlineStr">
        <is>
          <t>Common / Comum</t>
        </is>
      </c>
      <c r="D2651" s="11" t="inlineStr">
        <is>
          <t>Defender (This creature can't attack.)</t>
        </is>
      </c>
      <c r="E2651" s="11" t="inlineStr">
        <is>
          <t>{2}{R}</t>
        </is>
      </c>
      <c r="F2651" s="11" t="inlineStr">
        <is>
          <t>Vermelho</t>
        </is>
      </c>
      <c r="G2651" s="8" t="n">
        <v>0.09</v>
      </c>
      <c r="H2651" s="11" t="inlineStr">
        <is>
          <t>Chronicles</t>
        </is>
      </c>
      <c r="I2651" s="11" t="inlineStr">
        <is>
          <t>Não</t>
        </is>
      </c>
      <c r="J2651" s="11" t="n">
        <v>1995</v>
      </c>
      <c r="K2651" s="10" t="n">
        <v>46175</v>
      </c>
      <c r="L2651" s="11" t="n">
        <v>2</v>
      </c>
      <c r="M2651" s="8">
        <f>L2651*G2651</f>
        <v/>
      </c>
      <c r="P2651" s="9" t="n"/>
    </row>
    <row r="2652">
      <c r="A2652" s="11" t="inlineStr">
        <is>
          <t>Wall of Stone / Barreira de Pedra</t>
        </is>
      </c>
      <c r="B2652" s="11" t="inlineStr">
        <is>
          <t>Creature — Wall / Criatura — Barreira</t>
        </is>
      </c>
      <c r="C2652" s="11" t="inlineStr">
        <is>
          <t>Uncommon / Incomum</t>
        </is>
      </c>
      <c r="D2652" s="11" t="inlineStr">
        <is>
          <t>Defender (This creature can't attack.) / (As Barreiras não podem atacar.)</t>
        </is>
      </c>
      <c r="E2652" s="11" t="inlineStr">
        <is>
          <t>{1}{R}{R}</t>
        </is>
      </c>
      <c r="F2652" s="11" t="inlineStr">
        <is>
          <t>Vermelho</t>
        </is>
      </c>
      <c r="G2652" s="8" t="n">
        <v>0.09</v>
      </c>
      <c r="H2652" s="11" t="inlineStr">
        <is>
          <t xml:space="preserve">Fourth Edition </t>
        </is>
      </c>
      <c r="I2652" s="11" t="inlineStr">
        <is>
          <t>Não</t>
        </is>
      </c>
      <c r="J2652" s="11" t="n">
        <v>1995</v>
      </c>
      <c r="K2652" s="11" t="inlineStr">
        <is>
          <t>0/8</t>
        </is>
      </c>
      <c r="L2652" s="11" t="n">
        <v>1</v>
      </c>
      <c r="M2652" s="8">
        <f>L2652*G2652</f>
        <v/>
      </c>
      <c r="P2652" s="9" t="n"/>
    </row>
    <row r="2653">
      <c r="A2653" s="11" t="inlineStr">
        <is>
          <t>Enslaved Scout / Batedor Escravizado</t>
        </is>
      </c>
      <c r="B2653" s="11" t="inlineStr">
        <is>
          <t>Creature — Goblin Scout</t>
        </is>
      </c>
      <c r="C2653" s="11" t="inlineStr">
        <is>
          <t>Common / Comum</t>
        </is>
      </c>
      <c r="D2653" s="11" t="inlineStr">
        <is>
          <t>{2}: This creature gains mountainwalk until end of turn. (It can't be blocked as long as defending player controls a Mountain.)</t>
        </is>
      </c>
      <c r="E2653" s="11" t="inlineStr">
        <is>
          <t>{2}{R}</t>
        </is>
      </c>
      <c r="F2653" s="11" t="inlineStr">
        <is>
          <t>Vermelho</t>
        </is>
      </c>
      <c r="G2653" s="8" t="n">
        <v>0.09</v>
      </c>
      <c r="H2653" s="11" t="inlineStr">
        <is>
          <t>Alliances (ALL)</t>
        </is>
      </c>
      <c r="I2653" s="11" t="inlineStr">
        <is>
          <t>Não</t>
        </is>
      </c>
      <c r="J2653" s="11" t="n">
        <v>1996</v>
      </c>
      <c r="K2653" s="10" t="n">
        <v>46055</v>
      </c>
      <c r="L2653" s="11" t="n">
        <v>1</v>
      </c>
      <c r="M2653" s="8">
        <f>L2653*G2653</f>
        <v/>
      </c>
      <c r="P2653" s="9" t="n"/>
    </row>
    <row r="2654">
      <c r="A2654" s="11" t="inlineStr">
        <is>
          <t>Wall of Fire / Barreira de Fogo</t>
        </is>
      </c>
      <c r="B2654" s="11" t="inlineStr">
        <is>
          <t>Creature — Wall / Criatura — Barreira</t>
        </is>
      </c>
      <c r="C2654" s="11" t="inlineStr">
        <is>
          <t>Uncommon / Incomum</t>
        </is>
      </c>
      <c r="D2654" s="11" t="inlineStr">
        <is>
          <t>Defender (This creature can't attack.) {R}: This creature gets +1/+0 until end of turn. / Defensor (Esta criatura não pode atacar.) {R}: Barreira de Fogo recebe +1/+0 até o final do turno.</t>
        </is>
      </c>
      <c r="E2654" s="11" t="inlineStr">
        <is>
          <t>{1}{R}{R}</t>
        </is>
      </c>
      <c r="F2654" s="11" t="inlineStr">
        <is>
          <t>Vermelho</t>
        </is>
      </c>
      <c r="G2654" s="8" t="n">
        <v>0.1</v>
      </c>
      <c r="H2654" s="11" t="inlineStr">
        <is>
          <t xml:space="preserve">Fourth Edition </t>
        </is>
      </c>
      <c r="I2654" s="11" t="inlineStr">
        <is>
          <t>Não</t>
        </is>
      </c>
      <c r="J2654" s="11" t="n">
        <v>1995</v>
      </c>
      <c r="K2654" s="11" t="inlineStr">
        <is>
          <t>0/5</t>
        </is>
      </c>
      <c r="L2654" s="11" t="n">
        <v>1</v>
      </c>
      <c r="M2654" s="8">
        <f>L2654*G2654</f>
        <v/>
      </c>
      <c r="P2654" s="9" t="n"/>
    </row>
    <row r="2655">
      <c r="A2655" s="11" t="inlineStr">
        <is>
          <t>Brassclaw Orcs / Orcs da Garra de Bronze</t>
        </is>
      </c>
      <c r="B2655" s="11" t="inlineStr">
        <is>
          <t>Creature — Orc</t>
        </is>
      </c>
      <c r="C2655" s="11" t="inlineStr">
        <is>
          <t>Common / Comum</t>
        </is>
      </c>
      <c r="D2655" s="11" t="inlineStr">
        <is>
          <t>This creature can't block creatures with power 2 or greater.</t>
        </is>
      </c>
      <c r="E2655" s="11" t="inlineStr">
        <is>
          <t>{2}{R}</t>
        </is>
      </c>
      <c r="F2655" s="11" t="inlineStr">
        <is>
          <t>Vermelho</t>
        </is>
      </c>
      <c r="G2655" s="8" t="n">
        <v>0.2</v>
      </c>
      <c r="H2655" s="11" t="inlineStr">
        <is>
          <t>Fallen Empires (FEM)</t>
        </is>
      </c>
      <c r="I2655" s="11" t="inlineStr">
        <is>
          <t>Não</t>
        </is>
      </c>
      <c r="J2655" s="11" t="n">
        <v>1994</v>
      </c>
      <c r="K2655" s="10" t="n">
        <v>46056</v>
      </c>
      <c r="L2655" s="11" t="n">
        <v>2</v>
      </c>
      <c r="M2655" s="8">
        <f>L2655*G2655</f>
        <v/>
      </c>
      <c r="P2655" s="9" t="n"/>
    </row>
    <row r="2656">
      <c r="A2656" s="11" t="inlineStr">
        <is>
          <t>Balduvian Barbarians / Bárbaros Balduvianos</t>
        </is>
      </c>
      <c r="B2656" s="11" t="inlineStr">
        <is>
          <t>Creature — Human Barbarian / Criatura — Bárbaro Humano</t>
        </is>
      </c>
      <c r="C2656" s="11" t="inlineStr">
        <is>
          <t>Common / Comum</t>
        </is>
      </c>
      <c r="E2656" s="11" t="inlineStr">
        <is>
          <t>{1}{R}{R}</t>
        </is>
      </c>
      <c r="F2656" s="11" t="inlineStr">
        <is>
          <t>Vermelho</t>
        </is>
      </c>
      <c r="G2656" s="8" t="n">
        <v>0.05</v>
      </c>
      <c r="H2656" s="11" t="inlineStr">
        <is>
          <t>Ice Age (ICE)</t>
        </is>
      </c>
      <c r="I2656" s="11" t="inlineStr">
        <is>
          <t>Não</t>
        </is>
      </c>
      <c r="J2656" s="11" t="n">
        <v>1995</v>
      </c>
      <c r="K2656" s="10" t="n">
        <v>46056</v>
      </c>
      <c r="L2656" s="11" t="n">
        <v>1</v>
      </c>
      <c r="M2656" s="8">
        <f>L2656*G2656</f>
        <v/>
      </c>
      <c r="P2656" s="9" t="n"/>
    </row>
    <row r="2657">
      <c r="A2657" s="11" t="inlineStr">
        <is>
          <t>Fire Drake / Dragonete de Fogo</t>
        </is>
      </c>
      <c r="B2657" s="11" t="inlineStr">
        <is>
          <t>Creature — Drake</t>
        </is>
      </c>
      <c r="C2657" s="11" t="inlineStr">
        <is>
          <t>Uncommon / Incomum</t>
        </is>
      </c>
      <c r="D2657" s="11" t="inlineStr">
        <is>
          <t>Flying {R}: This creature gets +1/+0 until end of turn. Activate only once each turn.</t>
        </is>
      </c>
      <c r="E2657" s="11" t="inlineStr">
        <is>
          <t>{1}{R}{R}</t>
        </is>
      </c>
      <c r="F2657" s="11" t="inlineStr">
        <is>
          <t>Vermelho</t>
        </is>
      </c>
      <c r="G2657" s="8" t="n">
        <v>0.2</v>
      </c>
      <c r="H2657" s="11" t="inlineStr">
        <is>
          <t>Chronicles</t>
        </is>
      </c>
      <c r="I2657" s="11" t="inlineStr">
        <is>
          <t>Não</t>
        </is>
      </c>
      <c r="J2657" s="11" t="n">
        <v>1995</v>
      </c>
      <c r="K2657" s="10" t="n">
        <v>46054</v>
      </c>
      <c r="L2657" s="11" t="n">
        <v>1</v>
      </c>
      <c r="M2657" s="8">
        <f>L2657*G2657</f>
        <v/>
      </c>
      <c r="P2657" s="9" t="n"/>
    </row>
    <row r="2658">
      <c r="A2658" s="11" t="inlineStr">
        <is>
          <t>Wall of Lava / Barreira de Lava</t>
        </is>
      </c>
      <c r="B2658" s="11" t="inlineStr">
        <is>
          <t>Creature — Wall</t>
        </is>
      </c>
      <c r="C2658" s="11" t="inlineStr">
        <is>
          <t>Uncommon / Incomum</t>
        </is>
      </c>
      <c r="D2658" s="11" t="inlineStr">
        <is>
          <t>Defender (This creature can't attack.) {R}: This creature gets +1/+1 until end of turn.</t>
        </is>
      </c>
      <c r="E2658" s="11" t="inlineStr">
        <is>
          <t>{1}{R}{R}</t>
        </is>
      </c>
      <c r="F2658" s="11" t="inlineStr">
        <is>
          <t>Vermelho</t>
        </is>
      </c>
      <c r="G2658" s="8" t="n">
        <v>0.18</v>
      </c>
      <c r="H2658" s="11" t="inlineStr">
        <is>
          <t>Ice Age (ICE)</t>
        </is>
      </c>
      <c r="I2658" s="11" t="inlineStr">
        <is>
          <t>Não</t>
        </is>
      </c>
      <c r="J2658" s="11" t="n">
        <v>1995</v>
      </c>
      <c r="K2658" s="10" t="n">
        <v>46082</v>
      </c>
      <c r="L2658" s="11" t="n">
        <v>1</v>
      </c>
      <c r="M2658" s="8">
        <f>L2658*G2658</f>
        <v/>
      </c>
      <c r="P2658" s="9" t="n"/>
    </row>
    <row r="2659">
      <c r="A2659" s="11" t="inlineStr">
        <is>
          <t>Wall of Dust / Barreira de Pó</t>
        </is>
      </c>
      <c r="B2659" s="11" t="inlineStr">
        <is>
          <t>Creature — Wall</t>
        </is>
      </c>
      <c r="C2659" s="11" t="inlineStr">
        <is>
          <t>Uncommon / Incomum</t>
        </is>
      </c>
      <c r="D2659" s="11" t="inlineStr">
        <is>
          <t>Defender (This creature can't attack.) Whenever this creature blocks a creature, that creature can't attack during its controller's next turn.</t>
        </is>
      </c>
      <c r="E2659" s="11" t="inlineStr">
        <is>
          <t>{2}{R}</t>
        </is>
      </c>
      <c r="F2659" s="11" t="inlineStr">
        <is>
          <t>Vermelho</t>
        </is>
      </c>
      <c r="G2659" s="8" t="n">
        <v>0.1</v>
      </c>
      <c r="H2659" s="11" t="inlineStr">
        <is>
          <t xml:space="preserve">Fourth Edition </t>
        </is>
      </c>
      <c r="I2659" s="11" t="inlineStr">
        <is>
          <t>Não</t>
        </is>
      </c>
      <c r="J2659" s="11" t="n">
        <v>1995</v>
      </c>
      <c r="K2659" s="10" t="n">
        <v>46113</v>
      </c>
      <c r="L2659" s="11" t="n">
        <v>1</v>
      </c>
      <c r="M2659" s="8">
        <f>L2659*G2659</f>
        <v/>
      </c>
      <c r="P2659" s="9" t="n"/>
    </row>
    <row r="2660">
      <c r="A2660" s="11" t="inlineStr">
        <is>
          <t>Searing Spear Askari / Askári da Lança Cauterizante</t>
        </is>
      </c>
      <c r="B2660" s="11" t="inlineStr">
        <is>
          <t>Creature - Human Knight</t>
        </is>
      </c>
      <c r="C2660" s="11" t="inlineStr">
        <is>
          <t>Common</t>
        </is>
      </c>
      <c r="D2660" s="11" t="inlineStr">
        <is>
          <t>Flanking (Whenever a creature without flanking is assigned to block this creature, the blocking creature gets -1/-1 until end of turn.) {1}{R}: Searing Spear Askari cannot be blocked by only one creature this turn.</t>
        </is>
      </c>
      <c r="E2660" s="11" t="inlineStr">
        <is>
          <t>{2}{R}</t>
        </is>
      </c>
      <c r="F2660" s="11" t="inlineStr">
        <is>
          <t>Vermelho</t>
        </is>
      </c>
      <c r="G2660" s="8" t="n">
        <v>0.05</v>
      </c>
      <c r="H2660" s="11" t="inlineStr">
        <is>
          <t>Miragem</t>
        </is>
      </c>
      <c r="I2660" s="11" t="inlineStr">
        <is>
          <t>Não</t>
        </is>
      </c>
      <c r="J2660" s="11" t="n">
        <v>1996</v>
      </c>
      <c r="K2660" s="10" t="n">
        <v>46055</v>
      </c>
      <c r="L2660" s="11" t="n">
        <v>1</v>
      </c>
      <c r="M2660" s="8">
        <f>L2660*G2660</f>
        <v/>
      </c>
      <c r="P2660" s="9" t="n"/>
    </row>
    <row r="2661">
      <c r="A2661" s="11" t="inlineStr">
        <is>
          <t>Grizzled Wolverine / Carcaju Cinzento</t>
        </is>
      </c>
      <c r="B2661" s="11" t="inlineStr">
        <is>
          <t>Creature — Wolverine</t>
        </is>
      </c>
      <c r="C2661" s="11" t="inlineStr">
        <is>
          <t>Common / Comum</t>
        </is>
      </c>
      <c r="D2661" s="11" t="inlineStr">
        <is>
          <t>{R}: This creature gets +2/+0 until end of turn. Activate only during the declare blockers step, only if at least one creature is blocking this creature, and only once each turn.</t>
        </is>
      </c>
      <c r="E2661" s="11" t="inlineStr">
        <is>
          <t>{1}{R}{R}</t>
        </is>
      </c>
      <c r="F2661" s="11" t="inlineStr">
        <is>
          <t>Vermelho</t>
        </is>
      </c>
      <c r="G2661" s="8" t="n">
        <v>0.05</v>
      </c>
      <c r="H2661" s="11" t="inlineStr">
        <is>
          <t>Ice Age (ICE)</t>
        </is>
      </c>
      <c r="I2661" s="11" t="inlineStr">
        <is>
          <t>Não</t>
        </is>
      </c>
      <c r="J2661" s="11" t="n">
        <v>1995</v>
      </c>
      <c r="K2661" s="10" t="n">
        <v>46055</v>
      </c>
      <c r="L2661" s="11" t="n">
        <v>1</v>
      </c>
      <c r="M2661" s="8">
        <f>L2661*G2661</f>
        <v/>
      </c>
      <c r="P2661" s="9" t="n"/>
    </row>
    <row r="2662">
      <c r="A2662" s="11" t="inlineStr">
        <is>
          <t>Goblin Balloon Brigade / Brigada Baloeira Goblin</t>
        </is>
      </c>
      <c r="B2662" s="11" t="inlineStr">
        <is>
          <t>Creature — Goblin Warrior / Criatura — Goblin Guerreiro</t>
        </is>
      </c>
      <c r="C2662" s="11" t="inlineStr">
        <is>
          <t>Uncommon / Incomum</t>
        </is>
      </c>
      <c r="D2662" s="11" t="inlineStr">
        <is>
          <t>{R}: This creature gains flying until end of turn. / {R}: Brigada Baloeira Goblin ganha a habilidade de voar até o final do turno.</t>
        </is>
      </c>
      <c r="E2662" s="11" t="inlineStr">
        <is>
          <t>{R}</t>
        </is>
      </c>
      <c r="F2662" s="11" t="inlineStr">
        <is>
          <t>Vermelho</t>
        </is>
      </c>
      <c r="G2662" s="8" t="n">
        <v>0.25</v>
      </c>
      <c r="H2662" s="11" t="inlineStr">
        <is>
          <t xml:space="preserve">Fourth Edition </t>
        </is>
      </c>
      <c r="I2662" s="11" t="inlineStr">
        <is>
          <t>Não</t>
        </is>
      </c>
      <c r="J2662" s="11" t="n">
        <v>1995</v>
      </c>
      <c r="K2662" s="10" t="n">
        <v>46023</v>
      </c>
      <c r="L2662" s="11" t="n">
        <v>1</v>
      </c>
      <c r="M2662" s="8">
        <f>L2662*G2662</f>
        <v/>
      </c>
      <c r="P2662" s="9" t="n"/>
    </row>
    <row r="2663">
      <c r="A2663" s="11" t="inlineStr">
        <is>
          <t>Orcish Conscripts / Recrutas Orcs</t>
        </is>
      </c>
      <c r="B2663" s="11" t="inlineStr">
        <is>
          <t>Creature — Orc</t>
        </is>
      </c>
      <c r="C2663" s="11" t="inlineStr">
        <is>
          <t>Common / Comum</t>
        </is>
      </c>
      <c r="D2663" s="11" t="inlineStr">
        <is>
          <t>This creature can't attack unless at least two other creatures attack. This creature can't block unless at least two other creatures block.</t>
        </is>
      </c>
      <c r="E2663" s="11" t="inlineStr">
        <is>
          <t>{R}</t>
        </is>
      </c>
      <c r="F2663" s="11" t="inlineStr">
        <is>
          <t>Vermelho</t>
        </is>
      </c>
      <c r="G2663" s="8" t="n">
        <v>0.06</v>
      </c>
      <c r="H2663" s="11" t="inlineStr">
        <is>
          <t>Ice Age (ICE)</t>
        </is>
      </c>
      <c r="I2663" s="11" t="inlineStr">
        <is>
          <t>Não</t>
        </is>
      </c>
      <c r="J2663" s="11" t="n">
        <v>1995</v>
      </c>
      <c r="K2663" s="10" t="n">
        <v>46055</v>
      </c>
      <c r="L2663" s="11" t="n">
        <v>1</v>
      </c>
      <c r="M2663" s="8">
        <f>L2663*G2663</f>
        <v/>
      </c>
      <c r="P2663" s="9" t="n"/>
    </row>
    <row r="2664">
      <c r="A2664" s="11" t="inlineStr">
        <is>
          <t>Mountain Goat / Cabrito Montês</t>
        </is>
      </c>
      <c r="B2664" s="11" t="inlineStr">
        <is>
          <t>Creature — Goat</t>
        </is>
      </c>
      <c r="C2664" s="11" t="inlineStr">
        <is>
          <t>Common / Comum</t>
        </is>
      </c>
      <c r="D2664" s="11" t="inlineStr">
        <is>
          <t>Mountainwalk (This creature can't be blocked as long as defending player controls a Mountain.)</t>
        </is>
      </c>
      <c r="E2664" s="11" t="inlineStr">
        <is>
          <t>{R}</t>
        </is>
      </c>
      <c r="F2664" s="11" t="inlineStr">
        <is>
          <t>Vermelho</t>
        </is>
      </c>
      <c r="G2664" s="8" t="n">
        <v>0.11</v>
      </c>
      <c r="H2664" s="11" t="inlineStr">
        <is>
          <t>Ice Age (ICE)</t>
        </is>
      </c>
      <c r="I2664" s="11" t="inlineStr">
        <is>
          <t>Não</t>
        </is>
      </c>
      <c r="J2664" s="11" t="n">
        <v>1995</v>
      </c>
      <c r="K2664" s="10" t="n">
        <v>46023</v>
      </c>
      <c r="L2664" s="11" t="n">
        <v>1</v>
      </c>
      <c r="M2664" s="8">
        <f>L2664*G2664</f>
        <v/>
      </c>
      <c r="P2664" s="9" t="n"/>
    </row>
    <row r="2665">
      <c r="A2665" s="11" t="inlineStr">
        <is>
          <t>Raging Goblin / Goblin Enfurecido</t>
        </is>
      </c>
      <c r="B2665" s="11" t="inlineStr">
        <is>
          <t>Creature — Goblin Berserker / Criatura — Goblin Amoque</t>
        </is>
      </c>
      <c r="C2665" s="11" t="inlineStr">
        <is>
          <t>Common / Comum</t>
        </is>
      </c>
      <c r="D2665" s="11" t="inlineStr">
        <is>
          <t>Haste (This creature can attack and {T} as soon as it comes under your control.) / Ímpeto (Esta criatura pode atacar e {T} assim que entra sob seu controle.)</t>
        </is>
      </c>
      <c r="E2665" s="11" t="inlineStr">
        <is>
          <t>{R}</t>
        </is>
      </c>
      <c r="F2665" s="11" t="inlineStr">
        <is>
          <t>Vermelho</t>
        </is>
      </c>
      <c r="G2665" s="8" t="n">
        <v>0.08</v>
      </c>
      <c r="H2665" s="11" t="inlineStr">
        <is>
          <t>Oitava Edição</t>
        </is>
      </c>
      <c r="I2665" s="11" t="inlineStr">
        <is>
          <t>Não</t>
        </is>
      </c>
      <c r="J2665" s="11" t="n">
        <v>2003</v>
      </c>
      <c r="K2665" s="10" t="n">
        <v>46023</v>
      </c>
      <c r="L2665" s="11" t="n">
        <v>1</v>
      </c>
      <c r="M2665" s="8">
        <f>L2665*G2665</f>
        <v/>
      </c>
      <c r="P2665" s="9" t="n"/>
    </row>
    <row r="2666">
      <c r="A2666" s="11" t="inlineStr">
        <is>
          <t>Goblins of the Flarg</t>
        </is>
      </c>
      <c r="B2666" s="11" t="inlineStr">
        <is>
          <t>Creature — Goblin Warrior</t>
        </is>
      </c>
      <c r="C2666" s="11" t="inlineStr">
        <is>
          <t>Common / Comum</t>
        </is>
      </c>
      <c r="D2666" s="11" t="inlineStr">
        <is>
          <t>Mountainwalk (This creature can't be blocked as long as defending player controls a Mountain.) When you control a Dwarf, sacrifice this creature.</t>
        </is>
      </c>
      <c r="E2666" s="11" t="inlineStr">
        <is>
          <t>{R}</t>
        </is>
      </c>
      <c r="F2666" s="11" t="inlineStr">
        <is>
          <t>Vermelho</t>
        </is>
      </c>
      <c r="G2666" s="8" t="n">
        <v>0.08</v>
      </c>
      <c r="H2666" s="11" t="inlineStr">
        <is>
          <t>Chronicles</t>
        </is>
      </c>
      <c r="I2666" s="11" t="inlineStr">
        <is>
          <t>Não</t>
        </is>
      </c>
      <c r="J2666" s="11" t="n">
        <v>1995</v>
      </c>
      <c r="K2666" s="10" t="n">
        <v>46023</v>
      </c>
      <c r="L2666" s="11" t="n">
        <v>1</v>
      </c>
      <c r="M2666" s="8">
        <f>L2666*G2666</f>
        <v/>
      </c>
      <c r="P2666" s="9" t="n"/>
    </row>
    <row r="2667">
      <c r="A2667" s="11" t="inlineStr">
        <is>
          <t>Anaba Ancestor / Ancestral de Anaba</t>
        </is>
      </c>
      <c r="B2667" s="11" t="inlineStr">
        <is>
          <t>Creature — Minotaur Spirit</t>
        </is>
      </c>
      <c r="C2667" s="11" t="inlineStr">
        <is>
          <t>Rare / Rara</t>
        </is>
      </c>
      <c r="D2667" s="11" t="inlineStr">
        <is>
          <t>{T}: Another target Minotaur creature gets +1/+1 until end of turn.</t>
        </is>
      </c>
      <c r="E2667" s="11" t="inlineStr">
        <is>
          <t>{1}{R}</t>
        </is>
      </c>
      <c r="F2667" s="11" t="inlineStr">
        <is>
          <t>Vermelho</t>
        </is>
      </c>
      <c r="G2667" s="8" t="n">
        <v>3</v>
      </c>
      <c r="H2667" s="11" t="inlineStr">
        <is>
          <t>Homelands (HML)</t>
        </is>
      </c>
      <c r="I2667" s="11" t="inlineStr">
        <is>
          <t>Não</t>
        </is>
      </c>
      <c r="J2667" s="11" t="n">
        <v>1995</v>
      </c>
      <c r="K2667" s="10" t="n">
        <v>46023</v>
      </c>
      <c r="L2667" s="11" t="n">
        <v>1</v>
      </c>
      <c r="M2667" s="8">
        <f>L2667*G2667</f>
        <v/>
      </c>
      <c r="P2667" s="9" t="n"/>
    </row>
    <row r="2668">
      <c r="A2668" s="11" t="inlineStr">
        <is>
          <t>Atog / Atogue</t>
        </is>
      </c>
      <c r="B2668" s="11" t="inlineStr">
        <is>
          <t>Creature — Atog / Criatura — Atogue</t>
        </is>
      </c>
      <c r="C2668" s="11" t="inlineStr">
        <is>
          <t>Common / Comum</t>
        </is>
      </c>
      <c r="D2668" s="11" t="inlineStr">
        <is>
          <t>Sacrifice an artifact: This creature gets +2/+2 until end of turn. / Sacrifique um artefato: Atogue recebe +2/+2 até o final do turno.</t>
        </is>
      </c>
      <c r="E2668" s="11" t="inlineStr">
        <is>
          <t>{1}{R}</t>
        </is>
      </c>
      <c r="F2668" s="11" t="inlineStr">
        <is>
          <t>Vermelho</t>
        </is>
      </c>
      <c r="G2668" s="8" t="n">
        <v>0.25</v>
      </c>
      <c r="H2668" s="11" t="inlineStr">
        <is>
          <t>Revised Edition</t>
        </is>
      </c>
      <c r="I2668" s="11" t="inlineStr">
        <is>
          <t>Não</t>
        </is>
      </c>
      <c r="J2668" s="11" t="n">
        <v>1994</v>
      </c>
      <c r="K2668" s="10" t="n">
        <v>46054</v>
      </c>
      <c r="L2668" s="11" t="n">
        <v>1</v>
      </c>
      <c r="M2668" s="8">
        <f>L2668*G2668</f>
        <v/>
      </c>
      <c r="P2668" s="9" t="n"/>
    </row>
    <row r="2669">
      <c r="A2669" s="11" t="inlineStr">
        <is>
          <t>Dwarven Soldier / Anão Soldado</t>
        </is>
      </c>
      <c r="B2669" s="11" t="inlineStr">
        <is>
          <t>Creature — Dwarf Soldier</t>
        </is>
      </c>
      <c r="C2669" s="11" t="inlineStr">
        <is>
          <t>Common / Comum</t>
        </is>
      </c>
      <c r="D2669" s="11" t="inlineStr">
        <is>
          <t>Whenever this creature blocks or becomes blocked by one or more Orcs, this creature gets +0/+2 until end of turn.</t>
        </is>
      </c>
      <c r="E2669" s="11" t="inlineStr">
        <is>
          <t>{1}{R}</t>
        </is>
      </c>
      <c r="F2669" s="11" t="inlineStr">
        <is>
          <t>Vermelho</t>
        </is>
      </c>
      <c r="G2669" s="8" t="n">
        <v>0.2</v>
      </c>
      <c r="H2669" s="11" t="inlineStr">
        <is>
          <t>Fallen Empires (FEM)</t>
        </is>
      </c>
      <c r="I2669" s="11" t="inlineStr">
        <is>
          <t>Não</t>
        </is>
      </c>
      <c r="J2669" s="11" t="n">
        <v>1994</v>
      </c>
      <c r="K2669" s="10" t="n">
        <v>46024</v>
      </c>
      <c r="L2669" s="11" t="n">
        <v>1</v>
      </c>
      <c r="M2669" s="8">
        <f>L2669*G2669</f>
        <v/>
      </c>
      <c r="P2669" s="9" t="n"/>
    </row>
    <row r="2670">
      <c r="A2670" s="11" t="inlineStr">
        <is>
          <t>Dwarven Lieutenant</t>
        </is>
      </c>
      <c r="B2670" s="11" t="inlineStr">
        <is>
          <t>Creature — Dwarf Soldier</t>
        </is>
      </c>
      <c r="C2670" s="11" t="inlineStr">
        <is>
          <t>Uncommon / Incomum</t>
        </is>
      </c>
      <c r="D2670" s="11" t="inlineStr">
        <is>
          <t>{1}{R}: Target Dwarf creature gets +1/+0 until end of turn.</t>
        </is>
      </c>
      <c r="E2670" s="11" t="inlineStr">
        <is>
          <t>{R}{R}</t>
        </is>
      </c>
      <c r="F2670" s="11" t="inlineStr">
        <is>
          <t>Vermelho</t>
        </is>
      </c>
      <c r="G2670" s="8" t="n">
        <v>0.45</v>
      </c>
      <c r="H2670" s="11" t="inlineStr">
        <is>
          <t>Fallen Empires (FEM)</t>
        </is>
      </c>
      <c r="I2670" s="11" t="inlineStr">
        <is>
          <t>Não</t>
        </is>
      </c>
      <c r="J2670" s="11" t="n">
        <v>1994</v>
      </c>
      <c r="K2670" s="10" t="n">
        <v>46054</v>
      </c>
      <c r="L2670" s="11" t="n">
        <v>1</v>
      </c>
      <c r="M2670" s="8">
        <f>L2670*G2670</f>
        <v/>
      </c>
      <c r="P2670" s="9" t="n"/>
    </row>
    <row r="2671">
      <c r="A2671" s="11" t="inlineStr">
        <is>
          <t>Orcish Librarian / Bibliotecário Orc</t>
        </is>
      </c>
      <c r="B2671" s="11" t="inlineStr">
        <is>
          <t>Creature — Orc / Criatura — Orc</t>
        </is>
      </c>
      <c r="C2671" s="11" t="inlineStr">
        <is>
          <t>Rare / Rara</t>
        </is>
      </c>
      <c r="D2671" s="11" t="inlineStr">
        <is>
          <t>{R}, {T}: Look at the top eight cards of your library. Exile four of them at random, then put the rest on top of your library in any order. / {R}, {T}: Olhe os oito cards do topo de seu grimório. Remova do jogo quatro deles aleatoriamente e coloque o restante no topo de seu grimório em qualquer ordem.</t>
        </is>
      </c>
      <c r="E2671" s="11" t="inlineStr">
        <is>
          <t>{1}{R}</t>
        </is>
      </c>
      <c r="F2671" s="11" t="inlineStr">
        <is>
          <t>Vermelho</t>
        </is>
      </c>
      <c r="G2671" s="8" t="n">
        <v>1.5</v>
      </c>
      <c r="H2671" s="11" t="inlineStr">
        <is>
          <t>Ice Age (ICE)</t>
        </is>
      </c>
      <c r="I2671" s="11" t="inlineStr">
        <is>
          <t>Não</t>
        </is>
      </c>
      <c r="J2671" s="11" t="n">
        <v>1995</v>
      </c>
      <c r="K2671" s="10" t="n">
        <v>46023</v>
      </c>
      <c r="L2671" s="11" t="n">
        <v>1</v>
      </c>
      <c r="M2671" s="8">
        <f>L2671*G2671</f>
        <v/>
      </c>
      <c r="P2671" s="9" t="n"/>
    </row>
    <row r="2672">
      <c r="A2672" s="11" t="inlineStr">
        <is>
          <t>Goblin Tinkerer / Funileiro Goblin</t>
        </is>
      </c>
      <c r="B2672" s="11" t="inlineStr">
        <is>
          <t>Creature — Goblin Artificer</t>
        </is>
      </c>
      <c r="C2672" s="11" t="inlineStr">
        <is>
          <t>Common / Comum</t>
        </is>
      </c>
      <c r="D2672" s="11" t="inlineStr">
        <is>
          <t>{R}, {T}: Destroy target artifact. That artifact deals damage equal to its mana value to this creature.</t>
        </is>
      </c>
      <c r="E2672" s="11" t="inlineStr">
        <is>
          <t>{1}{R}</t>
        </is>
      </c>
      <c r="F2672" s="11" t="inlineStr">
        <is>
          <t>Vermelho</t>
        </is>
      </c>
      <c r="G2672" s="8" t="n">
        <v>0.22</v>
      </c>
      <c r="H2672" s="11" t="inlineStr">
        <is>
          <t>Mirage (MIR)</t>
        </is>
      </c>
      <c r="I2672" s="11" t="inlineStr">
        <is>
          <t>Não</t>
        </is>
      </c>
      <c r="J2672" s="11" t="n">
        <v>1996</v>
      </c>
      <c r="K2672" s="10" t="n">
        <v>46054</v>
      </c>
      <c r="L2672" s="11" t="n">
        <v>1</v>
      </c>
      <c r="M2672" s="8">
        <f>L2672*G2672</f>
        <v/>
      </c>
      <c r="P2672" s="9" t="n"/>
    </row>
    <row r="2673">
      <c r="A2673" s="11" t="inlineStr">
        <is>
          <t>Canyon Wildcat / Lince do Desfiladeiro</t>
        </is>
      </c>
      <c r="B2673" s="11" t="inlineStr">
        <is>
          <t>Creature — Cat / Criatura — Gato</t>
        </is>
      </c>
      <c r="C2673" s="11" t="inlineStr">
        <is>
          <t>Common / Comum</t>
        </is>
      </c>
      <c r="D2673" s="11" t="inlineStr">
        <is>
          <t>Mountainwalk (This creature can't be blocked as long as defending player controls a Mountain.) / Travessia de Montanha (Esta criatura não pode ser bloqueada desde que o jogador defensor controle uma Montanha.)</t>
        </is>
      </c>
      <c r="E2673" s="11" t="inlineStr">
        <is>
          <t>{1}{R}</t>
        </is>
      </c>
      <c r="F2673" s="11" t="inlineStr">
        <is>
          <t>Vermelho</t>
        </is>
      </c>
      <c r="G2673" s="8" t="n">
        <v>0.08</v>
      </c>
      <c r="H2673" s="11" t="inlineStr">
        <is>
          <t>Eighth Edition (8ED)</t>
        </is>
      </c>
      <c r="I2673" s="11" t="inlineStr">
        <is>
          <t>Não</t>
        </is>
      </c>
      <c r="J2673" s="11" t="n">
        <v>2003</v>
      </c>
      <c r="K2673" s="10" t="n">
        <v>46024</v>
      </c>
      <c r="L2673" s="11" t="n">
        <v>1</v>
      </c>
      <c r="M2673" s="8">
        <f>L2673*G2673</f>
        <v/>
      </c>
      <c r="P2673" s="9" t="n"/>
    </row>
    <row r="2674">
      <c r="A2674" s="11" t="inlineStr">
        <is>
          <t>Compassionate Healer</t>
        </is>
      </c>
      <c r="B2674" s="11" t="inlineStr">
        <is>
          <t>Creature — Human Cleric Ally</t>
        </is>
      </c>
      <c r="C2674" s="11" t="inlineStr">
        <is>
          <t>Common / Comum</t>
        </is>
      </c>
      <c r="D2674" s="11" t="inlineStr">
        <is>
          <t>Whenever this creature becomes tapped, you gain 1 life and scry 1. (Look at the top card of your library. You may put it on the bottom.)</t>
        </is>
      </c>
      <c r="E2674" s="11" t="inlineStr">
        <is>
          <t>{1}{W}</t>
        </is>
      </c>
      <c r="F2674" s="11" t="inlineStr">
        <is>
          <t>Branco</t>
        </is>
      </c>
      <c r="G2674" s="8" t="n">
        <v>0.11</v>
      </c>
      <c r="H2674" s="11" t="inlineStr">
        <is>
          <t>Avatar: The Last Airbender (TLA)</t>
        </is>
      </c>
      <c r="I2674" s="11" t="inlineStr">
        <is>
          <t>Não</t>
        </is>
      </c>
      <c r="J2674" s="11" t="n">
        <v>2025</v>
      </c>
      <c r="K2674" s="10" t="n">
        <v>46055</v>
      </c>
      <c r="L2674" s="11" t="n">
        <v>1</v>
      </c>
      <c r="M2674" s="8">
        <f>L2674*G2674</f>
        <v/>
      </c>
      <c r="P2674" s="9" t="n"/>
    </row>
    <row r="2675">
      <c r="A2675" s="11" t="inlineStr">
        <is>
          <t>Bumi Bash</t>
        </is>
      </c>
      <c r="B2675" s="11" t="inlineStr">
        <is>
          <t>Sorcery</t>
        </is>
      </c>
      <c r="C2675" s="11" t="inlineStr">
        <is>
          <t>Common / Comum</t>
        </is>
      </c>
      <c r="D2675" s="11" t="inlineStr">
        <is>
          <t>Choose one — • Bumi Bash deals damage equal to the number of lands you control to target creature. • Destroy target land creature or nonbasic land.</t>
        </is>
      </c>
      <c r="E2675" s="11" t="inlineStr">
        <is>
          <t>{3}{R}</t>
        </is>
      </c>
      <c r="F2675" s="11" t="inlineStr">
        <is>
          <t>Vermelho</t>
        </is>
      </c>
      <c r="G2675" s="8" t="n">
        <v>0.17</v>
      </c>
      <c r="H2675" s="11" t="inlineStr">
        <is>
          <t>Avatar: The Last Airbender (TLA)</t>
        </is>
      </c>
      <c r="I2675" s="11" t="inlineStr">
        <is>
          <t>Sim</t>
        </is>
      </c>
      <c r="J2675" s="11" t="n">
        <v>2025</v>
      </c>
      <c r="L2675" s="11" t="n">
        <v>1</v>
      </c>
      <c r="M2675" s="8">
        <f>L2675*G2675</f>
        <v/>
      </c>
      <c r="P2675" s="9" t="n"/>
    </row>
    <row r="2676">
      <c r="A2676" s="11" t="inlineStr">
        <is>
          <t>Pretending Poxbearers</t>
        </is>
      </c>
      <c r="B2676" s="11" t="inlineStr">
        <is>
          <t>Creature — Human Citizen Ally</t>
        </is>
      </c>
      <c r="C2676" s="11" t="inlineStr">
        <is>
          <t>Common / Comum</t>
        </is>
      </c>
      <c r="D2676" s="11" t="inlineStr">
        <is>
          <t>When this creature dies, create a 1/1 white Ally creature token.</t>
        </is>
      </c>
      <c r="E2676" s="11" t="inlineStr">
        <is>
          <t>{1}{W/B}</t>
        </is>
      </c>
      <c r="F2676" s="11" t="inlineStr">
        <is>
          <t>Preto, Branco</t>
        </is>
      </c>
      <c r="G2676" s="8" t="n">
        <v>0.25</v>
      </c>
      <c r="H2676" s="11" t="inlineStr">
        <is>
          <t>Avatar: The Last Airbender (TLA)</t>
        </is>
      </c>
      <c r="I2676" s="11" t="inlineStr">
        <is>
          <t>Sim</t>
        </is>
      </c>
      <c r="J2676" s="11" t="n">
        <v>2025</v>
      </c>
      <c r="K2676" s="10" t="n">
        <v>46024</v>
      </c>
      <c r="L2676" s="11" t="n">
        <v>1</v>
      </c>
      <c r="M2676" s="8">
        <f>L2676*G2676</f>
        <v/>
      </c>
      <c r="P2676" s="9" t="n"/>
    </row>
    <row r="2677">
      <c r="A2677" s="11" t="inlineStr">
        <is>
          <t>Cunning Maneuver</t>
        </is>
      </c>
      <c r="B2677" s="11" t="inlineStr">
        <is>
          <t>Instant</t>
        </is>
      </c>
      <c r="C2677" s="11" t="inlineStr">
        <is>
          <t>Common / Comum</t>
        </is>
      </c>
      <c r="D2677" s="11" t="inlineStr">
        <is>
          <t>Target creature gets +3/+1 until end of turn. Create a Clue token. (It's an artifact with "{2}, Sacrifice this token: Draw a card.")</t>
        </is>
      </c>
      <c r="E2677" s="11" t="inlineStr">
        <is>
          <t>{1}{R}</t>
        </is>
      </c>
      <c r="F2677" s="11" t="inlineStr">
        <is>
          <t>Vermelho</t>
        </is>
      </c>
      <c r="G2677" s="8" t="n">
        <v>0.09</v>
      </c>
      <c r="H2677" s="11" t="inlineStr">
        <is>
          <t>Avatar: The Last Airbender (TLA)</t>
        </is>
      </c>
      <c r="I2677" s="11" t="inlineStr">
        <is>
          <t>Não</t>
        </is>
      </c>
      <c r="J2677" s="11" t="n">
        <v>2025</v>
      </c>
      <c r="L2677" s="11" t="n">
        <v>1</v>
      </c>
      <c r="M2677" s="8">
        <f>L2677*G2677</f>
        <v/>
      </c>
      <c r="P2677" s="9" t="n"/>
    </row>
    <row r="2678">
      <c r="A2678" s="11" t="inlineStr">
        <is>
          <t>Sold Out</t>
        </is>
      </c>
      <c r="B2678" s="11" t="inlineStr">
        <is>
          <t>Instant</t>
        </is>
      </c>
      <c r="C2678" s="11" t="inlineStr">
        <is>
          <t>Common / Comum</t>
        </is>
      </c>
      <c r="D2678" s="11" t="inlineStr">
        <is>
          <t>Exile target creature. If it was dealt damage this turn, create a Clue token. (It's an artifact with "{2}, Sacrifice this token: Draw a card.")</t>
        </is>
      </c>
      <c r="E2678" s="11" t="inlineStr">
        <is>
          <t>{3}{B}</t>
        </is>
      </c>
      <c r="F2678" s="11" t="inlineStr">
        <is>
          <t>Preto</t>
        </is>
      </c>
      <c r="G2678" s="8" t="n">
        <v>0.05</v>
      </c>
      <c r="H2678" s="11" t="inlineStr">
        <is>
          <t>Avatar: The Last Airbender (TLA)</t>
        </is>
      </c>
      <c r="I2678" s="11" t="inlineStr">
        <is>
          <t>Não</t>
        </is>
      </c>
      <c r="J2678" s="11" t="n">
        <v>2025</v>
      </c>
      <c r="L2678" s="11" t="n">
        <v>1</v>
      </c>
      <c r="M2678" s="8">
        <f>L2678*G2678</f>
        <v/>
      </c>
      <c r="P2678" s="9" t="n"/>
    </row>
    <row r="2679">
      <c r="A2679" s="11" t="inlineStr">
        <is>
          <t>Earth Rumble Wrestlers</t>
        </is>
      </c>
      <c r="B2679" s="11" t="inlineStr">
        <is>
          <t>Criatura — Humano Guerreiro Artista / Creature — Human Warrior Performer</t>
        </is>
      </c>
      <c r="C2679" s="11" t="inlineStr">
        <is>
          <t>Comum / Common</t>
        </is>
      </c>
      <c r="D2679" s="11" t="inlineStr">
        <is>
          <t>Reach. This creature gets +1/+0 and has trample as long as you control a land creature or a land entered the battlefield under your control this turn.</t>
        </is>
      </c>
      <c r="E2679" s="11" t="inlineStr">
        <is>
          <t>{3}{R/G}</t>
        </is>
      </c>
      <c r="F2679" s="11" t="inlineStr">
        <is>
          <t>Vermelho e Verde</t>
        </is>
      </c>
      <c r="G2679" s="8" t="n">
        <v>0.04</v>
      </c>
      <c r="H2679" s="11" t="inlineStr">
        <is>
          <t>Avatar: The Last Airbender (TLA)</t>
        </is>
      </c>
      <c r="I2679" s="11" t="inlineStr">
        <is>
          <t>Não</t>
        </is>
      </c>
      <c r="J2679" s="11" t="n">
        <v>2025</v>
      </c>
      <c r="K2679" s="10" t="n">
        <v>46115</v>
      </c>
      <c r="L2679" s="11" t="n">
        <v>1</v>
      </c>
      <c r="M2679" s="8">
        <f>L2679*G2679</f>
        <v/>
      </c>
      <c r="P2679" s="9" t="n"/>
    </row>
    <row r="2680">
      <c r="A2680" s="11" t="inlineStr">
        <is>
          <t>Flexible Waterbender</t>
        </is>
      </c>
      <c r="B2680" s="11" t="inlineStr">
        <is>
          <t>Creature — Human Warrior Ally</t>
        </is>
      </c>
      <c r="C2680" s="11" t="inlineStr">
        <is>
          <t>Common / Comum</t>
        </is>
      </c>
      <c r="D2680" s="11" t="inlineStr">
        <is>
          <t>Vigilance Waterbend {3}: This creature has base power and toughness 5/2 until end of turn. (While paying a waterbend cost, you can tap your artifacts and creatures to help. Each one pays for {1}.)</t>
        </is>
      </c>
      <c r="E2680" s="11" t="inlineStr">
        <is>
          <t>{3}{U}</t>
        </is>
      </c>
      <c r="F2680" s="11" t="inlineStr">
        <is>
          <t>Azul</t>
        </is>
      </c>
      <c r="G2680" s="8" t="n">
        <v>0.08</v>
      </c>
      <c r="H2680" s="11" t="inlineStr">
        <is>
          <t>Avatar: The Last Airbender (TLA)</t>
        </is>
      </c>
      <c r="I2680" s="11" t="inlineStr">
        <is>
          <t>Não</t>
        </is>
      </c>
      <c r="J2680" s="11" t="n">
        <v>2025</v>
      </c>
      <c r="K2680" s="10" t="n">
        <v>46144</v>
      </c>
      <c r="L2680" s="11" t="n">
        <v>1</v>
      </c>
      <c r="M2680" s="8">
        <f>L2680*G2680</f>
        <v/>
      </c>
      <c r="P2680" s="9" t="n"/>
    </row>
    <row r="2681">
      <c r="A2681" s="11" t="inlineStr">
        <is>
          <t>Brandywine Farmer / Fazendeira do Brandevin</t>
        </is>
      </c>
      <c r="B2681" s="11" t="inlineStr">
        <is>
          <t>Creature — Halfling Peasant / Criatura — Pequenino Plebeu</t>
        </is>
      </c>
      <c r="C2681" s="11" t="inlineStr">
        <is>
          <t>Common / Comum</t>
        </is>
      </c>
      <c r="D2681" s="11" t="inlineStr">
        <is>
          <t>When this creature enters or leaves the battlefield, create a Food token. (It's an artifact with "{2}, {T}, Sacrifice this token: You gain 3 life.") / Quando Fazendeira do Brandevin entrar no campo de batalha ou o deixar, crie uma ficha de Comida. (Ela é um artefato com "{2}, {T}, sacrifique este artefato: Você ganha 3 pontos de vida".)</t>
        </is>
      </c>
      <c r="E2681" s="11" t="inlineStr">
        <is>
          <t>{2}{G}</t>
        </is>
      </c>
      <c r="F2681" s="11" t="inlineStr">
        <is>
          <t>Verde</t>
        </is>
      </c>
      <c r="G2681" s="8" t="n">
        <v>0.08</v>
      </c>
      <c r="H2681" s="11" t="inlineStr">
        <is>
          <t>The Lord of the Rings: Tales of Middle-earth (LTR)</t>
        </is>
      </c>
      <c r="I2681" s="11" t="inlineStr">
        <is>
          <t>Não</t>
        </is>
      </c>
      <c r="J2681" s="11" t="n">
        <v>2023</v>
      </c>
      <c r="K2681" s="10" t="n">
        <v>46023</v>
      </c>
      <c r="L2681" s="11" t="n">
        <v>1</v>
      </c>
      <c r="M2681" s="8">
        <f>L2681*G2681</f>
        <v/>
      </c>
      <c r="P2681" s="9" t="n"/>
    </row>
    <row r="2682">
      <c r="A2682" s="11" t="inlineStr">
        <is>
          <t>Fog on the Barrow-Downs / Nevoeiro nas Colinas dos Túmulos</t>
        </is>
      </c>
      <c r="B2682" s="11" t="inlineStr">
        <is>
          <t>Enchantment — Aura / Encantamento — Aura</t>
        </is>
      </c>
      <c r="C2682" s="11" t="inlineStr">
        <is>
          <t>Common / Comum</t>
        </is>
      </c>
      <c r="D2682" s="11" t="inlineStr">
        <is>
          <t>Enchant creature Enchanted creature is a Spirit and can't attack or block. (It loses all other creature types.) / Encantar criatura A criatura encantada é um Espírito e não pode atacar nem bloquear. (Ela perde todos os outros tipos de criatura.)</t>
        </is>
      </c>
      <c r="E2682" s="11" t="inlineStr">
        <is>
          <t>{2}{W}</t>
        </is>
      </c>
      <c r="F2682" s="11" t="inlineStr">
        <is>
          <t>Branco</t>
        </is>
      </c>
      <c r="G2682" s="8" t="n">
        <v>0.29</v>
      </c>
      <c r="H2682" s="11" t="inlineStr">
        <is>
          <t>The Lord of the Rings: Tales of Middle-earth (LTR)</t>
        </is>
      </c>
      <c r="I2682" s="11" t="inlineStr">
        <is>
          <t>Sim</t>
        </is>
      </c>
      <c r="J2682" s="11" t="n">
        <v>2023</v>
      </c>
      <c r="L2682" s="11" t="n">
        <v>1</v>
      </c>
      <c r="M2682" s="8">
        <f>L2682*G2682</f>
        <v/>
      </c>
      <c r="P2682" s="9" t="n"/>
    </row>
    <row r="2683">
      <c r="A2683" s="11" t="inlineStr">
        <is>
          <t>Ranger's Firebrand / Tição do Caminheiro</t>
        </is>
      </c>
      <c r="B2683" s="11" t="inlineStr">
        <is>
          <t>Sorcery / Feitiço</t>
        </is>
      </c>
      <c r="C2683" s="11" t="inlineStr">
        <is>
          <t>Uncommon / Incomum</t>
        </is>
      </c>
      <c r="D2683" s="11" t="inlineStr">
        <is>
          <t>Ranger's Firebrand deals 2 damage to any target. The Ring tempts you. / Tição do Caminheiro causa 2 pontos de dano a qualquer alvo. O Anel tenta você.</t>
        </is>
      </c>
      <c r="E2683" s="11" t="inlineStr">
        <is>
          <t>{R}</t>
        </is>
      </c>
      <c r="F2683" s="11" t="inlineStr">
        <is>
          <t>Vermelho</t>
        </is>
      </c>
      <c r="G2683" s="8" t="n">
        <v>0.2</v>
      </c>
      <c r="H2683" s="11" t="inlineStr">
        <is>
          <t>The Lord of the Rings: Tales of Middle-earth (LTR)</t>
        </is>
      </c>
      <c r="I2683" s="11" t="inlineStr">
        <is>
          <t>Não</t>
        </is>
      </c>
      <c r="J2683" s="11" t="n">
        <v>2023</v>
      </c>
      <c r="L2683" s="11" t="n">
        <v>1</v>
      </c>
      <c r="M2683" s="8">
        <f>L2683*G2683</f>
        <v/>
      </c>
      <c r="P2683" s="9" t="n"/>
    </row>
    <row r="2684">
      <c r="A2684" s="11" t="inlineStr">
        <is>
          <t>Mortality Spear / Lança da Mortalidade</t>
        </is>
      </c>
      <c r="B2684" s="11" t="inlineStr">
        <is>
          <t>Instant / Mágica Instantânea</t>
        </is>
      </c>
      <c r="C2684" s="11" t="inlineStr">
        <is>
          <t>Uncommon / Incomum</t>
        </is>
      </c>
      <c r="D2684" s="11" t="inlineStr">
        <is>
          <t>This spell costs {2} less to cast if you gained life this turn. Destroy target nonland permanent. / Esta mágica custa {2} a menos para ser conjurada se você tiver ganho pontos de vida neste turno. Destrua a permanente alvo não de terreno.</t>
        </is>
      </c>
      <c r="E2684" s="11" t="inlineStr">
        <is>
          <t>{2}{B}{G}</t>
        </is>
      </c>
      <c r="F2684" s="11" t="inlineStr">
        <is>
          <t>Preto, Verde</t>
        </is>
      </c>
      <c r="G2684" s="8" t="n">
        <v>0.58</v>
      </c>
      <c r="H2684" s="11" t="inlineStr">
        <is>
          <t>Strixhaven: School of Mages (STX)</t>
        </is>
      </c>
      <c r="I2684" s="11" t="inlineStr">
        <is>
          <t>Sim</t>
        </is>
      </c>
      <c r="J2684" s="11" t="n">
        <v>2021</v>
      </c>
      <c r="L2684" s="11" t="n">
        <v>1</v>
      </c>
      <c r="M2684" s="8">
        <f>L2684*G2684</f>
        <v/>
      </c>
      <c r="P2684" s="9" t="n"/>
    </row>
    <row r="2685">
      <c r="A2685" s="11" t="inlineStr">
        <is>
          <t>Gleaming Geardrake / Mecanodrago Reluzente</t>
        </is>
      </c>
      <c r="B2685" s="11" t="inlineStr">
        <is>
          <t>Artifact Creature — Drake / Criatura Artefato — Dragonete</t>
        </is>
      </c>
      <c r="C2685" s="11" t="inlineStr">
        <is>
          <t>Uncommon / Incomum</t>
        </is>
      </c>
      <c r="D2685" s="11" t="inlineStr">
        <is>
          <t>Flying When this creature enters, investigate. (Create a Clue token. It's an artifact with "{2}, Sacrifice this token: Draw a card.") Whenever you sacrifice an artifact, put a +1/+1 counter on this creature. / Voar Quando Mecanodrago Reluzente entrar no campo de batalha, investigue. (Crie uma ficha de Pista. Ela é um artefato com "{2}, sacrifique este artefato: Compre um card".) Toda vez que você sacrificar um artefato, coloque um marcador +1/+1 em Mecanodrago Reluzente.</t>
        </is>
      </c>
      <c r="E2685" s="11" t="inlineStr">
        <is>
          <t>{U}{R}</t>
        </is>
      </c>
      <c r="F2685" s="11" t="inlineStr">
        <is>
          <t>Vermelho, Azul</t>
        </is>
      </c>
      <c r="G2685" s="8" t="n">
        <v>0.14</v>
      </c>
      <c r="H2685" s="11" t="inlineStr">
        <is>
          <t>Murders at Karlov Manor (MKM)</t>
        </is>
      </c>
      <c r="I2685" s="11" t="inlineStr">
        <is>
          <t>Não</t>
        </is>
      </c>
      <c r="J2685" s="11" t="n">
        <v>2024</v>
      </c>
      <c r="K2685" s="10" t="n">
        <v>46023</v>
      </c>
      <c r="L2685" s="11" t="n">
        <v>1</v>
      </c>
      <c r="M2685" s="8">
        <f>L2685*G2685</f>
        <v/>
      </c>
      <c r="P2685" s="9" t="n"/>
    </row>
    <row r="2686">
      <c r="A2686" s="11" t="inlineStr">
        <is>
          <t>Kin-Tree Invocation / Invocação da Árvore de Família</t>
        </is>
      </c>
      <c r="B2686" s="11" t="inlineStr">
        <is>
          <t>Sorcery / Feitiço</t>
        </is>
      </c>
      <c r="C2686" s="11" t="inlineStr">
        <is>
          <t>Uncommon / Incomum</t>
        </is>
      </c>
      <c r="D2686" s="11" t="inlineStr">
        <is>
          <t>Create an X/X black and green Spirit Warrior creature token, where X is the greatest toughness among creatures you control. / Coloque no campo de batalha uma ficha de criatura preta e verde X/X do tipo Espírito Guerreiro, sendo X a maior resistência entre as criaturas que você controla.</t>
        </is>
      </c>
      <c r="E2686" s="11" t="inlineStr">
        <is>
          <t>{B}{G}</t>
        </is>
      </c>
      <c r="F2686" s="11" t="inlineStr">
        <is>
          <t>Preto, Verde</t>
        </is>
      </c>
      <c r="G2686" s="8" t="n">
        <v>0.08</v>
      </c>
      <c r="H2686" s="11" t="inlineStr">
        <is>
          <t>Khans of Tarkir (KTK)</t>
        </is>
      </c>
      <c r="I2686" s="11" t="inlineStr">
        <is>
          <t>Não</t>
        </is>
      </c>
      <c r="J2686" s="11" t="n">
        <v>2014</v>
      </c>
      <c r="L2686" s="11" t="n">
        <v>1</v>
      </c>
      <c r="M2686" s="8">
        <f>L2686*G2686</f>
        <v/>
      </c>
      <c r="P2686" s="9" t="n"/>
    </row>
    <row r="2687">
      <c r="A2687" s="11" t="inlineStr">
        <is>
          <t>Unnatural Moonrise / Nascer da Lua Antinatural</t>
        </is>
      </c>
      <c r="B2687" s="11" t="inlineStr">
        <is>
          <t>Sorcery / Feitiço</t>
        </is>
      </c>
      <c r="C2687" s="11" t="inlineStr">
        <is>
          <t>Uncommon / Incomum</t>
        </is>
      </c>
      <c r="D2687" s="11" t="inlineStr">
        <is>
          <t>It becomes night. Until end of turn, target creature gets +1/+0 and gains trample and "Whenever this creature deals combat damage to a player, draw a card." Flashback {2}{R}{G} (You may cast this card from your graveyard for its flashback cost. Then exile it.) / Torna-se noite. Até o final do turno, a criatura alvo recebe +1/+0 e ganha atropelar e "Toda vez que esta criatura causar dano de combate a um jogador, compre um card." Recapitular {2}{R}{G} (Você pode conjurar este card de seu cemitério pagando seu custo de recapitular. Depois, exile-o.)</t>
        </is>
      </c>
      <c r="E2687" s="11" t="inlineStr">
        <is>
          <t>{R}{G}</t>
        </is>
      </c>
      <c r="F2687" s="11" t="inlineStr">
        <is>
          <t>Verde, Vermelho</t>
        </is>
      </c>
      <c r="G2687" s="8" t="n">
        <v>0.18</v>
      </c>
      <c r="H2687" s="11" t="inlineStr">
        <is>
          <t>Innistrad: Midnight Hunt (MID)</t>
        </is>
      </c>
      <c r="I2687" s="11" t="inlineStr">
        <is>
          <t>Não</t>
        </is>
      </c>
      <c r="J2687" s="11" t="n">
        <v>2021</v>
      </c>
      <c r="L2687" s="11" t="n">
        <v>1</v>
      </c>
      <c r="M2687" s="8">
        <f>L2687*G2687</f>
        <v/>
      </c>
      <c r="P2687" s="9" t="n"/>
    </row>
    <row r="2688">
      <c r="A2688" s="11" t="inlineStr">
        <is>
          <t>Vohar, Vodalian Desecrator / Vohar, Profanador Vodaliano</t>
        </is>
      </c>
      <c r="B2688" s="11" t="inlineStr">
        <is>
          <t>Legendary Creature — Phyrexian Merfolk Wizard / Criatura Lendária — Phyrexiano Tritão Mago</t>
        </is>
      </c>
      <c r="C2688" s="11" t="inlineStr">
        <is>
          <t>Uncommon / Incomum</t>
        </is>
      </c>
      <c r="D2688" s="11" t="inlineStr">
        <is>
          <t>{T}: Draw a card, then discard a card. If you discarded an instant or sorcery card this way, each opponent loses 1 life and you gain 1 life. {2}, Sacrifice Vohar: You may cast target instant or sorcery card from your graveyard this turn. If that spell would be put into your graveyard, exile it instead. Activate only as a sorcery. / {T}: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t>
        </is>
      </c>
      <c r="E2688" s="11" t="inlineStr">
        <is>
          <t>{U}{B}</t>
        </is>
      </c>
      <c r="F2688" s="11" t="inlineStr">
        <is>
          <t>Preto, Azul</t>
        </is>
      </c>
      <c r="G2688" s="8" t="n">
        <v>0.15</v>
      </c>
      <c r="H2688" s="11" t="inlineStr">
        <is>
          <t>Dominaria United (DMU)</t>
        </is>
      </c>
      <c r="I2688" s="11" t="inlineStr">
        <is>
          <t>Não</t>
        </is>
      </c>
      <c r="J2688" s="11" t="n">
        <v>2022</v>
      </c>
      <c r="K2688" s="10" t="n">
        <v>46054</v>
      </c>
      <c r="L2688" s="11" t="n">
        <v>1</v>
      </c>
      <c r="M2688" s="8">
        <f>L2688*G2688</f>
        <v/>
      </c>
      <c r="P2688" s="9" t="n"/>
    </row>
    <row r="2689">
      <c r="A2689" s="11" t="inlineStr">
        <is>
          <t>Glowspore Shaman / Xamã Lumispórea</t>
        </is>
      </c>
      <c r="B2689" s="11" t="inlineStr">
        <is>
          <t>Creature — Elf Shaman / Criatura — Elfo Xamã</t>
        </is>
      </c>
      <c r="C2689" s="11" t="inlineStr">
        <is>
          <t>Common / Comum</t>
        </is>
      </c>
      <c r="D2689" s="11" t="inlineStr">
        <is>
          <t>When this creature enters, mill three cards. You may put a land card from your graveyard on top of your library. (To mill a card, put the top card of your library into your graveyard.) / Quando Xamã Lumispórea entrar no campo de batalha, coloque os três cards do topo de seu grimório em seu cemitério. Você pode colocar um card de terreno de seu cemitério no topo de seu grimório.</t>
        </is>
      </c>
      <c r="E2689" s="11" t="inlineStr">
        <is>
          <t>{B}{G}</t>
        </is>
      </c>
      <c r="F2689" s="11" t="inlineStr">
        <is>
          <t>Preto, Verde</t>
        </is>
      </c>
      <c r="G2689" s="8" t="n">
        <v>0.12</v>
      </c>
      <c r="H2689" s="11" t="inlineStr">
        <is>
          <t>Ravnica Remastered (RVR)</t>
        </is>
      </c>
      <c r="I2689" s="11" t="inlineStr">
        <is>
          <t>Não</t>
        </is>
      </c>
      <c r="J2689" s="11" t="n">
        <v>2024</v>
      </c>
      <c r="K2689" s="10" t="n">
        <v>46025</v>
      </c>
      <c r="L2689" s="11" t="n">
        <v>1</v>
      </c>
      <c r="M2689" s="8">
        <f>L2689*G2689</f>
        <v/>
      </c>
      <c r="P2689" s="9" t="n"/>
    </row>
    <row r="2690">
      <c r="A2690" s="11" t="inlineStr">
        <is>
          <t>Cyclops Superconductor / Ciclope Supercondutor</t>
        </is>
      </c>
      <c r="B2690" s="11" t="inlineStr">
        <is>
          <t>Creature — Cyclops Wizard / Criatura — Ciclope Mago</t>
        </is>
      </c>
      <c r="C2690" s="11" t="inlineStr">
        <is>
          <t>Common / Comum</t>
        </is>
      </c>
      <c r="D2690" s="11" t="inlineStr">
        <is>
          <t>Prowess (Whenever you cast a noncreature spell, this creature gets +1/+1 until end of turn.) When this creature enters, you get {E}{E}{E} (three energy counters). When this creature dies, you may pay {E}{E}{E}. When you do, this creature deals damage equal to its power to any target. / Destreza (Toda vez que você conjurar uma mágica não de criatura, esta criatura recebe +1/+1 até o final do turno.) Quando Ciclope Supercondutor entra no campo de batalha, você recebe {E}{E}{E} (três marcadores de energia). Quando Ciclope Supercondutor morre, você pode pagar {E}{E}{E}. Quando você faz isso, Ciclope Supercondutor causa dano igual a seu poder a qualquer alvo.</t>
        </is>
      </c>
      <c r="E2690" s="11" t="inlineStr">
        <is>
          <t>{1}{U}{R}</t>
        </is>
      </c>
      <c r="F2690" s="11" t="inlineStr">
        <is>
          <t>Vermelho, Azul</t>
        </is>
      </c>
      <c r="G2690" s="8" t="n">
        <v>0.06</v>
      </c>
      <c r="H2690" s="11" t="inlineStr">
        <is>
          <t>Modern Horizons 3 (MH3)</t>
        </is>
      </c>
      <c r="I2690" s="11" t="inlineStr">
        <is>
          <t>Não</t>
        </is>
      </c>
      <c r="J2690" s="11" t="n">
        <v>2024</v>
      </c>
      <c r="K2690" s="10" t="n">
        <v>46055</v>
      </c>
      <c r="L2690" s="11" t="n">
        <v>1</v>
      </c>
      <c r="M2690" s="8">
        <f>L2690*G2690</f>
        <v/>
      </c>
      <c r="P2690" s="9" t="n"/>
    </row>
    <row r="2691">
      <c r="A2691" s="11" t="inlineStr">
        <is>
          <t>Bortuk Bonerattle / Bortuk Chocalho de Ossos</t>
        </is>
      </c>
      <c r="B2691" s="11" t="inlineStr">
        <is>
          <t>Legendary Creature — Troll Shaman / Criatura Lendária — Trol Xamã</t>
        </is>
      </c>
      <c r="C2691" s="11" t="inlineStr">
        <is>
          <t>Uncommon / Incomum</t>
        </is>
      </c>
      <c r="D2691" s="11" t="inlineStr">
        <is>
          <t>Domain — When Bortuk Bonerattle enters, if you cast it, choose target creature card in your graveyard. Return that card to the battlefield if its mana value is less than or equal to the number of basic land types among lands you control. Otherwise, put it into your hand. / Dominar — Quando Bortuk Chocalho de Ossos entrar no campo de batalha, se você o tiver conjurado, escolha o card de criatura alvo em seu cemitério. Devolva aquele card ao campo de batalha se o valor de mana dele for igual ou inferior ao número de tipos de terreno básico entre os terrenos que você controla. Do contrário, coloque-o em sua mão.</t>
        </is>
      </c>
      <c r="E2691" s="11" t="inlineStr">
        <is>
          <t>{4}{B}{G}</t>
        </is>
      </c>
      <c r="F2691" s="11" t="inlineStr">
        <is>
          <t>Preto, Verde</t>
        </is>
      </c>
      <c r="G2691" s="8" t="n">
        <v>0.1</v>
      </c>
      <c r="H2691" s="11" t="inlineStr">
        <is>
          <t>Dominaria United (DMU)</t>
        </is>
      </c>
      <c r="I2691" s="11" t="inlineStr">
        <is>
          <t>Não</t>
        </is>
      </c>
      <c r="J2691" s="11" t="n">
        <v>2022</v>
      </c>
      <c r="K2691" s="10" t="n">
        <v>46116</v>
      </c>
      <c r="L2691" s="11" t="n">
        <v>1</v>
      </c>
      <c r="M2691" s="8">
        <f>L2691*G2691</f>
        <v/>
      </c>
      <c r="P2691" s="9" t="n"/>
    </row>
    <row r="2692">
      <c r="A2692" s="11" t="inlineStr">
        <is>
          <t>Izzet Charm / Amuleto Izzet</t>
        </is>
      </c>
      <c r="B2692" s="11" t="inlineStr">
        <is>
          <t>Instant / Mágica Instantânea</t>
        </is>
      </c>
      <c r="C2692" s="11" t="inlineStr">
        <is>
          <t>Common / Comum</t>
        </is>
      </c>
      <c r="D2692" s="11" t="inlineStr">
        <is>
          <t>Choose one — • Counter target noncreature spell unless its controller pays {2}. • Izzet Charm deals 2 damage to target creature. • Draw two cards, then discard two cards. / Escolha um — Anule a mágica alvo que não seja de criatura a menos que seu controlador pague {2}; ou Amuleto Izzet causa 2 pontos de dano à criatura alvo; ou compre dois cards e depois descarte dois cards.</t>
        </is>
      </c>
      <c r="E2692" s="11" t="inlineStr">
        <is>
          <t>{U}{R}</t>
        </is>
      </c>
      <c r="F2692" s="11" t="inlineStr">
        <is>
          <t>Vermelho, Azul</t>
        </is>
      </c>
      <c r="G2692" s="8" t="n">
        <v>0.28</v>
      </c>
      <c r="H2692" s="11" t="inlineStr">
        <is>
          <t>Double Masters 2022 (2X2)</t>
        </is>
      </c>
      <c r="I2692" s="11" t="inlineStr">
        <is>
          <t>Não</t>
        </is>
      </c>
      <c r="J2692" s="11" t="n">
        <v>2022</v>
      </c>
      <c r="L2692" s="11" t="n">
        <v>1</v>
      </c>
      <c r="M2692" s="8">
        <f>L2692*G2692</f>
        <v/>
      </c>
      <c r="P2692" s="9" t="n"/>
    </row>
    <row r="2693">
      <c r="A2693" s="11" t="inlineStr">
        <is>
          <t>Prophetic Bolt / Raio Profético</t>
        </is>
      </c>
      <c r="B2693" s="11" t="inlineStr">
        <is>
          <t>Instant / Mágica Instantânea</t>
        </is>
      </c>
      <c r="C2693" s="11" t="inlineStr">
        <is>
          <t>Uncommon / Incomum</t>
        </is>
      </c>
      <c r="D2693" s="11" t="inlineStr">
        <is>
          <t>Prophetic Bolt deals 4 damage to any target. Look at the top four cards of your library. Put one of those cards into your hand and the rest on the bottom of your library in any order. / Raio Profético causa 4 pontos de dano a qualquer alvo. Olhe os quatro cards do topo do seu grimório. Coloque um daqueles cards na sua mão e os restantes no fundo do seu grimório em qualquer ordem.</t>
        </is>
      </c>
      <c r="E2693" s="11" t="inlineStr">
        <is>
          <t>{3}{U}{R}</t>
        </is>
      </c>
      <c r="F2693" s="11" t="inlineStr">
        <is>
          <t>Vermelho, Azul</t>
        </is>
      </c>
      <c r="G2693" s="8" t="n">
        <v>0.17</v>
      </c>
      <c r="H2693" s="11" t="inlineStr">
        <is>
          <t>Double Masters 2022 (2X2)</t>
        </is>
      </c>
      <c r="I2693" s="11" t="inlineStr">
        <is>
          <t>Não</t>
        </is>
      </c>
      <c r="J2693" s="11" t="n">
        <v>2022</v>
      </c>
      <c r="L2693" s="11" t="n">
        <v>1</v>
      </c>
      <c r="M2693" s="8">
        <f>L2693*G2693</f>
        <v/>
      </c>
      <c r="P2693" s="9" t="n"/>
    </row>
    <row r="2694">
      <c r="A2694" s="11" t="inlineStr">
        <is>
          <t>Private Eye / Olheiro Particular</t>
        </is>
      </c>
      <c r="B2694" s="11" t="inlineStr">
        <is>
          <t>Creature — Homunculus Detective / Criatura — Homúnculo Detetive</t>
        </is>
      </c>
      <c r="C2694" s="11" t="inlineStr">
        <is>
          <t>Uncommon / Incomum</t>
        </is>
      </c>
      <c r="D2694" s="11" t="inlineStr">
        <is>
          <t>Other Detectives you control get +1/+1. Whenever you draw your second card each turn, target Detective can't be blocked this turn. / Os outros Detetives que você controla recebem +1/+1. Toda vez que você compra seu segundo card a cada turno, o Detetive alvo não pode ser bloqueado neste turno.</t>
        </is>
      </c>
      <c r="E2694" s="11" t="inlineStr">
        <is>
          <t>{1}{W}{U}</t>
        </is>
      </c>
      <c r="F2694" s="11" t="inlineStr">
        <is>
          <t>Azul, Branco</t>
        </is>
      </c>
      <c r="G2694" s="8" t="n">
        <v>0.09</v>
      </c>
      <c r="H2694" s="11" t="inlineStr">
        <is>
          <t>Murders at Karlov Manor (MKM)</t>
        </is>
      </c>
      <c r="I2694" s="11" t="inlineStr">
        <is>
          <t>Não</t>
        </is>
      </c>
      <c r="J2694" s="11" t="n">
        <v>2024</v>
      </c>
      <c r="K2694" s="10" t="n">
        <v>46084</v>
      </c>
      <c r="L2694" s="11" t="n">
        <v>1</v>
      </c>
      <c r="M2694" s="8">
        <f>L2694*G2694</f>
        <v/>
      </c>
      <c r="P2694" s="9" t="n"/>
    </row>
    <row r="2695">
      <c r="A2695" s="11" t="inlineStr">
        <is>
          <t>Beastie Beatdown</t>
        </is>
      </c>
      <c r="B2695" s="11" t="inlineStr">
        <is>
          <t>Sorcery</t>
        </is>
      </c>
      <c r="C2695" s="11" t="inlineStr">
        <is>
          <t>Uncommon / Incomum</t>
        </is>
      </c>
      <c r="D2695" s="11" t="inlineStr">
        <is>
          <t>Choose target creature you control and target creature an opponent controls. Delirium — If there are four or more card types among cards in your graveyard, put two +1/+1 counters on the creature you control. The creature you control deals damage equal to its power to the creature an opponent controls.</t>
        </is>
      </c>
      <c r="E2695" s="11" t="inlineStr">
        <is>
          <t>{R}{G}</t>
        </is>
      </c>
      <c r="F2695" s="11" t="inlineStr">
        <is>
          <t>Verde, Vermelho</t>
        </is>
      </c>
      <c r="G2695" s="8" t="n">
        <v>0.09</v>
      </c>
      <c r="H2695" s="11" t="inlineStr">
        <is>
          <t>Duskmourn: House of Horror (DSK)</t>
        </is>
      </c>
      <c r="I2695" s="11" t="inlineStr">
        <is>
          <t>Não</t>
        </is>
      </c>
      <c r="J2695" s="11" t="n">
        <v>2024</v>
      </c>
      <c r="L2695" s="11" t="n">
        <v>1</v>
      </c>
      <c r="M2695" s="8">
        <f>L2695*G2695</f>
        <v/>
      </c>
      <c r="P2695" s="9" t="n"/>
    </row>
    <row r="2696">
      <c r="A2696" s="11" t="inlineStr">
        <is>
          <t>Melek, Izzet Paragon / Melek, Paradigma dos Izzet</t>
        </is>
      </c>
      <c r="B2696" s="11" t="inlineStr">
        <is>
          <t>Legendary Creature — Weird Wizard / Criatura Lendária — Bizarro Mago</t>
        </is>
      </c>
      <c r="C2696" s="11" t="inlineStr">
        <is>
          <t>Uncommon / Incomum</t>
        </is>
      </c>
      <c r="D2696" s="11" t="inlineStr">
        <is>
          <t>Play with the top card of your library revealed. You may cast instant and sorcery spells from the top of your library. Whenever you cast an instant or sorcery spell from your library, copy it. You may choose new targets for the copy. / Jogue com o card do topo de seu grimório revelado. Você pode conjurar mágicas instantâneas e feitiços do topo de seu grimório. Toda vez que você conjurar uma mágica instantânea ou um feitiço de seu grimório, faça uma cópia deste. Você pode escolher novos alvos para a cópia.</t>
        </is>
      </c>
      <c r="E2696" s="11" t="inlineStr">
        <is>
          <t>{4}{U}{R}</t>
        </is>
      </c>
      <c r="F2696" s="11" t="inlineStr">
        <is>
          <t>Vermelho, Azul</t>
        </is>
      </c>
      <c r="G2696" s="8" t="n">
        <v>0.25</v>
      </c>
      <c r="H2696" s="11" t="inlineStr">
        <is>
          <t>Commander Masters (CMM)</t>
        </is>
      </c>
      <c r="I2696" s="11" t="inlineStr">
        <is>
          <t>Não</t>
        </is>
      </c>
      <c r="J2696" s="11" t="n">
        <v>2023</v>
      </c>
      <c r="K2696" s="10" t="n">
        <v>46114</v>
      </c>
      <c r="L2696" s="11" t="n">
        <v>1</v>
      </c>
      <c r="M2696" s="8">
        <f>L2696*G2696</f>
        <v/>
      </c>
      <c r="P2696" s="9" t="n"/>
    </row>
    <row r="2697">
      <c r="A2697" s="11" t="inlineStr">
        <is>
          <t>Tuya Bearclaw / Tuya Garra de Urso</t>
        </is>
      </c>
      <c r="B2697" s="11" t="inlineStr">
        <is>
          <t>Legendary Creature — Human Warrior / Criatura Lendária — Humano Guerreiro</t>
        </is>
      </c>
      <c r="C2697" s="11" t="inlineStr">
        <is>
          <t>Uncommon / Incomum</t>
        </is>
      </c>
      <c r="D2697" s="11" t="inlineStr">
        <is>
          <t>Whenever Tuya Bearclaw attacks, it gets +X/+X until end of turn, where X is the greatest power among other creatures you control. / Toda vez que Tuya Garra de Urso ataca, ela recebe +X/+X até o final do turno, sendo X o maior poder entre os das outras criaturas que você controla.</t>
        </is>
      </c>
      <c r="E2697" s="11" t="inlineStr">
        <is>
          <t>{1}{R}{G}</t>
        </is>
      </c>
      <c r="F2697" s="11" t="inlineStr">
        <is>
          <t>Verde, Vermelho</t>
        </is>
      </c>
      <c r="G2697" s="8" t="n">
        <v>0.25</v>
      </c>
      <c r="H2697" s="11" t="inlineStr">
        <is>
          <t>Commander Masters (CMM)</t>
        </is>
      </c>
      <c r="I2697" s="11" t="inlineStr">
        <is>
          <t>Não</t>
        </is>
      </c>
      <c r="J2697" s="11" t="n">
        <v>2023</v>
      </c>
      <c r="K2697" s="10" t="n">
        <v>46055</v>
      </c>
      <c r="L2697" s="11" t="n">
        <v>1</v>
      </c>
      <c r="M2697" s="8">
        <f>L2697*G2697</f>
        <v/>
      </c>
      <c r="P2697" s="9" t="n"/>
    </row>
    <row r="2698">
      <c r="A2698" s="11" t="inlineStr">
        <is>
          <t>Intruding Soulrager</t>
        </is>
      </c>
      <c r="B2698" s="11" t="inlineStr">
        <is>
          <t>Creature — Spirit</t>
        </is>
      </c>
      <c r="C2698" s="11" t="inlineStr">
        <is>
          <t>Uncommon / Incomum</t>
        </is>
      </c>
      <c r="D2698" s="11" t="inlineStr">
        <is>
          <t>Vigilance {T}, Sacrifice a Room: This creature deals 2 damage to each opponent. Draw a card.</t>
        </is>
      </c>
      <c r="E2698" s="11" t="inlineStr">
        <is>
          <t>{U}{R}</t>
        </is>
      </c>
      <c r="F2698" s="11" t="inlineStr">
        <is>
          <t>Vermelho, Azul</t>
        </is>
      </c>
      <c r="G2698" s="8" t="n">
        <v>0.05</v>
      </c>
      <c r="H2698" s="11" t="inlineStr">
        <is>
          <t>Duskmourn: House of Horror (DSK)</t>
        </is>
      </c>
      <c r="I2698" s="11" t="inlineStr">
        <is>
          <t>Não</t>
        </is>
      </c>
      <c r="J2698" s="11" t="n">
        <v>2024</v>
      </c>
      <c r="K2698" s="10" t="n">
        <v>46055</v>
      </c>
      <c r="L2698" s="11" t="n">
        <v>1</v>
      </c>
      <c r="M2698" s="8">
        <f>L2698*G2698</f>
        <v/>
      </c>
      <c r="P2698" s="9" t="n"/>
    </row>
    <row r="2699">
      <c r="A2699" s="11" t="inlineStr">
        <is>
          <t>Scurry of Gremlins / Fuga dos Gremlins</t>
        </is>
      </c>
      <c r="B2699" s="11" t="inlineStr">
        <is>
          <t>Enchantment / Encantamento</t>
        </is>
      </c>
      <c r="C2699" s="11" t="inlineStr">
        <is>
          <t>Uncommon / Incomum</t>
        </is>
      </c>
      <c r="D2699" s="11" t="inlineStr">
        <is>
          <t>When this enchantment enters, create two 1/1 red Gremlin creature tokens. Then you get an amount of {E} (energy counters) equal to the number of creatures you control. Pay {E}{E}{E}{E}: Creatures you control get +1/+0 and gain haste until end of turn. / Quando Fuga dos Gremlins entrar no campo de batalha, crie duas fichas de criatura Gremlin vermelha 1/1. Em seguida, você recebe uma quantidade de {E} (marcadores de energia) igual ao número de criaturas que você controla. Pague {E}{E}{E}{E}: As criaturas que você controla recebem +1/+0 e ganham ímpeto até o final do turno.</t>
        </is>
      </c>
      <c r="E2699" s="11" t="inlineStr">
        <is>
          <t>{2}{R}{W}</t>
        </is>
      </c>
      <c r="F2699" s="11" t="inlineStr">
        <is>
          <t>Vermelho, Branco</t>
        </is>
      </c>
      <c r="G2699" s="8" t="n">
        <v>0.06</v>
      </c>
      <c r="H2699" s="11" t="inlineStr">
        <is>
          <t>Modern Horizons 3 (MH3)</t>
        </is>
      </c>
      <c r="I2699" s="11" t="inlineStr">
        <is>
          <t>Não</t>
        </is>
      </c>
      <c r="J2699" s="11" t="n">
        <v>2024</v>
      </c>
      <c r="L2699" s="11" t="n">
        <v>1</v>
      </c>
      <c r="M2699" s="8">
        <f>L2699*G2699</f>
        <v/>
      </c>
      <c r="P2699" s="9" t="n"/>
    </row>
    <row r="2700">
      <c r="A2700" s="11" t="inlineStr">
        <is>
          <t>Truefire Captain / Capitã do Fogo Genuíno</t>
        </is>
      </c>
      <c r="B2700" s="11" t="inlineStr">
        <is>
          <t>Creature — Human Knight / Criatura — Humano Cavaleiro</t>
        </is>
      </c>
      <c r="C2700" s="11" t="inlineStr">
        <is>
          <t>Uncommon / Incomum</t>
        </is>
      </c>
      <c r="D2700" s="11" t="inlineStr">
        <is>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is>
      </c>
      <c r="E2700" s="11" t="inlineStr">
        <is>
          <t>{R}{R}{W}{W}</t>
        </is>
      </c>
      <c r="F2700" s="11" t="inlineStr">
        <is>
          <t>Vermelho, Branco</t>
        </is>
      </c>
      <c r="G2700" s="8" t="n">
        <v>0.17</v>
      </c>
      <c r="H2700" s="11" t="inlineStr">
        <is>
          <t>Ravnica Remastered (RVR)</t>
        </is>
      </c>
      <c r="I2700" s="11" t="inlineStr">
        <is>
          <t>Não</t>
        </is>
      </c>
      <c r="J2700" s="11" t="n">
        <v>2024</v>
      </c>
      <c r="K2700" s="10" t="n">
        <v>46085</v>
      </c>
      <c r="L2700" s="11" t="n">
        <v>1</v>
      </c>
      <c r="M2700" s="8">
        <f>L2700*G2700</f>
        <v/>
      </c>
      <c r="P2700" s="9" t="n"/>
    </row>
    <row r="2701">
      <c r="A2701" s="11" t="inlineStr">
        <is>
          <t>Garna, the Bloodflame / Garna, a Chama Sanguínea</t>
        </is>
      </c>
      <c r="B2701" s="11" t="inlineStr">
        <is>
          <t>Legendary Creature — Human Warrior / Criatura Lendária — Humano Guerreiro</t>
        </is>
      </c>
      <c r="C2701" s="11" t="inlineStr">
        <is>
          <t>Uncommon / Incomum</t>
        </is>
      </c>
      <c r="D2701" s="11" t="inlineStr">
        <is>
          <t>Flash When Garna enters, return to your hand all creature cards in your graveyard that were put there from anywhere this turn. Other creatures you control have haste. / Lampejo Quando Garna, a Chama Sanguínea, entrar no campo de batalha, devolva para sua mão todos os cards de criatura em seu cemitério que tenham sido colocados lá de qualquer lugar neste turno. As outras criaturas que você controla têm ímpeto.</t>
        </is>
      </c>
      <c r="E2701" s="11" t="inlineStr">
        <is>
          <t>{3}{B}{R}</t>
        </is>
      </c>
      <c r="F2701" s="11" t="inlineStr">
        <is>
          <t>Preto, Vermelho</t>
        </is>
      </c>
      <c r="G2701" s="8" t="n">
        <v>0.05</v>
      </c>
      <c r="H2701" s="11" t="inlineStr">
        <is>
          <t>Ultimate Masters (UMA)</t>
        </is>
      </c>
      <c r="I2701" s="11" t="inlineStr">
        <is>
          <t>Não</t>
        </is>
      </c>
      <c r="J2701" s="11" t="n">
        <v>2018</v>
      </c>
      <c r="K2701" s="10" t="n">
        <v>46084</v>
      </c>
      <c r="L2701" s="11" t="n">
        <v>1</v>
      </c>
      <c r="M2701" s="8">
        <f>L2701*G2701</f>
        <v/>
      </c>
      <c r="P2701" s="9" t="n"/>
    </row>
    <row r="2702">
      <c r="A2702" s="11" t="inlineStr">
        <is>
          <t>Leave // Chance / Deixar // Acaso</t>
        </is>
      </c>
      <c r="B2702" s="11" t="inlineStr">
        <is>
          <t>Instant // Sorcery / Mágica Instantânea</t>
        </is>
      </c>
      <c r="C2702" s="11" t="inlineStr">
        <is>
          <t>Rare / Rara</t>
        </is>
      </c>
      <c r="D2702" s="11" t="inlineStr">
        <is>
          <t>Leave: Return any number of target permanents you own to your hand. // Chance: Aftermath (Cast this spell only from your graveyard. Then exile it.) Discard any number of cards, then draw that many cards. / Devolva qualquer número de permanentes alvo que você possui para sua mão.</t>
        </is>
      </c>
      <c r="E2702" s="11" t="inlineStr">
        <is>
          <t>{1}{W} // {3}{R}</t>
        </is>
      </c>
      <c r="F2702" s="11" t="inlineStr">
        <is>
          <t>Vermelho, Branco</t>
        </is>
      </c>
      <c r="G2702" s="8" t="n">
        <v>0.2</v>
      </c>
      <c r="H2702" s="11" t="inlineStr">
        <is>
          <t>Hour of Devastation (HOU)</t>
        </is>
      </c>
      <c r="I2702" s="11" t="inlineStr">
        <is>
          <t>Não</t>
        </is>
      </c>
      <c r="J2702" s="11" t="n">
        <v>2017</v>
      </c>
      <c r="L2702" s="11" t="n">
        <v>1</v>
      </c>
      <c r="M2702" s="8">
        <f>L2702*G2702</f>
        <v/>
      </c>
      <c r="P2702" s="9" t="n"/>
    </row>
    <row r="2703">
      <c r="A2703" s="11" t="inlineStr">
        <is>
          <t>Unraveling Mummy / Múmia Desenrolada</t>
        </is>
      </c>
      <c r="B2703" s="11" t="inlineStr">
        <is>
          <t>Creature — Zombie / Criatura — Zumbi</t>
        </is>
      </c>
      <c r="C2703" s="11" t="inlineStr">
        <is>
          <t>Uncommon / Incomum</t>
        </is>
      </c>
      <c r="D2703" s="11" t="inlineStr">
        <is>
          <t>{1}{W}: Target attacking Zombie gains lifelink until end of turn. {1}{B}: Target attacking Zombie gains deathtouch until end of turn. / {1}{W}: O Zumbi atacante alvo ganha vínculo com a vida até o final do turno. {1}{B}: O Zumbi atacante alvo ganha toque mortífero até o final do turno.</t>
        </is>
      </c>
      <c r="E2703" s="11" t="inlineStr">
        <is>
          <t>{1}{W}{B}</t>
        </is>
      </c>
      <c r="F2703" s="11" t="inlineStr">
        <is>
          <t>Preto, Branco</t>
        </is>
      </c>
      <c r="G2703" s="8" t="n">
        <v>0.09</v>
      </c>
      <c r="H2703" s="11" t="inlineStr">
        <is>
          <t>Hour of Devastation (HOU)</t>
        </is>
      </c>
      <c r="I2703" s="11" t="inlineStr">
        <is>
          <t>Não</t>
        </is>
      </c>
      <c r="J2703" s="11" t="n">
        <v>2017</v>
      </c>
      <c r="K2703" s="10" t="n">
        <v>46083</v>
      </c>
      <c r="L2703" s="11" t="n">
        <v>1</v>
      </c>
      <c r="M2703" s="8">
        <f>L2703*G2703</f>
        <v/>
      </c>
      <c r="P2703" s="9" t="n"/>
    </row>
    <row r="2704">
      <c r="A2704" s="11" t="inlineStr">
        <is>
          <t>Sunder Shaman / Xamã Rachador</t>
        </is>
      </c>
      <c r="B2704" s="11" t="inlineStr">
        <is>
          <t>Creature — Giant Shaman / Criatura — Gigante Xamã</t>
        </is>
      </c>
      <c r="C2704" s="11" t="inlineStr">
        <is>
          <t>Uncommon / Incomum</t>
        </is>
      </c>
      <c r="D2704" s="11" t="inlineStr">
        <is>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is>
      </c>
      <c r="E2704" s="11" t="inlineStr">
        <is>
          <t>{R}{R}{G}{G}</t>
        </is>
      </c>
      <c r="F2704" s="11" t="inlineStr">
        <is>
          <t>Verde, Vermelho</t>
        </is>
      </c>
      <c r="G2704" s="8" t="n">
        <v>0.13</v>
      </c>
      <c r="H2704" s="11" t="inlineStr">
        <is>
          <t>Ravnica Remastered (RVR)</t>
        </is>
      </c>
      <c r="I2704" s="11" t="inlineStr">
        <is>
          <t>Não</t>
        </is>
      </c>
      <c r="J2704" s="11" t="n">
        <v>2024</v>
      </c>
      <c r="K2704" s="10" t="n">
        <v>46147</v>
      </c>
      <c r="L2704" s="11" t="n">
        <v>1</v>
      </c>
      <c r="M2704" s="8">
        <f>L2704*G2704</f>
        <v/>
      </c>
      <c r="P2704" s="9" t="n"/>
    </row>
    <row r="2705">
      <c r="A2705" s="11" t="inlineStr">
        <is>
          <t>Rona, Sheoldred's Faithful / Rona, Devota de Sheoldred</t>
        </is>
      </c>
      <c r="B2705" s="11" t="inlineStr">
        <is>
          <t>Legendary Creature — Human Wizard / Criatura Lendária — Humano Mago</t>
        </is>
      </c>
      <c r="C2705" s="11" t="inlineStr">
        <is>
          <t>Uncommon / Incomum</t>
        </is>
      </c>
      <c r="D2705" s="11" t="inlineStr">
        <is>
          <t>Whenever you cast an instant or sorcery spell, each opponent loses 1 life. You may cast this card from your graveyard by discarding two cards in addition to paying its other costs. / Toda vez que você conjura uma mágica instantânea ou um feitiço, cada oponente perde 1 ponto de vida. Você pode conjurar Rona, Devota de Sheoldred, de seu cemitério descartando dois cards além de pagar seus outros custos.</t>
        </is>
      </c>
      <c r="E2705" s="11" t="inlineStr">
        <is>
          <t>{1}{U}{B}{B}</t>
        </is>
      </c>
      <c r="F2705" s="11" t="inlineStr">
        <is>
          <t>Preto, Azul</t>
        </is>
      </c>
      <c r="G2705" s="8" t="n">
        <v>0.1</v>
      </c>
      <c r="H2705" s="11" t="inlineStr">
        <is>
          <t>Dominaria United (DMU)</t>
        </is>
      </c>
      <c r="I2705" s="11" t="inlineStr">
        <is>
          <t>Não</t>
        </is>
      </c>
      <c r="J2705" s="11" t="n">
        <v>2022</v>
      </c>
      <c r="K2705" s="10" t="n">
        <v>46115</v>
      </c>
      <c r="L2705" s="11" t="n">
        <v>1</v>
      </c>
      <c r="M2705" s="8">
        <f>L2705*G2705</f>
        <v/>
      </c>
      <c r="P2705" s="9" t="n"/>
    </row>
    <row r="2706">
      <c r="A2706" s="11" t="inlineStr">
        <is>
          <t>Ashroot Animist</t>
        </is>
      </c>
      <c r="B2706" s="11" t="inlineStr">
        <is>
          <t>Creature — Lizard Druid</t>
        </is>
      </c>
      <c r="C2706" s="11" t="inlineStr">
        <is>
          <t>Rare / Rara</t>
        </is>
      </c>
      <c r="D2706" s="11" t="inlineStr">
        <is>
          <t>Trample Whenever this creature attacks, another target creature you control gains trample and gets +X/+X until end of turn, where X is this creature's power.</t>
        </is>
      </c>
      <c r="E2706" s="11" t="inlineStr">
        <is>
          <t>{2}{R}{G}</t>
        </is>
      </c>
      <c r="F2706" s="11" t="inlineStr">
        <is>
          <t>Verde, Vermelho</t>
        </is>
      </c>
      <c r="G2706" s="8" t="n">
        <v>0.33</v>
      </c>
      <c r="H2706" s="11" t="inlineStr">
        <is>
          <t>Foundations (FDN)</t>
        </is>
      </c>
      <c r="I2706" s="11" t="inlineStr">
        <is>
          <t>Não</t>
        </is>
      </c>
      <c r="J2706" s="11" t="n">
        <v>2024</v>
      </c>
      <c r="K2706" s="10" t="n">
        <v>46116</v>
      </c>
      <c r="L2706" s="11" t="n">
        <v>1</v>
      </c>
      <c r="M2706" s="8">
        <f>L2706*G2706</f>
        <v/>
      </c>
      <c r="P2706" s="9" t="n"/>
    </row>
    <row r="2707">
      <c r="A2707" s="11" t="inlineStr">
        <is>
          <t>Moldervine Reclamation / Recuperação das Gavinhas Bolorentas</t>
        </is>
      </c>
      <c r="B2707" s="11" t="inlineStr">
        <is>
          <t>Enchantment / Encantamento</t>
        </is>
      </c>
      <c r="C2707" s="11" t="inlineStr">
        <is>
          <t>Uncommon / Incomum</t>
        </is>
      </c>
      <c r="D2707" s="11" t="inlineStr">
        <is>
          <t>Whenever a creature you control dies, you gain 1 life and draw a card. / Toda vez que uma criatura que você controla morre, você ganha 1 ponto de vida e compra um card.</t>
        </is>
      </c>
      <c r="E2707" s="11" t="inlineStr">
        <is>
          <t>{3}{B}{G}</t>
        </is>
      </c>
      <c r="F2707" s="11" t="inlineStr">
        <is>
          <t>Preto, Verde</t>
        </is>
      </c>
      <c r="G2707" s="8" t="n">
        <v>2.25</v>
      </c>
      <c r="H2707" s="11" t="inlineStr">
        <is>
          <t>Commander 2021 (C21)</t>
        </is>
      </c>
      <c r="I2707" s="11" t="inlineStr">
        <is>
          <t>Não</t>
        </is>
      </c>
      <c r="J2707" s="11" t="n">
        <v>2021</v>
      </c>
      <c r="L2707" s="11" t="n">
        <v>1</v>
      </c>
      <c r="M2707" s="8">
        <f>L2707*G2707</f>
        <v/>
      </c>
      <c r="N2707" s="11" t="inlineStr">
        <is>
          <t>Pasta</t>
        </is>
      </c>
      <c r="P2707" s="9" t="n"/>
    </row>
    <row r="2708">
      <c r="A2708" s="11" t="inlineStr">
        <is>
          <t>Runic Shot / Tiro Rúnico</t>
        </is>
      </c>
      <c r="B2708" s="11" t="inlineStr">
        <is>
          <t>Sorcery / Feitiço</t>
        </is>
      </c>
      <c r="C2708" s="11" t="inlineStr">
        <is>
          <t>Uncommon / Incomum</t>
        </is>
      </c>
      <c r="D2708" s="11" t="inlineStr">
        <is>
          <t>Kicker {U} (You may pay an additional {U} as you cast this spell.) Destroy target tapped creature. If this spell was kicked, scry 2. / Reforçar {U} (Você pode pagar um custo adicional de {U} ao conjurar esta mágica.) Destrua a criatura virada alvo. Se esta mágica foi reforçada, use vidência 2.</t>
        </is>
      </c>
      <c r="E2708" s="11" t="inlineStr">
        <is>
          <t>{W}</t>
        </is>
      </c>
      <c r="F2708" s="11" t="inlineStr">
        <is>
          <t>Branco</t>
        </is>
      </c>
      <c r="G2708" s="8" t="n">
        <v>0.04</v>
      </c>
      <c r="H2708" s="11" t="inlineStr">
        <is>
          <t>Dominaria United (DMU)</t>
        </is>
      </c>
      <c r="I2708" s="11" t="inlineStr">
        <is>
          <t>Não</t>
        </is>
      </c>
      <c r="J2708" s="11" t="n">
        <v>2022</v>
      </c>
      <c r="L2708" s="11" t="n">
        <v>1</v>
      </c>
      <c r="M2708" s="8">
        <f>L2708*G2708</f>
        <v/>
      </c>
      <c r="P2708" s="9" t="n"/>
    </row>
    <row r="2709">
      <c r="A2709" s="11" t="inlineStr">
        <is>
          <t>Gnarlroot Trapper / Armadilheiro das Raízes Nodosas</t>
        </is>
      </c>
      <c r="B2709" s="11" t="inlineStr">
        <is>
          <t>Creature — Elf Druid / Criatura — Elfo Druida</t>
        </is>
      </c>
      <c r="C2709" s="11" t="inlineStr">
        <is>
          <t>Uncommon / Incomum</t>
        </is>
      </c>
      <c r="D2709" s="11" t="inlineStr">
        <is>
          <t>{T}, Pay 1 life: Add {G}. Spend this mana only to cast an Elf creature spell. {T}: Target attacking Elf you control gains deathtouch until end of turn. (Any amount of damage it deals to a creature is enough to destroy it.) / {T}, Pague 1 ponto de vida: Adicione {G} à sua reserva de mana. Gaste este mana apenas para conjurar uma mágica de criatura do tipo Elfo.{T}: A criatura alvo atacante do tipo Elfo que você controla ganha toque mortífero até o final do turno. (Qualquer quantidade de dano que ela cause a uma criatura é suficiente para destruí-la.)</t>
        </is>
      </c>
      <c r="E2709" s="11" t="inlineStr">
        <is>
          <t>{B}</t>
        </is>
      </c>
      <c r="F2709" s="11" t="inlineStr">
        <is>
          <t>Preto</t>
        </is>
      </c>
      <c r="G2709" s="8" t="n">
        <v>2.98</v>
      </c>
      <c r="H2709" s="11" t="inlineStr">
        <is>
          <t>Magic Origins (ORI)</t>
        </is>
      </c>
      <c r="I2709" s="11" t="inlineStr">
        <is>
          <t>Sim</t>
        </is>
      </c>
      <c r="J2709" s="11" t="n">
        <v>2015</v>
      </c>
      <c r="K2709" s="10" t="n">
        <v>46023</v>
      </c>
      <c r="L2709" s="11" t="n">
        <v>1</v>
      </c>
      <c r="M2709" s="8">
        <f>L2709*G2709</f>
        <v/>
      </c>
      <c r="N2709" s="11" t="inlineStr">
        <is>
          <t>Pasta</t>
        </is>
      </c>
      <c r="P2709" s="9" t="n"/>
    </row>
    <row r="2710">
      <c r="A2710" s="11" t="inlineStr">
        <is>
          <t>Shroudstomper</t>
        </is>
      </c>
      <c r="B2710" s="11" t="inlineStr">
        <is>
          <t>Creature — Elemental</t>
        </is>
      </c>
      <c r="C2710" s="11" t="inlineStr">
        <is>
          <t>Uncommon / Incomum</t>
        </is>
      </c>
      <c r="D2710" s="11" t="inlineStr">
        <is>
          <t>Deathtouch Whenever this creature enters or attacks, each opponent loses 2 life. You gain 2 life and draw a card.</t>
        </is>
      </c>
      <c r="E2710" s="11" t="inlineStr">
        <is>
          <t>{3}{W}{W}{B}{B}</t>
        </is>
      </c>
      <c r="F2710" s="11" t="inlineStr">
        <is>
          <t>Preto, Branco</t>
        </is>
      </c>
      <c r="G2710" s="8" t="n">
        <v>0.1</v>
      </c>
      <c r="H2710" s="11" t="inlineStr">
        <is>
          <t>Duskmourn: House of Horror (DSK)</t>
        </is>
      </c>
      <c r="I2710" s="11" t="inlineStr">
        <is>
          <t>Não</t>
        </is>
      </c>
      <c r="J2710" s="11" t="n">
        <v>2024</v>
      </c>
      <c r="K2710" s="10" t="n">
        <v>46147</v>
      </c>
      <c r="L2710" s="11" t="n">
        <v>1</v>
      </c>
      <c r="M2710" s="8">
        <f>L2710*G2710</f>
        <v/>
      </c>
      <c r="P2710" s="9" t="n"/>
    </row>
    <row r="2711">
      <c r="A2711" s="11" t="inlineStr">
        <is>
          <t>Night Market</t>
        </is>
      </c>
      <c r="B2711" s="11" t="inlineStr">
        <is>
          <t>Land</t>
        </is>
      </c>
      <c r="C2711" s="11" t="inlineStr">
        <is>
          <t>Common / Comum</t>
        </is>
      </c>
      <c r="D2711" s="11" t="inlineStr">
        <is>
          <t>This land enters tapped. As it enters, choose a color. {T}: Add one mana of the chosen color. Cycling {3} ({3}, Discard this card: Draw a card.)</t>
        </is>
      </c>
      <c r="F2711" s="11" t="inlineStr">
        <is>
          <t>Incolor</t>
        </is>
      </c>
      <c r="G2711" s="8" t="n">
        <v>0.15</v>
      </c>
      <c r="H2711" s="11" t="inlineStr">
        <is>
          <t>Aetherdrift (DFT)</t>
        </is>
      </c>
      <c r="I2711" s="11" t="inlineStr">
        <is>
          <t>Não</t>
        </is>
      </c>
      <c r="J2711" s="11" t="n">
        <v>2025</v>
      </c>
      <c r="L2711" s="11" t="n">
        <v>1</v>
      </c>
      <c r="M2711" s="8">
        <f>L2711*G2711</f>
        <v/>
      </c>
      <c r="P2711" s="9" t="n"/>
    </row>
    <row r="2712">
      <c r="A2712" s="11" t="inlineStr">
        <is>
          <t>Cloudspire Skycycle</t>
        </is>
      </c>
      <c r="B2712" s="11" t="inlineStr">
        <is>
          <t>Artifact — Vehicle</t>
        </is>
      </c>
      <c r="C2712" s="11" t="inlineStr">
        <is>
          <t>Uncommon / Incomum</t>
        </is>
      </c>
      <c r="D2712" s="11" t="inlineStr">
        <is>
          <t>Flying When this Vehicle enters, distribute two +1/+1 counters among one or two other target Vehicles and/or creatures you control. Crew 1</t>
        </is>
      </c>
      <c r="E2712" s="11" t="inlineStr">
        <is>
          <t>{2}{R}{W}</t>
        </is>
      </c>
      <c r="F2712" s="11" t="inlineStr">
        <is>
          <t>Vermelho, Branco</t>
        </is>
      </c>
      <c r="G2712" s="8" t="n">
        <v>0.12</v>
      </c>
      <c r="H2712" s="11" t="inlineStr">
        <is>
          <t>Aetherdrift (DFT)</t>
        </is>
      </c>
      <c r="I2712" s="11" t="inlineStr">
        <is>
          <t>Não</t>
        </is>
      </c>
      <c r="J2712" s="11" t="n">
        <v>2025</v>
      </c>
      <c r="K2712" s="10" t="n">
        <v>46083</v>
      </c>
      <c r="L2712" s="11" t="n">
        <v>1</v>
      </c>
      <c r="M2712" s="8">
        <f>L2712*G2712</f>
        <v/>
      </c>
      <c r="P2712" s="9" t="n"/>
    </row>
    <row r="2713">
      <c r="A2713" s="11" t="inlineStr">
        <is>
          <t>Broodheart Engine</t>
        </is>
      </c>
      <c r="B2713" s="11" t="inlineStr">
        <is>
          <t>Artifact</t>
        </is>
      </c>
      <c r="C2713" s="11" t="inlineStr">
        <is>
          <t>Uncommon / Incomum</t>
        </is>
      </c>
      <c r="D2713" s="11" t="inlineStr">
        <is>
          <t>At the beginning of your upkeep, surveil 1. {2}{B}{G}, {T}, Sacrifice this artifact: Return target creature or Vehicle card from your graveyard to the battlefield. Activate only as a sorcery.</t>
        </is>
      </c>
      <c r="E2713" s="11" t="inlineStr">
        <is>
          <t>{B}{G}</t>
        </is>
      </c>
      <c r="F2713" s="11" t="inlineStr">
        <is>
          <t>Preto, Verde</t>
        </is>
      </c>
      <c r="G2713" s="8" t="n">
        <v>0.25</v>
      </c>
      <c r="H2713" s="11" t="inlineStr">
        <is>
          <t>Aetherdrift (DFT)</t>
        </is>
      </c>
      <c r="I2713" s="11" t="inlineStr">
        <is>
          <t>Não</t>
        </is>
      </c>
      <c r="J2713" s="11" t="n">
        <v>2025</v>
      </c>
      <c r="L2713" s="11" t="n">
        <v>1</v>
      </c>
      <c r="M2713" s="8">
        <f>L2713*G2713</f>
        <v/>
      </c>
      <c r="P2713" s="9" t="n"/>
    </row>
    <row r="2714">
      <c r="A2714" s="11" t="inlineStr">
        <is>
          <t>Moonrise Cleric</t>
        </is>
      </c>
      <c r="B2714" s="11" t="inlineStr">
        <is>
          <t>Creature — Bat Cleric</t>
        </is>
      </c>
      <c r="C2714" s="11" t="inlineStr">
        <is>
          <t>Common / Comum</t>
        </is>
      </c>
      <c r="D2714" s="11" t="inlineStr">
        <is>
          <t>Flying Whenever this creature attacks, you gain 1 life.</t>
        </is>
      </c>
      <c r="E2714" s="11" t="inlineStr">
        <is>
          <t>{1}{W/B}{W/B}</t>
        </is>
      </c>
      <c r="F2714" s="11" t="inlineStr">
        <is>
          <t>Preto, Branco</t>
        </is>
      </c>
      <c r="G2714" s="8" t="n">
        <v>0.1</v>
      </c>
      <c r="H2714" s="11" t="inlineStr">
        <is>
          <t>Bloomburrow (BLB)</t>
        </is>
      </c>
      <c r="I2714" s="11" t="inlineStr">
        <is>
          <t>Não</t>
        </is>
      </c>
      <c r="J2714" s="11" t="n">
        <v>2024</v>
      </c>
      <c r="K2714" s="10" t="n">
        <v>46083</v>
      </c>
      <c r="L2714" s="11" t="n">
        <v>1</v>
      </c>
      <c r="M2714" s="8">
        <f>L2714*G2714</f>
        <v/>
      </c>
      <c r="P2714" s="9" t="n"/>
    </row>
    <row r="2715">
      <c r="A2715" s="11" t="inlineStr">
        <is>
          <t>Joyful Stormsculptor / Escultora de Tempestade Alegre</t>
        </is>
      </c>
      <c r="B2715" s="11" t="inlineStr">
        <is>
          <t>Creature — Human Shaman / Criatura — Humano Xamã</t>
        </is>
      </c>
      <c r="C2715" s="11" t="inlineStr">
        <is>
          <t>Uncommon / Incomum</t>
        </is>
      </c>
      <c r="D2715" s="11" t="inlineStr">
        <is>
          <t>When this creature enters, create two 1/1 blue and red Elemental creature tokens. Whenever you cast a spell that has convoke, this creature deals 1 damage to each opponent and each battle they protect. / Quando Escultora de Tempestade Alegre entrar no campo de batalha, crie duas fichas de criatura Elemental azul e vermelha 1/1. Toda vez que você conjura uma mágica que tem convocar, Escultora de Tempestade Alegre causa 1 ponto de dano a cada oponente e cada batalha que ele protege.</t>
        </is>
      </c>
      <c r="E2715" s="11" t="inlineStr">
        <is>
          <t>{3}{U}{R}</t>
        </is>
      </c>
      <c r="F2715" s="11" t="inlineStr">
        <is>
          <t>Vermelho, Azul</t>
        </is>
      </c>
      <c r="G2715" s="8" t="n">
        <v>0.04</v>
      </c>
      <c r="H2715" s="11" t="inlineStr">
        <is>
          <t>March of the Machine (MOM)</t>
        </is>
      </c>
      <c r="I2715" s="11" t="inlineStr">
        <is>
          <t>Não</t>
        </is>
      </c>
      <c r="J2715" s="11" t="n">
        <v>2023</v>
      </c>
      <c r="K2715" s="10" t="n">
        <v>46083</v>
      </c>
      <c r="L2715" s="11" t="n">
        <v>1</v>
      </c>
      <c r="M2715" s="8">
        <f>L2715*G2715</f>
        <v/>
      </c>
      <c r="P2715" s="9" t="n"/>
    </row>
    <row r="2716">
      <c r="A2716" s="11" t="inlineStr">
        <is>
          <t>Empyrean Eagle / Águia Empírea</t>
        </is>
      </c>
      <c r="B2716" s="11" t="inlineStr">
        <is>
          <t>Creature — Bird Spirit / Criatura — Ave Espírito</t>
        </is>
      </c>
      <c r="C2716" s="11" t="inlineStr">
        <is>
          <t>Uncommon / Incomum</t>
        </is>
      </c>
      <c r="D2716" s="11" t="inlineStr">
        <is>
          <t>Flying Other creatures you control with flying get +1/+1. / Voar As outras criaturas que você controla com voar recebem +1/+1.</t>
        </is>
      </c>
      <c r="E2716" s="11" t="inlineStr">
        <is>
          <t>{1}{W}{U}</t>
        </is>
      </c>
      <c r="F2716" s="11" t="inlineStr">
        <is>
          <t>Azul, Branco</t>
        </is>
      </c>
      <c r="G2716" s="8" t="n">
        <v>0.1</v>
      </c>
      <c r="H2716" s="11" t="inlineStr">
        <is>
          <t>Foundations (FDN)</t>
        </is>
      </c>
      <c r="I2716" s="11" t="inlineStr">
        <is>
          <t>Não</t>
        </is>
      </c>
      <c r="J2716" s="11" t="n">
        <v>2024</v>
      </c>
      <c r="K2716" s="10" t="n">
        <v>46083</v>
      </c>
      <c r="L2716" s="11" t="n">
        <v>2</v>
      </c>
      <c r="M2716" s="8">
        <f>L2716*G2716</f>
        <v/>
      </c>
      <c r="P2716" s="9" t="n"/>
    </row>
    <row r="2717">
      <c r="A2717" s="11" t="inlineStr">
        <is>
          <t>Jolene, Plundering Pugilist / Jolene, Pugilista Saqueadora</t>
        </is>
      </c>
      <c r="B2717" s="11" t="inlineStr">
        <is>
          <t>Legendary Creature — Human Mercenary / Criatura Lendária — Humano Mercenário</t>
        </is>
      </c>
      <c r="C2717" s="11" t="inlineStr">
        <is>
          <t>Uncommon / Incomum</t>
        </is>
      </c>
      <c r="D2717" s="11" t="inlineStr">
        <is>
          <t>Whenever you attack with one or more creatures with power 4 or greater, create a Treasure token. {1}{R}, Sacrifice a Treasure: Jolene deals 1 damage to any target. / Toda vez que você atacar com uma ou mais criaturas com poder igual ou superior a 4, crie uma ficha de Tesouro. {1}{R}, sacrifique um Tesouro: Jolene, Pugilista Saqueadora, causa 1 ponto de dano a qualquer alvo.</t>
        </is>
      </c>
      <c r="E2717" s="11" t="inlineStr">
        <is>
          <t>{1}{R}{G}</t>
        </is>
      </c>
      <c r="F2717" s="11" t="inlineStr">
        <is>
          <t>Verde, Vermelho</t>
        </is>
      </c>
      <c r="G2717" s="8" t="n">
        <v>0.09</v>
      </c>
      <c r="H2717" s="11" t="inlineStr">
        <is>
          <t>Outlaws of Thunder Junction (OTJ)</t>
        </is>
      </c>
      <c r="I2717" s="11" t="inlineStr">
        <is>
          <t>Não</t>
        </is>
      </c>
      <c r="J2717" s="11" t="n">
        <v>2024</v>
      </c>
      <c r="K2717" s="10" t="n">
        <v>46057</v>
      </c>
      <c r="L2717" s="11" t="n">
        <v>1</v>
      </c>
      <c r="M2717" s="8">
        <f>L2717*G2717</f>
        <v/>
      </c>
      <c r="P2717" s="9" t="n"/>
    </row>
    <row r="2718">
      <c r="A2718" s="11" t="inlineStr">
        <is>
          <t>Shrewd Storyteller</t>
        </is>
      </c>
      <c r="B2718" s="11" t="inlineStr">
        <is>
          <t>Creature — Human Survivor</t>
        </is>
      </c>
      <c r="C2718" s="11" t="inlineStr">
        <is>
          <t>Uncommon / Incomum</t>
        </is>
      </c>
      <c r="D2718" s="11" t="inlineStr">
        <is>
          <t>Survival — At the beginning of your second main phase, if this creature is tapped, put a +1/+1 counter on target creature.</t>
        </is>
      </c>
      <c r="E2718" s="11" t="inlineStr">
        <is>
          <t>{1}{G}{W}</t>
        </is>
      </c>
      <c r="F2718" s="11" t="inlineStr">
        <is>
          <t>Verde, Branco</t>
        </is>
      </c>
      <c r="G2718" s="8" t="n">
        <v>0.05</v>
      </c>
      <c r="H2718" s="11" t="inlineStr">
        <is>
          <t>Duskmourn: House of Horror (DSK)</t>
        </is>
      </c>
      <c r="I2718" s="11" t="inlineStr">
        <is>
          <t>Não</t>
        </is>
      </c>
      <c r="J2718" s="11" t="n">
        <v>2024</v>
      </c>
      <c r="K2718" s="10" t="n">
        <v>46084</v>
      </c>
      <c r="L2718" s="11" t="n">
        <v>1</v>
      </c>
      <c r="M2718" s="8">
        <f>L2718*G2718</f>
        <v/>
      </c>
      <c r="P2718" s="9" t="n"/>
    </row>
    <row r="2719">
      <c r="A2719" s="11" t="inlineStr">
        <is>
          <t>Scab-Clan Giant</t>
        </is>
      </c>
      <c r="B2719" s="11" t="inlineStr">
        <is>
          <t>Creature — Giant Warrior</t>
        </is>
      </c>
      <c r="C2719" s="11" t="inlineStr">
        <is>
          <t>Uncommon / Incomum</t>
        </is>
      </c>
      <c r="D2719" s="11" t="inlineStr">
        <is>
          <t>When this creature enters, it fights target creature an opponent controls chosen at random.</t>
        </is>
      </c>
      <c r="E2719" s="11" t="inlineStr">
        <is>
          <t>{4}{R}{G}</t>
        </is>
      </c>
      <c r="F2719" s="11" t="inlineStr">
        <is>
          <t>Verde, Vermelho</t>
        </is>
      </c>
      <c r="G2719" s="8" t="n">
        <v>0.1</v>
      </c>
      <c r="H2719" s="11" t="inlineStr">
        <is>
          <t>Double Masters 2022 (2X2)</t>
        </is>
      </c>
      <c r="I2719" s="11" t="inlineStr">
        <is>
          <t>Não</t>
        </is>
      </c>
      <c r="J2719" s="11" t="n">
        <v>2022</v>
      </c>
      <c r="K2719" s="10" t="n">
        <v>46146</v>
      </c>
      <c r="L2719" s="11" t="n">
        <v>1</v>
      </c>
      <c r="M2719" s="8">
        <f>L2719*G2719</f>
        <v/>
      </c>
      <c r="P2719" s="9" t="n"/>
    </row>
    <row r="2720">
      <c r="A2720" s="11" t="inlineStr">
        <is>
          <t>Master's Guide-Mural // Master's Manufactory / Mural-guia do Mestre // Manufatura do Mestre</t>
        </is>
      </c>
      <c r="B2720" s="11" t="inlineStr">
        <is>
          <t>Artifact // Artifact / Artefato</t>
        </is>
      </c>
      <c r="C2720" s="11" t="inlineStr">
        <is>
          <t>Uncommon / Incomum</t>
        </is>
      </c>
      <c r="D2720" s="11" t="inlineStr">
        <is>
          <t>Master's Guide-Mural: When this artifact enters, create a 4/4 white and blue Golem artifact creature token. Craft with artifact {4}{W}{W}{U} ({4}{W}{W}{U}, Exile this artifact, Exile another artifact you control or an artifact card from your graveyard: Return this card transformed under its owner's control. Craft only as a sorcery.) // Master's Manufactory: {T}: Create a 4/4 white and blue Golem artifact creature token. Activate only if this artifact or another artifact entered the battlefield under your control this turn. / Quando Mural-guia do Mestre entrar no campo de batalha, crie uma ficha de criatura artefato Golem branca e azul 4/4. Construir com artefato {4}{W}{W}{U} ({4}{W}{W}{U}, exile este artefato, exile outro artefato que você controla ou um card de artefato de seu cemitério: Devolva este card ao campo de batalha transformado sob o controle de seu dono. Construa somente como um feitiço.)</t>
        </is>
      </c>
      <c r="E2720" s="11" t="inlineStr">
        <is>
          <t>{3}{W}{U}</t>
        </is>
      </c>
      <c r="F2720" s="11" t="inlineStr">
        <is>
          <t>Azul, Branco</t>
        </is>
      </c>
      <c r="G2720" s="8" t="n">
        <v>0.1</v>
      </c>
      <c r="H2720" s="11" t="inlineStr">
        <is>
          <t>The Lost Caverns of Ixalan (LCI)</t>
        </is>
      </c>
      <c r="I2720" s="11" t="inlineStr">
        <is>
          <t>Não</t>
        </is>
      </c>
      <c r="J2720" s="11" t="n">
        <v>2023</v>
      </c>
      <c r="L2720" s="11" t="n">
        <v>1</v>
      </c>
      <c r="M2720" s="8">
        <f>L2720*G2720</f>
        <v/>
      </c>
      <c r="P2720" s="9" t="n"/>
    </row>
    <row r="2721">
      <c r="A2721" s="11" t="inlineStr">
        <is>
          <t>Marshal of Zhalfir / Marechal de Zhalfir</t>
        </is>
      </c>
      <c r="B2721" s="11" t="inlineStr">
        <is>
          <t>Creature — Human Knight / Criatura — Humano Cavaleiro</t>
        </is>
      </c>
      <c r="C2721" s="11" t="inlineStr">
        <is>
          <t>Uncommon / Incomum</t>
        </is>
      </c>
      <c r="D2721" s="11" t="inlineStr">
        <is>
          <t>Other Knights you control get +1/+1. {W}{U}, {T}: Tap another target creature. / Os outros Cavaleiros que você controla recebem +1/+1. {W}{U}, {T}: Vire outra criatura alvo.</t>
        </is>
      </c>
      <c r="E2721" s="11" t="inlineStr">
        <is>
          <t>{W}{U}</t>
        </is>
      </c>
      <c r="F2721" s="11" t="inlineStr">
        <is>
          <t>Azul, Branco</t>
        </is>
      </c>
      <c r="G2721" s="8" t="n">
        <v>0.15</v>
      </c>
      <c r="H2721" s="11" t="inlineStr">
        <is>
          <t>March of the Machine (MOM)</t>
        </is>
      </c>
      <c r="I2721" s="11" t="inlineStr">
        <is>
          <t>Não</t>
        </is>
      </c>
      <c r="J2721" s="11" t="n">
        <v>2023</v>
      </c>
      <c r="K2721" s="10" t="n">
        <v>46055</v>
      </c>
      <c r="L2721" s="11" t="n">
        <v>1</v>
      </c>
      <c r="M2721" s="8">
        <f>L2721*G2721</f>
        <v/>
      </c>
      <c r="P2721" s="9" t="n"/>
    </row>
    <row r="2722">
      <c r="A2722" s="11" t="inlineStr">
        <is>
          <t>Killian, Ink Duelist / Killian, Duelista do Nanquim</t>
        </is>
      </c>
      <c r="B2722" s="11" t="inlineStr">
        <is>
          <t>Legendary Creature — Human Warlock / Criatura Lendária — Humano Bruxo</t>
        </is>
      </c>
      <c r="C2722" s="11" t="inlineStr">
        <is>
          <t>Uncommon / Incomum</t>
        </is>
      </c>
      <c r="D2722" s="11" t="inlineStr">
        <is>
          <t>Lifelink Menace (This creature can't be blocked except by two or more creatures.) Spells you cast that target a creature cost {2} less to cast. / Vínculo com a vida Ameaçar (Esta criatura só pode ser bloqueada por duas ou mais criaturas.) As mágicas que você conjura com uma criatura como alvo custam {2} a menos para serem conjuradas.</t>
        </is>
      </c>
      <c r="E2722" s="11" t="inlineStr">
        <is>
          <t>{W}{B}</t>
        </is>
      </c>
      <c r="F2722" s="11" t="inlineStr">
        <is>
          <t>Preto, Branco</t>
        </is>
      </c>
      <c r="G2722" s="8" t="n">
        <v>0.2</v>
      </c>
      <c r="H2722" s="11" t="inlineStr">
        <is>
          <t>Strixhaven: School of Mages (STX)</t>
        </is>
      </c>
      <c r="I2722" s="11" t="inlineStr">
        <is>
          <t>Não</t>
        </is>
      </c>
      <c r="J2722" s="11" t="n">
        <v>2021</v>
      </c>
      <c r="K2722" s="10" t="n">
        <v>46055</v>
      </c>
      <c r="L2722" s="11" t="n">
        <v>1</v>
      </c>
      <c r="M2722" s="8">
        <f>L2722*G2722</f>
        <v/>
      </c>
      <c r="P2722" s="9" t="n"/>
    </row>
    <row r="2723">
      <c r="A2723" s="11" t="inlineStr">
        <is>
          <t>Arcanist's Owl / Coruja do Arcanista</t>
        </is>
      </c>
      <c r="B2723" s="11" t="inlineStr">
        <is>
          <t>Artifact Creature — Bird / Criatura Artefato — Ave</t>
        </is>
      </c>
      <c r="C2723" s="11" t="inlineStr">
        <is>
          <t>Uncommon / Incomum</t>
        </is>
      </c>
      <c r="D2723" s="11" t="inlineStr">
        <is>
          <t>Flying When this creature enters, look at the top four cards of your library. You may reveal an artifact or enchantment card from among them and put it into your hand. Put the rest on the bottom of your library in a random order. / Voar Quando Coruja do Arcanista entrar no campo de batalha, olhe os quatro cards do topo de seu grimório. Você pode revelar um card de artefato ou encantamento dentre eles e colocá-lo em sua mão. Coloque o restante no fundo de seu grimório em ordem aleatória.</t>
        </is>
      </c>
      <c r="E2723" s="11" t="inlineStr">
        <is>
          <t>{W/U}{W/U}{W/U}{W/U}</t>
        </is>
      </c>
      <c r="F2723" s="11" t="inlineStr">
        <is>
          <t>Azul, Branco</t>
        </is>
      </c>
      <c r="G2723" s="8" t="n">
        <v>0.1</v>
      </c>
      <c r="H2723" s="11" t="inlineStr">
        <is>
          <t>Throne of Eldraine (ELD)</t>
        </is>
      </c>
      <c r="I2723" s="11" t="inlineStr">
        <is>
          <t>Não</t>
        </is>
      </c>
      <c r="J2723" s="11" t="n">
        <v>2019</v>
      </c>
      <c r="K2723" s="10" t="n">
        <v>46084</v>
      </c>
      <c r="L2723" s="11" t="n">
        <v>1</v>
      </c>
      <c r="M2723" s="8">
        <f>L2723*G2723</f>
        <v/>
      </c>
      <c r="P2723" s="9" t="n"/>
    </row>
    <row r="2724">
      <c r="A2724" s="11" t="inlineStr">
        <is>
          <t>Congregation Gryff / Grifino da Congregação</t>
        </is>
      </c>
      <c r="B2724" s="11" t="inlineStr">
        <is>
          <t>Creature — Hippogriff Mount / Criatura — Hipogrifo Montaria</t>
        </is>
      </c>
      <c r="C2724" s="11" t="inlineStr">
        <is>
          <t>Uncommon / Incomum</t>
        </is>
      </c>
      <c r="D2724" s="11"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2724" s="11" t="inlineStr">
        <is>
          <t>{1}{G}{W}</t>
        </is>
      </c>
      <c r="F2724" s="11" t="inlineStr">
        <is>
          <t>Verde, Branco</t>
        </is>
      </c>
      <c r="G2724" s="8" t="n">
        <v>0.1</v>
      </c>
      <c r="H2724" s="11" t="inlineStr">
        <is>
          <t>Outlaws of Thunder Junction (OTJ)</t>
        </is>
      </c>
      <c r="I2724" s="11" t="inlineStr">
        <is>
          <t>Não</t>
        </is>
      </c>
      <c r="J2724" s="11" t="n">
        <v>2024</v>
      </c>
      <c r="K2724" s="10" t="n">
        <v>46113</v>
      </c>
      <c r="L2724" s="11" t="n">
        <v>1</v>
      </c>
      <c r="M2724" s="8">
        <f>L2724*G2724</f>
        <v/>
      </c>
      <c r="P2724" s="9" t="n"/>
    </row>
    <row r="2725">
      <c r="A2725" s="11" t="inlineStr">
        <is>
          <t>Congregation Gryff / Grifino da Congregação</t>
        </is>
      </c>
      <c r="B2725" s="11" t="inlineStr">
        <is>
          <t>Creature — Hippogriff Mount / Criatura — Hipogrifo Montaria</t>
        </is>
      </c>
      <c r="C2725" s="11" t="inlineStr">
        <is>
          <t>Uncommon / Incomum</t>
        </is>
      </c>
      <c r="D2725" s="11" t="inlineStr">
        <is>
          <t>Flying, lifelink Whenever this creature attacks while saddled, it gets +X/+X until end of turn, where X is the number of Mounts you control. Saddle 3 (Tap any number of other creatures you control with total power 3 or more: This Mount becomes saddled until end of turn. Saddle only as a sorcery.) / Voar, vínculo com a vida Toda vez que Grifino da Congregação ataca selado, ele recebe +X/+X até o final do turno, sendo X o número de Montarias que você controla. Selar 3 (Vire qualquer número de outras criaturas que você controla com total de poder igual ou superior a 3: Esta Montaria torna-se selada até o final do turno. Sele somente como um feitiço.)</t>
        </is>
      </c>
      <c r="E2725" s="11" t="inlineStr">
        <is>
          <t>{1}{G}{W}</t>
        </is>
      </c>
      <c r="F2725" s="11" t="inlineStr">
        <is>
          <t>Verde, Branco</t>
        </is>
      </c>
      <c r="G2725" s="8" t="n">
        <v>0.25</v>
      </c>
      <c r="H2725" s="11" t="inlineStr">
        <is>
          <t>Outlaws of Thunder Junction (OTJ)</t>
        </is>
      </c>
      <c r="I2725" s="11" t="inlineStr">
        <is>
          <t>Sim</t>
        </is>
      </c>
      <c r="J2725" s="11" t="n">
        <v>2024</v>
      </c>
      <c r="K2725" s="10" t="n">
        <v>46113</v>
      </c>
      <c r="L2725" s="11" t="n">
        <v>1</v>
      </c>
      <c r="M2725" s="8">
        <f>L2725*G2725</f>
        <v/>
      </c>
      <c r="P2725" s="9" t="n"/>
    </row>
    <row r="2726">
      <c r="A2726" s="11" t="inlineStr">
        <is>
          <t>Miriam, Herd Whisperer / Miriam, Encantadora de Rebanhos</t>
        </is>
      </c>
      <c r="B2726" s="11" t="inlineStr">
        <is>
          <t>Legendary Creature — Human Druid / Criatura Lendária — Humano Druida</t>
        </is>
      </c>
      <c r="C2726" s="11" t="inlineStr">
        <is>
          <t>Uncommon / Incomum</t>
        </is>
      </c>
      <c r="D2726" s="11" t="inlineStr">
        <is>
          <t>During your turn, Mounts and Vehicles you control have hexproof. Whenever a Mount or Vehicle you control attacks, put a +1/+1 counter on it. / Enquanto for o seu turno, as Montarias e os Veículos que você controla terão resistência a magia. Toda vez que uma Montaria ou um Veículo que você controla atacar, coloque um marcador +1/+1 nele.</t>
        </is>
      </c>
      <c r="E2726" s="11" t="inlineStr">
        <is>
          <t>{G}{W}</t>
        </is>
      </c>
      <c r="F2726" s="11" t="inlineStr">
        <is>
          <t>Verde, Branco</t>
        </is>
      </c>
      <c r="G2726" s="8" t="n">
        <v>0.08</v>
      </c>
      <c r="H2726" s="11" t="inlineStr">
        <is>
          <t>Outlaws of Thunder Junction (OTJ)</t>
        </is>
      </c>
      <c r="I2726" s="11" t="inlineStr">
        <is>
          <t>Não</t>
        </is>
      </c>
      <c r="J2726" s="11" t="n">
        <v>2024</v>
      </c>
      <c r="K2726" s="10" t="n">
        <v>46056</v>
      </c>
      <c r="L2726" s="11" t="n">
        <v>1</v>
      </c>
      <c r="M2726" s="8">
        <f>L2726*G2726</f>
        <v/>
      </c>
      <c r="P2726" s="9" t="n"/>
    </row>
    <row r="2727">
      <c r="A2727" s="11" t="inlineStr">
        <is>
          <t>Cunning Breezedancer / Dançarina da Brisa Astuta</t>
        </is>
      </c>
      <c r="B2727" s="11" t="inlineStr">
        <is>
          <t>Creature — Dragon / Criatura — Dragão</t>
        </is>
      </c>
      <c r="C2727" s="11" t="inlineStr">
        <is>
          <t>Uncommon / Incomum</t>
        </is>
      </c>
      <c r="D2727" s="11" t="inlineStr">
        <is>
          <t>Flying Whenever you cast a noncreature spell, this creature gets +2/+2 until end of turn. / Voar Toda vez que você conjura uma mágica que não seja de criatura, Dançarina da Brisa Astuta recebe +2/+2 até o final do turno.</t>
        </is>
      </c>
      <c r="E2727" s="11" t="inlineStr">
        <is>
          <t>{4}{W}{U}</t>
        </is>
      </c>
      <c r="F2727" s="11" t="inlineStr">
        <is>
          <t>Azul, Branco</t>
        </is>
      </c>
      <c r="G2727" s="8" t="n">
        <v>0.05</v>
      </c>
      <c r="H2727" s="11" t="inlineStr">
        <is>
          <t>Dragons of Tarkir (DTK)</t>
        </is>
      </c>
      <c r="I2727" s="11" t="inlineStr">
        <is>
          <t>Não</t>
        </is>
      </c>
      <c r="J2727" s="11" t="n">
        <v>2015</v>
      </c>
      <c r="K2727" s="10" t="n">
        <v>46116</v>
      </c>
      <c r="L2727" s="11" t="n">
        <v>1</v>
      </c>
      <c r="M2727" s="8">
        <f>L2727*G2727</f>
        <v/>
      </c>
      <c r="P2727" s="9" t="n"/>
    </row>
    <row r="2728">
      <c r="A2728" s="11" t="inlineStr">
        <is>
          <t>Midnight Mayhem</t>
        </is>
      </c>
      <c r="B2728" s="11" t="inlineStr">
        <is>
          <t>Sorcery</t>
        </is>
      </c>
      <c r="C2728" s="11" t="inlineStr">
        <is>
          <t>Uncommon / Incomum</t>
        </is>
      </c>
      <c r="D2728" s="11" t="inlineStr">
        <is>
          <t>Create three 1/1 red Gremlin creature tokens. Gremlins you control gain menace, lifelink, and haste until end of turn. (A creature with menace can't be blocked except by two or more creatures.)</t>
        </is>
      </c>
      <c r="E2728" s="11" t="inlineStr">
        <is>
          <t>{2}{R}{W}</t>
        </is>
      </c>
      <c r="F2728" s="11" t="inlineStr">
        <is>
          <t>Vermelho, Branco</t>
        </is>
      </c>
      <c r="G2728" s="8" t="n">
        <v>0.25</v>
      </c>
      <c r="H2728" s="11" t="inlineStr">
        <is>
          <t>Duskmourn: House of Horror (DSK)</t>
        </is>
      </c>
      <c r="I2728" s="11" t="inlineStr">
        <is>
          <t>Sim</t>
        </is>
      </c>
      <c r="J2728" s="11" t="n">
        <v>2024</v>
      </c>
      <c r="L2728" s="11" t="n">
        <v>1</v>
      </c>
      <c r="M2728" s="8">
        <f>L2728*G2728</f>
        <v/>
      </c>
      <c r="P2728" s="9" t="n"/>
    </row>
    <row r="2729">
      <c r="A2729" s="11" t="inlineStr">
        <is>
          <t>Wandering Mind / Mente Vagante</t>
        </is>
      </c>
      <c r="B2729" s="11" t="inlineStr">
        <is>
          <t>Creature — Horror / Criatura — Horror</t>
        </is>
      </c>
      <c r="C2729" s="11" t="inlineStr">
        <is>
          <t>Uncommon / Incomum</t>
        </is>
      </c>
      <c r="D2729" s="11" t="inlineStr">
        <is>
          <t>Flying When this creature enters, look at the top six cards of your library. You may reveal a noncreature, nonland card from among them and put it into your hand. Put the rest on the bottom of your library in a random order. / Voar Quando Mente Vagante entrar no campo de batalha, olhe os seis cards do topo de seu grimório. Você pode revelar um card não de criatura e não de terreno dentre eles e colocá-lo em sua mão. Coloque o restante no fundo de seu grimório em ordem aleatória.</t>
        </is>
      </c>
      <c r="E2729" s="11" t="inlineStr">
        <is>
          <t>{1}{U}{R}</t>
        </is>
      </c>
      <c r="F2729" s="11" t="inlineStr">
        <is>
          <t>Vermelho, Azul</t>
        </is>
      </c>
      <c r="G2729" s="8" t="n">
        <v>0.1</v>
      </c>
      <c r="H2729" s="11" t="inlineStr">
        <is>
          <t>Innistrad: Crimson Vow (VOW)</t>
        </is>
      </c>
      <c r="I2729" s="11" t="inlineStr">
        <is>
          <t>Não</t>
        </is>
      </c>
      <c r="J2729" s="11" t="n">
        <v>2021</v>
      </c>
      <c r="K2729" s="10" t="n">
        <v>46024</v>
      </c>
      <c r="L2729" s="11" t="n">
        <v>1</v>
      </c>
      <c r="M2729" s="8">
        <f>L2729*G2729</f>
        <v/>
      </c>
      <c r="P2729" s="9" t="n"/>
    </row>
    <row r="2730">
      <c r="A2730" s="11" t="inlineStr">
        <is>
          <t>Vilespawn Spider / Aranha da Prole Maligna</t>
        </is>
      </c>
      <c r="B2730" s="11" t="inlineStr">
        <is>
          <t>Creature — Spider / Criatura — Aranha</t>
        </is>
      </c>
      <c r="C2730" s="11" t="inlineStr">
        <is>
          <t>Uncommon / Incomum</t>
        </is>
      </c>
      <c r="D2730" s="11" t="inlineStr">
        <is>
          <t>Reach At the beginning of your upkeep, mill a card. (Put the top card of your library into your graveyard.) {2}{G}{U}, {T}, Sacrifice this creature: Create a 1/1 green Insect creature token for each creature card in your graveyard. Activate only as a sorcery. / Alcance No início de sua manutenção, triture um card. (Coloque o card do topo de seu grimório em seu cemitério.) {2}{G}{U}, {T}, sacrifique Aranha da Prole Maligna: Crie uma ficha de criatura Inseto verde 1/1 para cada card de criatura em seu cemitério. Ative somente como um feitiço.</t>
        </is>
      </c>
      <c r="E2730" s="11" t="inlineStr">
        <is>
          <t>{G}{U}</t>
        </is>
      </c>
      <c r="F2730" s="11" t="inlineStr">
        <is>
          <t>Verde, Azul</t>
        </is>
      </c>
      <c r="G2730" s="8" t="n">
        <v>0.09</v>
      </c>
      <c r="H2730" s="11" t="inlineStr">
        <is>
          <t>Innistrad: Crimson Vow (VOW)</t>
        </is>
      </c>
      <c r="I2730" s="11" t="inlineStr">
        <is>
          <t>Não</t>
        </is>
      </c>
      <c r="J2730" s="11" t="n">
        <v>2021</v>
      </c>
      <c r="K2730" s="10" t="n">
        <v>46083</v>
      </c>
      <c r="L2730" s="11" t="n">
        <v>1</v>
      </c>
      <c r="M2730" s="8">
        <f>L2730*G2730</f>
        <v/>
      </c>
      <c r="P2730" s="9" t="n"/>
    </row>
    <row r="2731">
      <c r="A2731" s="11" t="inlineStr">
        <is>
          <t>Gremlin Tamer</t>
        </is>
      </c>
      <c r="B2731" s="11" t="inlineStr">
        <is>
          <t>Creature — Human Scout</t>
        </is>
      </c>
      <c r="C2731" s="11" t="inlineStr">
        <is>
          <t>Uncommon / Incomum</t>
        </is>
      </c>
      <c r="D2731" s="11" t="inlineStr">
        <is>
          <t>Eerie — Whenever an enchantment you control enters and whenever you fully unlock a Room, create a 1/1 red Gremlin creature token.</t>
        </is>
      </c>
      <c r="E2731" s="11" t="inlineStr">
        <is>
          <t>{W}{U}</t>
        </is>
      </c>
      <c r="F2731" s="11" t="inlineStr">
        <is>
          <t>Azul, Branco</t>
        </is>
      </c>
      <c r="G2731" s="8" t="n">
        <v>0.1</v>
      </c>
      <c r="H2731" s="11" t="inlineStr">
        <is>
          <t>Duskmourn: House of Horror (DSK)</t>
        </is>
      </c>
      <c r="I2731" s="11" t="inlineStr">
        <is>
          <t>Não</t>
        </is>
      </c>
      <c r="J2731" s="11" t="n">
        <v>2024</v>
      </c>
      <c r="K2731" s="10" t="n">
        <v>46055</v>
      </c>
      <c r="L2731" s="11" t="n">
        <v>3</v>
      </c>
      <c r="M2731" s="8">
        <f>L2731*G2731</f>
        <v/>
      </c>
      <c r="P2731" s="9" t="n"/>
    </row>
    <row r="2732">
      <c r="A2732" s="11" t="inlineStr">
        <is>
          <t>League Guildmage / Maga da Guilda da Liga</t>
        </is>
      </c>
      <c r="B2732" s="11" t="inlineStr">
        <is>
          <t>Creature — Human Wizard / Criatura — Humano Mago</t>
        </is>
      </c>
      <c r="C2732" s="11" t="inlineStr">
        <is>
          <t>Uncommon / Incomum</t>
        </is>
      </c>
      <c r="D2732" s="11" t="inlineStr">
        <is>
          <t>{3}{U}, {T}: Draw a card. {X}{R}, {T}: Copy target instant or sorcery spell you control with mana value X. You may choose new targets for the copy. / {3}{U}, {T}: Compre um card. {X}{R}, {T}: Copie a mágica instantânea ou o feitiço alvo que você controla com custo de mana convertido X. Você pode escolher novos alvos para a cópia.</t>
        </is>
      </c>
      <c r="E2732" s="11" t="inlineStr">
        <is>
          <t>{U}{R}</t>
        </is>
      </c>
      <c r="F2732" s="11" t="inlineStr">
        <is>
          <t>Vermelho, Azul</t>
        </is>
      </c>
      <c r="G2732" s="8" t="n">
        <v>0.04</v>
      </c>
      <c r="H2732" s="11" t="inlineStr">
        <is>
          <t>Guilds of Ravnica (GRN)</t>
        </is>
      </c>
      <c r="I2732" s="11" t="inlineStr">
        <is>
          <t>Não</t>
        </is>
      </c>
      <c r="J2732" s="11" t="n">
        <v>2018</v>
      </c>
      <c r="K2732" s="10" t="n">
        <v>46055</v>
      </c>
      <c r="L2732" s="11" t="n">
        <v>1</v>
      </c>
      <c r="M2732" s="8">
        <f>L2732*G2732</f>
        <v/>
      </c>
      <c r="P2732" s="9" t="n"/>
    </row>
    <row r="2733">
      <c r="A2733" s="11" t="inlineStr">
        <is>
          <t>Wall of Denial / Barreira da Negação</t>
        </is>
      </c>
      <c r="B2733" s="11" t="inlineStr">
        <is>
          <t>Creature — Wall / Criatura — Barreira</t>
        </is>
      </c>
      <c r="C2733" s="11" t="inlineStr">
        <is>
          <t>Uncommon / Incomum</t>
        </is>
      </c>
      <c r="D2733" s="11" t="inlineStr">
        <is>
          <t>Defender, flying Shroud (This creature can't be the target of spells or abilities.) / Defensor, voar, manto</t>
        </is>
      </c>
      <c r="E2733" s="11" t="inlineStr">
        <is>
          <t>{1}{W}{U}</t>
        </is>
      </c>
      <c r="F2733" s="11" t="inlineStr">
        <is>
          <t>Azul, Branco</t>
        </is>
      </c>
      <c r="G2733" s="8" t="n">
        <v>0.59</v>
      </c>
      <c r="H2733" s="11" t="inlineStr">
        <is>
          <t>Modern Masters 2017 (MM3)</t>
        </is>
      </c>
      <c r="I2733" s="11" t="inlineStr">
        <is>
          <t>Não</t>
        </is>
      </c>
      <c r="J2733" s="11" t="n">
        <v>2017</v>
      </c>
      <c r="K2733" s="11" t="inlineStr">
        <is>
          <t>0/8</t>
        </is>
      </c>
      <c r="L2733" s="11" t="n">
        <v>2</v>
      </c>
      <c r="M2733" s="8">
        <f>L2733*G2733</f>
        <v/>
      </c>
      <c r="P2733" s="9" t="n"/>
    </row>
    <row r="2734">
      <c r="A2734" s="11" t="inlineStr">
        <is>
          <t>Cinderslash Ravager / Devastador da Brasa Fendente</t>
        </is>
      </c>
      <c r="B2734" s="11" t="inlineStr">
        <is>
          <t>Creature — Phyrexian Warrior / Criatura — Phyrexiano Guerreiro</t>
        </is>
      </c>
      <c r="C2734" s="11" t="inlineStr">
        <is>
          <t>Uncommon / Incomum</t>
        </is>
      </c>
      <c r="D2734" s="11" t="inlineStr">
        <is>
          <t>This spell costs {1} less to cast for each permanent you control with oil counters on it. Vigilance When this creature enters, it deals 1 damage to each creature your opponents control. / Esta mágica custa {1} a menos para ser conjurada para cada permanente que você controla com marcadores de óleo. Vigilância Quando Devastador da Brasa Fendente entra no campo de batalha, ele causa 1 ponto de dano a cada criatura que seus oponentes controlam.</t>
        </is>
      </c>
      <c r="E2734" s="11" t="inlineStr">
        <is>
          <t>{4}{R}{G}</t>
        </is>
      </c>
      <c r="F2734" s="11" t="inlineStr">
        <is>
          <t>Verde, Vermelho</t>
        </is>
      </c>
      <c r="G2734" s="8" t="n">
        <v>0.04</v>
      </c>
      <c r="H2734" s="11" t="inlineStr">
        <is>
          <t>Phyrexia: All Will Be One (ONE)</t>
        </is>
      </c>
      <c r="I2734" s="11" t="inlineStr">
        <is>
          <t>Não</t>
        </is>
      </c>
      <c r="J2734" s="11" t="n">
        <v>2023</v>
      </c>
      <c r="K2734" s="10" t="n">
        <v>46147</v>
      </c>
      <c r="L2734" s="11" t="n">
        <v>1</v>
      </c>
      <c r="M2734" s="8">
        <f>L2734*G2734</f>
        <v/>
      </c>
      <c r="P2734" s="9" t="n"/>
    </row>
    <row r="2735">
      <c r="A2735" s="11" t="inlineStr">
        <is>
          <t>Bladehold War-Whip / Chicote de Guerra de Bladehold</t>
        </is>
      </c>
      <c r="B2735" s="11" t="inlineStr">
        <is>
          <t>Artifact — Equipment / Artefato — Equipamento</t>
        </is>
      </c>
      <c r="C2735" s="11" t="inlineStr">
        <is>
          <t>Uncommon / Incomum</t>
        </is>
      </c>
      <c r="D2735" s="11" t="inlineStr">
        <is>
          <t>For Mirrodin! (When this Equipment enters, create a 2/2 red Rebel creature token, then attach this to it.) Equip abilities you activate of other Equipment cost {1} less to activate. Equipped creature has double strike. Equip {3}{R}{W} / Por Mirrodin (Quando este Equipamento entrar no campo de batalha, crie uma ficha de criatura Rebelde vermelha 2/2 e anexe-o a ela.) As habilidades equipar de outros Equipamentos ativadas por você custam {1} a menos para serem ativadas. A criatura equipada tem golpe duplo. Equipar {3}{R}{W}</t>
        </is>
      </c>
      <c r="E2735" s="11" t="inlineStr">
        <is>
          <t>{1}{R}{W}</t>
        </is>
      </c>
      <c r="F2735" s="11" t="inlineStr">
        <is>
          <t>Vermelho, Branco</t>
        </is>
      </c>
      <c r="G2735" s="8" t="n">
        <v>0.07000000000000001</v>
      </c>
      <c r="H2735" s="11" t="inlineStr">
        <is>
          <t>Phyrexia: All Will Be One (ONE)</t>
        </is>
      </c>
      <c r="I2735" s="11" t="inlineStr">
        <is>
          <t>Não</t>
        </is>
      </c>
      <c r="J2735" s="11" t="n">
        <v>2023</v>
      </c>
      <c r="L2735" s="11" t="n">
        <v>1</v>
      </c>
      <c r="M2735" s="8">
        <f>L2735*G2735</f>
        <v/>
      </c>
      <c r="P2735" s="9" t="n"/>
    </row>
    <row r="2736">
      <c r="A2736" s="11" t="inlineStr">
        <is>
          <t>The Three Seasons / As Três Estações</t>
        </is>
      </c>
      <c r="B2736" s="11" t="inlineStr">
        <is>
          <t>Enchantment — Saga / Encantamento — Saga</t>
        </is>
      </c>
      <c r="C2736" s="11" t="inlineStr">
        <is>
          <t>Uncommon / Incomum</t>
        </is>
      </c>
      <c r="D2736" s="11" t="inlineStr">
        <is>
          <t>(As this Saga enters and after your draw step, add a lore counter. Sacrifice after III.) I — Mill three cards. II — Return up to two target snow permanent cards from your graveyard to your hand. III — Choose three cards in each graveyard. Their owners shuffle those cards into their libraries. / (Conforme esta Saga entra e após sua etapa de compra, adicione um marcador de conhecimento. Sacrifique-a após III.) I — Triture três cards. II — Devolva até dois cards de permanente da neve alvo de seu cemitério para sua mão. III — Escolha três cards em cada cemitério. Seus donos embaralham aqueles cards em seus cemitérios.</t>
        </is>
      </c>
      <c r="E2736" s="11" t="inlineStr">
        <is>
          <t>{G}{U}</t>
        </is>
      </c>
      <c r="F2736" s="11" t="inlineStr">
        <is>
          <t>Verde, Azul</t>
        </is>
      </c>
      <c r="G2736" s="8" t="n">
        <v>0.1</v>
      </c>
      <c r="H2736" s="11" t="inlineStr">
        <is>
          <t>Kaldheim (KHM)</t>
        </is>
      </c>
      <c r="I2736" s="11" t="inlineStr">
        <is>
          <t>Não</t>
        </is>
      </c>
      <c r="J2736" s="11" t="n">
        <v>2021</v>
      </c>
      <c r="L2736" s="11" t="n">
        <v>1</v>
      </c>
      <c r="M2736" s="8">
        <f>L2736*G2736</f>
        <v/>
      </c>
      <c r="P2736" s="9" t="n"/>
    </row>
    <row r="2737">
      <c r="A2737" s="11" t="inlineStr">
        <is>
          <t>Darling of the Masses / Queridinha das Massas</t>
        </is>
      </c>
      <c r="B2737" s="11" t="inlineStr">
        <is>
          <t>Creature — Elf Citizen / Criatura — Elfo Cidadão</t>
        </is>
      </c>
      <c r="C2737" s="11" t="inlineStr">
        <is>
          <t>Uncommon / Incomum</t>
        </is>
      </c>
      <c r="D2737" s="11" t="inlineStr">
        <is>
          <t>Other Citizens you control get +1/+0. Whenever this creature attacks, create a 1/1 green and white Citizen creature token. / Os outros Cidadãos que você controla recebem +1/+0. Toda vez que Queridinha das Massas atacar, crie uma ficha de criatura Cidadão verde e branca 1/1.</t>
        </is>
      </c>
      <c r="E2737" s="11" t="inlineStr">
        <is>
          <t>{2}{G}{W}</t>
        </is>
      </c>
      <c r="F2737" s="11" t="inlineStr">
        <is>
          <t>Verde, Branco</t>
        </is>
      </c>
      <c r="G2737" s="8" t="n">
        <v>0.12</v>
      </c>
      <c r="H2737" s="11" t="inlineStr">
        <is>
          <t>Streets of New Capenna (SNC)</t>
        </is>
      </c>
      <c r="I2737" s="11" t="inlineStr">
        <is>
          <t>Não</t>
        </is>
      </c>
      <c r="J2737" s="11" t="n">
        <v>2022</v>
      </c>
      <c r="K2737" s="10" t="n">
        <v>46114</v>
      </c>
      <c r="L2737" s="11" t="n">
        <v>1</v>
      </c>
      <c r="M2737" s="8">
        <f>L2737*G2737</f>
        <v/>
      </c>
      <c r="P2737" s="9" t="n"/>
    </row>
    <row r="2738">
      <c r="A2738" s="11" t="inlineStr">
        <is>
          <t>Syr Armont, the Redeemer / Syr Armont, a Redentora</t>
        </is>
      </c>
      <c r="B2738" s="11" t="inlineStr">
        <is>
          <t>Legendary Creature — Human Knight / Criatura Lendária — Humano Cavaleiro</t>
        </is>
      </c>
      <c r="C2738" s="11" t="inlineStr">
        <is>
          <t>Uncommon / Incomum</t>
        </is>
      </c>
      <c r="D2738" s="11" t="inlineStr">
        <is>
          <t>When Syr Armont enters, create a Monster Role token attached to another target creature you control. (If you control another Role on it, put that one into the graveyard. Enchanted creature gets +1/+1 and has trample.) Enchanted creatures you control get +1/+1. / Quando Syr Armont, a Redentora, entrar no campo de batalha, crie uma ficha de Papel de Monstro anexada a outra criatura alvo que você controla. (Se você controlar outro Papel nela, coloque aquele no cemitério. A criatura encantada recebe +1/+1 e tem atropelar.) As criaturas encantadas que você controla recebem +1/+1.</t>
        </is>
      </c>
      <c r="E2738" s="11" t="inlineStr">
        <is>
          <t>{3}{G}{W}</t>
        </is>
      </c>
      <c r="F2738" s="11" t="inlineStr">
        <is>
          <t>Verde, Branco</t>
        </is>
      </c>
      <c r="G2738" s="8" t="n">
        <v>0.1</v>
      </c>
      <c r="H2738" s="11" t="inlineStr">
        <is>
          <t>Wilds of Eldraine (WOE)</t>
        </is>
      </c>
      <c r="I2738" s="11" t="inlineStr">
        <is>
          <t>Não</t>
        </is>
      </c>
      <c r="J2738" s="11" t="n">
        <v>2023</v>
      </c>
      <c r="K2738" s="10" t="n">
        <v>46116</v>
      </c>
      <c r="L2738" s="11" t="n">
        <v>1</v>
      </c>
      <c r="M2738" s="8">
        <f>L2738*G2738</f>
        <v/>
      </c>
      <c r="P2738" s="9" t="n"/>
    </row>
    <row r="2739">
      <c r="A2739" s="11" t="inlineStr">
        <is>
          <t>Faunsbane Troll / Trol Ruína dos Faunos</t>
        </is>
      </c>
      <c r="B2739" s="11" t="inlineStr">
        <is>
          <t>Creature — Troll / Criatura — Trol</t>
        </is>
      </c>
      <c r="C2739" s="11" t="inlineStr">
        <is>
          <t>Rare / Rara</t>
        </is>
      </c>
      <c r="D2739" s="11" t="inlineStr">
        <is>
          <t>When this creature enters, create a Monster Role token attached to it. (Enchanted creature gets +1/+1 and has trample.) {1}, Sacrifice an Aura attached to this creature: This creature fights target creature you don't control. If that creature would die this turn, exile it instead. Activate only as a sorcery. / Quando Trol Ruína dos Faunos entrar no campo de batalha, crie uma ficha de Papel de Monstro anexada a ele. (A criatura encantada recebe +1/+1 e tem atropelar.) {1} sacrifique uma Aura anexada a Trol Ruína dos Faunos: Trol Ruína dos Faunos luta contra a criatura alvo que você não controla. Se aquela criatura morreria neste turno, em vez disso, exile-a. Ative somente como um feitiço.</t>
        </is>
      </c>
      <c r="E2739" s="11" t="inlineStr">
        <is>
          <t>{2}{B}{G}</t>
        </is>
      </c>
      <c r="F2739" s="11" t="inlineStr">
        <is>
          <t>Preto, Verde</t>
        </is>
      </c>
      <c r="G2739" s="8" t="n">
        <v>0.11</v>
      </c>
      <c r="H2739" s="11" t="inlineStr">
        <is>
          <t>Wilds of Eldraine (WOE)</t>
        </is>
      </c>
      <c r="I2739" s="11" t="inlineStr">
        <is>
          <t>Não</t>
        </is>
      </c>
      <c r="J2739" s="11" t="n">
        <v>2023</v>
      </c>
      <c r="K2739" s="10" t="n">
        <v>46116</v>
      </c>
      <c r="L2739" s="11" t="n">
        <v>2</v>
      </c>
      <c r="M2739" s="8">
        <f>L2739*G2739</f>
        <v/>
      </c>
      <c r="P2739" s="9" t="n"/>
    </row>
    <row r="2740">
      <c r="A2740" s="11" t="inlineStr">
        <is>
          <t>Spara's Adjudicators / Árbitros de Spara</t>
        </is>
      </c>
      <c r="B2740" s="11" t="inlineStr">
        <is>
          <t>Creature — Cat Citizen / Criatura — Felino Cidadão</t>
        </is>
      </c>
      <c r="C2740" s="11" t="inlineStr">
        <is>
          <t>Common / Comum</t>
        </is>
      </c>
      <c r="D2740" s="11" t="inlineStr">
        <is>
          <t>When this creature enters, target creature an opponent controls can't attack or block until your next turn. {2}, Exile this card from your hand: Target land gains "{T}: Add {G}, {W}, or {U}" until this card is cast from exile. You may cast this card for as long as it remains exiled. / Quando Árbitros de Spara entra no campo de batalha, a criatura alvo que um oponente controla não pode atacar nem bloquear até seu próximo turno. {2}, exile Árbitros de Spara de sua mão: O terreno alvo ganha "{T}: Adicione {G}, {W} ou {U}" até que Árbitros de Spara seja conjurado do exílio. Você poderá conjurar Árbitros de Spara enquanto ele permanecer exilado.</t>
        </is>
      </c>
      <c r="E2740" s="11" t="inlineStr">
        <is>
          <t>{2}{G}{W}{U}</t>
        </is>
      </c>
      <c r="F2740" s="11" t="inlineStr">
        <is>
          <t>Verde, Azul, Branco</t>
        </is>
      </c>
      <c r="G2740" s="8" t="n">
        <v>0.04</v>
      </c>
      <c r="H2740" s="11" t="inlineStr">
        <is>
          <t>Streets of New Capenna (SNC)</t>
        </is>
      </c>
      <c r="I2740" s="11" t="inlineStr">
        <is>
          <t>Não</t>
        </is>
      </c>
      <c r="J2740" s="11" t="n">
        <v>2022</v>
      </c>
      <c r="K2740" s="10" t="n">
        <v>46116</v>
      </c>
      <c r="L2740" s="11" t="n">
        <v>1</v>
      </c>
      <c r="M2740" s="8">
        <f>L2740*G2740</f>
        <v/>
      </c>
      <c r="P2740" s="9" t="n"/>
    </row>
    <row r="2741">
      <c r="A2741" s="11" t="inlineStr">
        <is>
          <t>Tori D'Avenant, Fury Rider / Tori D'Avenant, Ginete da Fúria</t>
        </is>
      </c>
      <c r="B2741" s="11" t="inlineStr">
        <is>
          <t>Legendary Creature — Human Knight / Criatura Lendária — Humano Cavaleiro</t>
        </is>
      </c>
      <c r="C2741" s="11" t="inlineStr">
        <is>
          <t>Uncommon / Incomum</t>
        </is>
      </c>
      <c r="D2741" s="11" t="inlineStr">
        <is>
          <t>Vigilance, trample Whenever Tori D'Avenant attacks, all other attacking creatures you control get +1/+1 until end of turn. Other red attacking creatures you control gain trample until end of turn. Untap each other white attacking creature you control. / Vigilância, atropelar Toda vez que Tori D'Avenant, Ginete da Fúria, ataca, todas as outras criaturas atacantes que você controla recebem +1/+1 até o final do turno. As outras criaturas atacantes vermelhas que você controla ganham atropelar até o final do turno. Desvire cada outra criatura atacante branca que você controla.</t>
        </is>
      </c>
      <c r="E2741" s="11" t="inlineStr">
        <is>
          <t>{1}{R}{R}{W}</t>
        </is>
      </c>
      <c r="F2741" s="11" t="inlineStr">
        <is>
          <t>Vermelho, Branco</t>
        </is>
      </c>
      <c r="G2741" s="8" t="n">
        <v>0.15</v>
      </c>
      <c r="H2741" s="11" t="inlineStr">
        <is>
          <t>Dominaria United (DMU)</t>
        </is>
      </c>
      <c r="I2741" s="11" t="inlineStr">
        <is>
          <t>Não</t>
        </is>
      </c>
      <c r="J2741" s="11" t="n">
        <v>2022</v>
      </c>
      <c r="K2741" s="10" t="n">
        <v>46084</v>
      </c>
      <c r="L2741" s="11" t="n">
        <v>2</v>
      </c>
      <c r="M2741" s="8">
        <f>L2741*G2741</f>
        <v/>
      </c>
      <c r="P2741" s="9" t="n"/>
    </row>
    <row r="2742">
      <c r="A2742" s="11" t="inlineStr">
        <is>
          <t>Radha, Coalition Warlord / Radha, Senhora da Guerra da Coalizão</t>
        </is>
      </c>
      <c r="B2742" s="11" t="inlineStr">
        <is>
          <t>Legendary Creature — Elf Warrior / Criatura Lendária — Elfo Guerreiro</t>
        </is>
      </c>
      <c r="C2742" s="11" t="inlineStr">
        <is>
          <t>Uncommon / Incomum</t>
        </is>
      </c>
      <c r="D2742" s="11" t="inlineStr">
        <is>
          <t>Domain — Whenever Radha becomes tapped, another target creature you control gets +X/+X until end of turn, where X is the number of basic land types among lands you control. / Dominar — Toda vez que Radha, Senhora da Guerra da Coalizão, torna-se virada, outra criatura alvo que você controla recebe +X/+X até o final do turno, sendo X o número de tipos de terreno básico entre os terrenos que você controla.</t>
        </is>
      </c>
      <c r="E2742" s="11" t="inlineStr">
        <is>
          <t>{2}{R}{G}</t>
        </is>
      </c>
      <c r="F2742" s="11" t="inlineStr">
        <is>
          <t>Verde, Vermelho</t>
        </is>
      </c>
      <c r="G2742" s="8" t="n">
        <v>0.1</v>
      </c>
      <c r="H2742" s="11" t="inlineStr">
        <is>
          <t>Multiverse Legends (MUL)</t>
        </is>
      </c>
      <c r="I2742" s="11" t="inlineStr">
        <is>
          <t>Não</t>
        </is>
      </c>
      <c r="J2742" s="11" t="n">
        <v>2023</v>
      </c>
      <c r="K2742" s="10" t="n">
        <v>46084</v>
      </c>
      <c r="L2742" s="11" t="n">
        <v>1</v>
      </c>
      <c r="M2742" s="8">
        <f>L2742*G2742</f>
        <v/>
      </c>
      <c r="P2742" s="9" t="n"/>
    </row>
    <row r="2743">
      <c r="A2743" s="11" t="inlineStr">
        <is>
          <t>Firja, Judge of Valor / Firja, Juíza do Valor</t>
        </is>
      </c>
      <c r="B2743" s="11" t="inlineStr">
        <is>
          <t>Legendary Creature — Angel Cleric / Criatura Lendária — Anjo Clérigo</t>
        </is>
      </c>
      <c r="C2743" s="11" t="inlineStr">
        <is>
          <t>Uncommon / Incomum</t>
        </is>
      </c>
      <c r="D2743" s="11" t="inlineStr">
        <is>
          <t>Flying, lifelink Whenever you cast your second spell each turn, look at the top three cards of your library. Put one of them into your hand and the rest into your graveyard. / Voar, vínculo com a vida Toda vez que você conjurar sua segunda mágica a cada turno, olhe os três cards do topo de seu grimório. Coloque um deles em sua mão e o restante em seu cemitério.</t>
        </is>
      </c>
      <c r="E2743" s="11" t="inlineStr">
        <is>
          <t>{2}{W}{B}{B}</t>
        </is>
      </c>
      <c r="F2743" s="11" t="inlineStr">
        <is>
          <t>Preto, Branco</t>
        </is>
      </c>
      <c r="G2743" s="8" t="n">
        <v>0.15</v>
      </c>
      <c r="H2743" s="11" t="inlineStr">
        <is>
          <t>Multiverse Legends (MUL)</t>
        </is>
      </c>
      <c r="I2743" s="11" t="inlineStr">
        <is>
          <t>Não</t>
        </is>
      </c>
      <c r="J2743" s="11" t="n">
        <v>2023</v>
      </c>
      <c r="K2743" s="10" t="n">
        <v>46114</v>
      </c>
      <c r="L2743" s="11" t="n">
        <v>1</v>
      </c>
      <c r="M2743" s="8">
        <f>L2743*G2743</f>
        <v/>
      </c>
      <c r="P2743" s="9" t="n"/>
    </row>
    <row r="2744">
      <c r="A2744" s="11" t="inlineStr">
        <is>
          <t>Aryel, Knight of Windgrace / Aryel, Cavaleira de Windgrace</t>
        </is>
      </c>
      <c r="B2744" s="11" t="inlineStr">
        <is>
          <t>Legendary Creature — Human Knight / Criatura Lendária — Humano Cavaleiro</t>
        </is>
      </c>
      <c r="C2744" s="11" t="inlineStr">
        <is>
          <t>Uncommon / Incomum</t>
        </is>
      </c>
      <c r="D2744" s="11" t="inlineStr">
        <is>
          <t>Vigilance {2}{W}, {T}: Create a 2/2 white Knight creature token with vigilance. {B}, {T}, Tap X untapped Knights you control: Destroy target creature with power X or less. / Vigilância {2}{W}, {T}: Crie uma ficha de criatura branca 2/2 do tipo Cavaleiro com vigilância. {B}, {T}, vire X Cavaleiros desvirados que você controla: Destrua a criatura alvo com poder igual ou inferior a X.</t>
        </is>
      </c>
      <c r="E2744" s="11" t="inlineStr">
        <is>
          <t>{2}{W}{B}</t>
        </is>
      </c>
      <c r="F2744" s="11" t="inlineStr">
        <is>
          <t>Preto, Branco</t>
        </is>
      </c>
      <c r="G2744" s="8" t="n">
        <v>0.39</v>
      </c>
      <c r="H2744" s="11" t="inlineStr">
        <is>
          <t>Commander Masters (CMM)</t>
        </is>
      </c>
      <c r="I2744" s="11" t="inlineStr">
        <is>
          <t>Sim</t>
        </is>
      </c>
      <c r="J2744" s="11" t="n">
        <v>2023</v>
      </c>
      <c r="K2744" s="10" t="n">
        <v>46116</v>
      </c>
      <c r="L2744" s="11" t="n">
        <v>1</v>
      </c>
      <c r="M2744" s="8">
        <f>L2744*G2744</f>
        <v/>
      </c>
      <c r="P2744" s="9" t="n"/>
    </row>
    <row r="2745">
      <c r="A2745" s="11" t="inlineStr">
        <is>
          <t>Orzhov Pontiff / Pontífice Orzhov</t>
        </is>
      </c>
      <c r="B2745" s="11" t="inlineStr">
        <is>
          <t>Creature — Human Cleric / Criatura — Clérigo Humano</t>
        </is>
      </c>
      <c r="C2745" s="11" t="inlineStr">
        <is>
          <t>Uncommon / Incomum</t>
        </is>
      </c>
      <c r="D2745" s="11" t="inlineStr">
        <is>
          <t>Haunt (When this creature dies, exile it haunting target creature.) When this creature enters or the creature it haunts dies, choose one — • Creatures you control get +1/+1 until end of turn. • Creatures you don't control get -1/-1 until end of turn. / Assombrar (Quando este card for colocado no cemitério vindo do jogo, remova-o do jogo assombrando a criatura alvo.) Quando Pontífice Orzhov entra em jogo ou a criatura que ele assombra é colocada num cemitério, escolha um as criaturas que você controla recebem +1/+1 até o final do turno; ou as criaturas que você não controla recebem -1/-1 até o final do turno.</t>
        </is>
      </c>
      <c r="E2745" s="11" t="inlineStr">
        <is>
          <t>{1}{W}{B}</t>
        </is>
      </c>
      <c r="F2745" s="11" t="inlineStr">
        <is>
          <t>Preto, Branco</t>
        </is>
      </c>
      <c r="G2745" s="8" t="n">
        <v>0.23</v>
      </c>
      <c r="H2745" s="11" t="inlineStr">
        <is>
          <t>Double Masters 2022 (2X2)</t>
        </is>
      </c>
      <c r="I2745" s="11" t="inlineStr">
        <is>
          <t>Sim</t>
        </is>
      </c>
      <c r="J2745" s="11" t="n">
        <v>2022</v>
      </c>
      <c r="K2745" s="10" t="n">
        <v>46023</v>
      </c>
      <c r="L2745" s="11" t="n">
        <v>1</v>
      </c>
      <c r="M2745" s="8">
        <f>L2745*G2745</f>
        <v/>
      </c>
      <c r="P2745" s="9" t="n"/>
    </row>
    <row r="2746">
      <c r="A2746" s="11" t="inlineStr">
        <is>
          <t>Cactusfolk Sureshot / Tiro-certo Cactoide</t>
        </is>
      </c>
      <c r="B2746" s="11" t="inlineStr">
        <is>
          <t>Creature — Plant Mercenary / Criatura — Planta Mercenário</t>
        </is>
      </c>
      <c r="C2746" s="11" t="inlineStr">
        <is>
          <t>Uncommon / Incomum</t>
        </is>
      </c>
      <c r="D2746" s="11" t="inlineStr">
        <is>
          <t>Reach Ward {2} (Whenever this creature becomes the target of a spell or ability an opponent controls, counter it unless that player pays {2}.) At the beginning of combat on your turn, other creatures you control with power 4 or greater gain trample and haste until end of turn. / Alcance Salvaguarda {2} (Toda vez que esta criatura se tornar alvo de uma mágica ou habilidade que um oponente controla, anule-a, a menos que aquele jogador pague {2}.) No início do combate no seu turno, as outras criaturas que você controla com poder igual ou superior a 4 ganham atropelar e ímpeto até o final do turno.</t>
        </is>
      </c>
      <c r="E2746" s="11" t="inlineStr">
        <is>
          <t>{2}{R}{G}</t>
        </is>
      </c>
      <c r="F2746" s="11" t="inlineStr">
        <is>
          <t>Verde, Vermelho</t>
        </is>
      </c>
      <c r="G2746" s="8" t="n">
        <v>0.58</v>
      </c>
      <c r="H2746" s="11" t="inlineStr">
        <is>
          <t>Outlaws of Thunder Junction (OTJ)</t>
        </is>
      </c>
      <c r="I2746" s="11" t="inlineStr">
        <is>
          <t>Sim</t>
        </is>
      </c>
      <c r="J2746" s="11" t="n">
        <v>2024</v>
      </c>
      <c r="K2746" s="10" t="n">
        <v>46116</v>
      </c>
      <c r="L2746" s="11" t="n">
        <v>1</v>
      </c>
      <c r="M2746" s="8">
        <f>L2746*G2746</f>
        <v/>
      </c>
      <c r="P2746" s="9" t="n"/>
    </row>
    <row r="2747">
      <c r="A2747" s="11" t="inlineStr">
        <is>
          <t>Thundering Broodwagon</t>
        </is>
      </c>
      <c r="B2747" s="11" t="inlineStr">
        <is>
          <t>Artifact — Vehicle</t>
        </is>
      </c>
      <c r="C2747" s="11" t="inlineStr">
        <is>
          <t>Uncommon / Incomum</t>
        </is>
      </c>
      <c r="D2747" s="11" t="inlineStr">
        <is>
          <t>Menace, reach When this Vehicle enters, destroy target nonland permanent an opponent controls with mana value 4 or less. Crew 3 Cycling {2} ({2}, Discard this card: Draw a card.)</t>
        </is>
      </c>
      <c r="E2747" s="11" t="inlineStr">
        <is>
          <t>{2}{B}{B}{G}{G}</t>
        </is>
      </c>
      <c r="F2747" s="11" t="inlineStr">
        <is>
          <t>Preto, Verde</t>
        </is>
      </c>
      <c r="G2747" s="8" t="n">
        <v>0.25</v>
      </c>
      <c r="H2747" s="11" t="inlineStr">
        <is>
          <t>Aetherdrift (DFT)</t>
        </is>
      </c>
      <c r="I2747" s="11" t="inlineStr">
        <is>
          <t>Sim</t>
        </is>
      </c>
      <c r="J2747" s="11" t="n">
        <v>2025</v>
      </c>
      <c r="K2747" s="10" t="n">
        <v>46148</v>
      </c>
      <c r="L2747" s="11" t="n">
        <v>1</v>
      </c>
      <c r="M2747" s="8">
        <f>L2747*G2747</f>
        <v/>
      </c>
      <c r="P2747" s="9" t="n"/>
    </row>
    <row r="2748">
      <c r="A2748" s="11" t="inlineStr">
        <is>
          <t>Tempest Hart // Scan the Clouds / Cervo da Tempestade // Varredura das Nuvens</t>
        </is>
      </c>
      <c r="B2748" s="11" t="inlineStr">
        <is>
          <t>Creature — Elemental Elk // Instant — Adventure / Criatura — Elemental Alce</t>
        </is>
      </c>
      <c r="C2748" s="11" t="inlineStr">
        <is>
          <t>Uncommon / Incomum</t>
        </is>
      </c>
      <c r="D2748" s="11" t="inlineStr">
        <is>
          <t>Tempest Hart: Trample Whenever you cast a spell with mana value 5 or greater, put a +1/+1 counter on this creature. // Scan the Clouds: Draw two cards, then discard two cards. (Then exile this card. You may cast the creature later from exile.) / Atropelar Toda vez que você conjurar uma mágica com valor de mana igual ou superior a 5, coloque um marcador +1/+1 em Cervo da Tempestade.</t>
        </is>
      </c>
      <c r="E2748" s="11" t="inlineStr">
        <is>
          <t>{3}{G} // {1}{U}</t>
        </is>
      </c>
      <c r="F2748" s="11" t="inlineStr">
        <is>
          <t>Verde</t>
        </is>
      </c>
      <c r="G2748" s="8" t="n">
        <v>0.44</v>
      </c>
      <c r="H2748" s="11" t="inlineStr">
        <is>
          <t>Wilds of Eldraine (WOE)</t>
        </is>
      </c>
      <c r="I2748" s="11" t="inlineStr">
        <is>
          <t>Sim</t>
        </is>
      </c>
      <c r="J2748" s="11" t="n">
        <v>2023</v>
      </c>
      <c r="K2748" s="10" t="n">
        <v>46115</v>
      </c>
      <c r="L2748" s="11" t="n">
        <v>1</v>
      </c>
      <c r="M2748" s="8">
        <f>L2748*G2748</f>
        <v/>
      </c>
      <c r="P2748" s="9" t="n"/>
    </row>
    <row r="2749">
      <c r="A2749" s="11" t="inlineStr">
        <is>
          <t>Deem Inferior / Julgar Inferior</t>
        </is>
      </c>
      <c r="B2749" s="11" t="inlineStr">
        <is>
          <t>Sorcery / Feitiço</t>
        </is>
      </c>
      <c r="C2749" s="11" t="inlineStr">
        <is>
          <t>Common / Comum</t>
        </is>
      </c>
      <c r="D2749" s="11"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2749" s="11" t="inlineStr">
        <is>
          <t>{3}{U}</t>
        </is>
      </c>
      <c r="F2749" s="11" t="inlineStr">
        <is>
          <t>Azul</t>
        </is>
      </c>
      <c r="G2749" s="8" t="n">
        <v>0.25</v>
      </c>
      <c r="H2749" s="11" t="inlineStr">
        <is>
          <t>Modern Horizons 3 (MH3)</t>
        </is>
      </c>
      <c r="I2749" s="11" t="inlineStr">
        <is>
          <t>Sim</t>
        </is>
      </c>
      <c r="J2749" s="11" t="n">
        <v>2024</v>
      </c>
      <c r="L2749" s="11" t="n">
        <v>1</v>
      </c>
      <c r="M2749" s="8">
        <f>L2749*G2749</f>
        <v/>
      </c>
      <c r="P2749" s="9" t="n"/>
    </row>
    <row r="2750">
      <c r="A2750" s="11" t="inlineStr">
        <is>
          <t>Micromancer / Micromante</t>
        </is>
      </c>
      <c r="B2750" s="11" t="inlineStr">
        <is>
          <t>Creature — Human Wizard / Criatura — Humano Mago</t>
        </is>
      </c>
      <c r="C2750" s="11" t="inlineStr">
        <is>
          <t>Uncommon / Incomum</t>
        </is>
      </c>
      <c r="D2750" s="11" t="inlineStr">
        <is>
          <t>When this creature enters, you may search your library for an instant or sorcery card with mana value 1, reveal it, put it into your hand, then shuffle. / Quando Micromante entra no campo de batalha, você pode procurar em seu grimório um card de mágica instantânea ou de feitiço com valor de mana 1, revelá-lo, colocá-lo em sua mão e depois embaralhar.</t>
        </is>
      </c>
      <c r="E2750" s="11" t="inlineStr">
        <is>
          <t>{3}{U}</t>
        </is>
      </c>
      <c r="F2750" s="11" t="inlineStr">
        <is>
          <t>Azul</t>
        </is>
      </c>
      <c r="G2750" s="8" t="n">
        <v>0.4</v>
      </c>
      <c r="H2750" s="11" t="inlineStr">
        <is>
          <t>Foundations (FDN)</t>
        </is>
      </c>
      <c r="I2750" s="11" t="inlineStr">
        <is>
          <t>Sim</t>
        </is>
      </c>
      <c r="J2750" s="11" t="n">
        <v>2024</v>
      </c>
      <c r="K2750" s="10" t="n">
        <v>46084</v>
      </c>
      <c r="L2750" s="11" t="n">
        <v>1</v>
      </c>
      <c r="M2750" s="8">
        <f>L2750*G2750</f>
        <v/>
      </c>
      <c r="P2750" s="9" t="n"/>
    </row>
    <row r="2751">
      <c r="A2751" s="11" t="inlineStr">
        <is>
          <t>Zahid, Djinn of the Lamp / Zahid, Gênio da Lâmpada</t>
        </is>
      </c>
      <c r="B2751" s="11" t="inlineStr">
        <is>
          <t>Legendary Creature — Djinn / Criatura Lendária — Gênio</t>
        </is>
      </c>
      <c r="C2751" s="11" t="inlineStr">
        <is>
          <t>Rare / Rara</t>
        </is>
      </c>
      <c r="D2751" s="11" t="inlineStr">
        <is>
          <t>You may pay {3}{U} and tap an untapped artifact you control rather than pay this spell's mana cost. Flying / Você pode pagar {3}{U} e virar um artefato desvirado sob seu controle em vez de pagar o custo de mana desta mágica. Voar</t>
        </is>
      </c>
      <c r="E2751" s="11" t="inlineStr">
        <is>
          <t>{4}{U}{U}</t>
        </is>
      </c>
      <c r="F2751" s="11" t="inlineStr">
        <is>
          <t>Azul</t>
        </is>
      </c>
      <c r="G2751" s="8" t="n">
        <v>0.2</v>
      </c>
      <c r="H2751" s="11" t="inlineStr">
        <is>
          <t>Dominaria (DOM)</t>
        </is>
      </c>
      <c r="I2751" s="11" t="inlineStr">
        <is>
          <t>Sim</t>
        </is>
      </c>
      <c r="J2751" s="11" t="n">
        <v>2018</v>
      </c>
      <c r="K2751" s="10" t="n">
        <v>46178</v>
      </c>
      <c r="L2751" s="11" t="n">
        <v>3</v>
      </c>
      <c r="M2751" s="8">
        <f>L2751*G2751</f>
        <v/>
      </c>
      <c r="P2751" s="9" t="n"/>
    </row>
    <row r="2752">
      <c r="A2752" s="11" t="inlineStr">
        <is>
          <t>Thryx, the Sudden Storm / Trix, a Tempestade Repentina</t>
        </is>
      </c>
      <c r="B2752" s="11" t="inlineStr">
        <is>
          <t>Legendary Creature — Elemental Giant / Criatura Lendária — Elemental Gigante</t>
        </is>
      </c>
      <c r="C2752" s="11" t="inlineStr">
        <is>
          <t>Rare / Rara</t>
        </is>
      </c>
      <c r="D2752" s="11" t="inlineStr">
        <is>
          <t>Flash (You may cast this spell any time you could cast an instant.) Flying Spells you cast with mana value 5 or greater cost {1} less to cast and can't be countered. / Lampejo Voar As mágicas que você conjura com custo de mana convertido igual ou superior a 5 custam {1} a menos para serem conjuradas e não podem ser anuladas.</t>
        </is>
      </c>
      <c r="E2752" s="11" t="inlineStr">
        <is>
          <t>{3}{U}{U}</t>
        </is>
      </c>
      <c r="F2752" s="11" t="inlineStr">
        <is>
          <t>Azul</t>
        </is>
      </c>
      <c r="G2752" s="8" t="n">
        <v>1.13</v>
      </c>
      <c r="H2752" s="11" t="inlineStr">
        <is>
          <t>Theros Beyond Death (THB)</t>
        </is>
      </c>
      <c r="I2752" s="11" t="inlineStr">
        <is>
          <t>Não</t>
        </is>
      </c>
      <c r="J2752" s="11" t="n">
        <v>2020</v>
      </c>
      <c r="K2752" s="10" t="n">
        <v>46146</v>
      </c>
      <c r="L2752" s="11" t="n">
        <v>2</v>
      </c>
      <c r="M2752" s="8">
        <f>L2752*G2752</f>
        <v/>
      </c>
      <c r="P2752" s="9" t="n"/>
    </row>
    <row r="2753">
      <c r="A2753" s="11" t="inlineStr">
        <is>
          <t>Ghostly Keybearer</t>
        </is>
      </c>
      <c r="B2753" s="11" t="inlineStr">
        <is>
          <t>Creature — Spirit</t>
        </is>
      </c>
      <c r="C2753" s="11" t="inlineStr">
        <is>
          <t>Uncommon / Incomum</t>
        </is>
      </c>
      <c r="D2753" s="11" t="inlineStr">
        <is>
          <t>Flying Whenever this creature deals combat damage to a player, unlock a locked door of up to one target Room you control.</t>
        </is>
      </c>
      <c r="E2753" s="11" t="inlineStr">
        <is>
          <t>{3}{U}</t>
        </is>
      </c>
      <c r="F2753" s="11" t="inlineStr">
        <is>
          <t>Azul</t>
        </is>
      </c>
      <c r="G2753" s="8" t="n">
        <v>0.05</v>
      </c>
      <c r="H2753" s="11" t="inlineStr">
        <is>
          <t>Duskmourn: House of Horror (DSK)</t>
        </is>
      </c>
      <c r="I2753" s="11" t="inlineStr">
        <is>
          <t>Não</t>
        </is>
      </c>
      <c r="J2753" s="11" t="n">
        <v>2024</v>
      </c>
      <c r="K2753" s="10" t="n">
        <v>46084</v>
      </c>
      <c r="L2753" s="11" t="n">
        <v>1</v>
      </c>
      <c r="M2753" s="8">
        <f>L2753*G2753</f>
        <v/>
      </c>
      <c r="P2753" s="9" t="n"/>
    </row>
    <row r="2754">
      <c r="A2754" s="11" t="inlineStr">
        <is>
          <t>Fear of Impostors</t>
        </is>
      </c>
      <c r="B2754" s="11" t="inlineStr">
        <is>
          <t>Enchantment Creature — Nightmare</t>
        </is>
      </c>
      <c r="C2754" s="11" t="inlineStr">
        <is>
          <t>Uncommon / Incomum</t>
        </is>
      </c>
      <c r="D2754" s="11" t="inlineStr">
        <is>
          <t>Flash When this creature enters, counter target spell. Its controller manifests dread. (That player looks at the top two cards of their library, then puts one onto the battlefield face down as a 2/2 creature and the other into their graveyard. If it's a creature card, it can be turned face up any time for its mana cost.)</t>
        </is>
      </c>
      <c r="E2754" s="11" t="inlineStr">
        <is>
          <t>{1}{U}{U}</t>
        </is>
      </c>
      <c r="F2754" s="11" t="inlineStr">
        <is>
          <t>Azul</t>
        </is>
      </c>
      <c r="G2754" s="8" t="n">
        <v>0.19</v>
      </c>
      <c r="H2754" s="11" t="inlineStr">
        <is>
          <t>Duskmourn: House of Horror (DSK)</t>
        </is>
      </c>
      <c r="I2754" s="11" t="inlineStr">
        <is>
          <t>Não</t>
        </is>
      </c>
      <c r="J2754" s="11" t="n">
        <v>2024</v>
      </c>
      <c r="K2754" s="10" t="n">
        <v>46056</v>
      </c>
      <c r="L2754" s="11" t="n">
        <v>1</v>
      </c>
      <c r="M2754" s="8">
        <f>L2754*G2754</f>
        <v/>
      </c>
      <c r="P2754" s="9" t="n"/>
    </row>
    <row r="2755">
      <c r="A2755" s="11" t="inlineStr">
        <is>
          <t>Think Twice / Pensar Duas Vezes</t>
        </is>
      </c>
      <c r="B2755" s="11" t="inlineStr">
        <is>
          <t>Instant / Mágica Instantânea</t>
        </is>
      </c>
      <c r="C2755" s="11" t="inlineStr">
        <is>
          <t>Common / Comum</t>
        </is>
      </c>
      <c r="D2755" s="11" t="inlineStr">
        <is>
          <t>Draw a card. Flashback {2}{U} (You may cast this card from your graveyard for its flashback cost. Then exile it.) / Compre um card. Recapitular {2}{U} (Você pode conjurar este card de seu cemitério pagando seu custo de recapitular. Depois, exile-o.)</t>
        </is>
      </c>
      <c r="E2755" s="11" t="inlineStr">
        <is>
          <t>{1}{U}</t>
        </is>
      </c>
      <c r="F2755" s="11" t="inlineStr">
        <is>
          <t>Azul</t>
        </is>
      </c>
      <c r="G2755" s="8" t="n">
        <v>0.05</v>
      </c>
      <c r="H2755" s="11" t="inlineStr">
        <is>
          <t>Foundations (FDN)</t>
        </is>
      </c>
      <c r="I2755" s="11" t="inlineStr">
        <is>
          <t>Não</t>
        </is>
      </c>
      <c r="J2755" s="11" t="n">
        <v>2024</v>
      </c>
      <c r="L2755" s="11" t="n">
        <v>1</v>
      </c>
      <c r="M2755" s="8">
        <f>L2755*G2755</f>
        <v/>
      </c>
      <c r="P2755" s="9" t="n"/>
    </row>
    <row r="2756">
      <c r="A2756" s="11" t="inlineStr">
        <is>
          <t>Rune-Sealed Wall</t>
        </is>
      </c>
      <c r="B2756" s="11" t="inlineStr">
        <is>
          <t>Artifact Creature — Wall</t>
        </is>
      </c>
      <c r="C2756" s="11" t="inlineStr">
        <is>
          <t>Uncommon / Incomum</t>
        </is>
      </c>
      <c r="D2756" s="11" t="inlineStr">
        <is>
          <t>Defender {T}: Surveil 1. (Look at the top card of your library. You may put it into your graveyard.)</t>
        </is>
      </c>
      <c r="E2756" s="11" t="inlineStr">
        <is>
          <t>{2}{U}</t>
        </is>
      </c>
      <c r="F2756" s="11" t="inlineStr">
        <is>
          <t>Azul</t>
        </is>
      </c>
      <c r="G2756" s="8" t="n">
        <v>0.05</v>
      </c>
      <c r="H2756" s="11" t="inlineStr">
        <is>
          <t>Foundations (FDN)</t>
        </is>
      </c>
      <c r="I2756" s="11" t="inlineStr">
        <is>
          <t>Não</t>
        </is>
      </c>
      <c r="J2756" s="11" t="n">
        <v>2026</v>
      </c>
      <c r="K2756" s="11" t="inlineStr">
        <is>
          <t>0/6</t>
        </is>
      </c>
      <c r="L2756" s="11" t="n">
        <v>1</v>
      </c>
      <c r="M2756" s="8">
        <f>L2756*G2756</f>
        <v/>
      </c>
      <c r="P2756" s="9" t="n"/>
    </row>
    <row r="2757">
      <c r="A2757" s="11" t="inlineStr">
        <is>
          <t>Nimbleclaw Adept / Adepto Garraveloz</t>
        </is>
      </c>
      <c r="B2757" s="11" t="inlineStr">
        <is>
          <t>Creature — Dragon Wizard / Criatura — Dragão Mago</t>
        </is>
      </c>
      <c r="C2757" s="11" t="inlineStr">
        <is>
          <t>Common / Comum</t>
        </is>
      </c>
      <c r="D2757" s="11" t="inlineStr">
        <is>
          <t>Bigby's Hand — {T}: Untap two other target permanents. Activate only as a sorcery and only once each turn. / Mão de Bigby — {T}: Desvire duas outras permanentes alvo. Ative somente como um feitiço e uma única vez a cada turno.</t>
        </is>
      </c>
      <c r="E2757" s="11" t="inlineStr">
        <is>
          <t>{3}{U}</t>
        </is>
      </c>
      <c r="F2757" s="11" t="inlineStr">
        <is>
          <t>Azul</t>
        </is>
      </c>
      <c r="G2757" s="8" t="n">
        <v>0.06</v>
      </c>
      <c r="H2757" s="11" t="inlineStr">
        <is>
          <t>Commander Legends: Battle for Baldur's Gate (CLB)</t>
        </is>
      </c>
      <c r="I2757" s="11" t="inlineStr">
        <is>
          <t>Não</t>
        </is>
      </c>
      <c r="J2757" s="11" t="n">
        <v>2022</v>
      </c>
      <c r="K2757" s="10" t="n">
        <v>46083</v>
      </c>
      <c r="L2757" s="11" t="n">
        <v>1</v>
      </c>
      <c r="M2757" s="8">
        <f>L2757*G2757</f>
        <v/>
      </c>
      <c r="P2757" s="9" t="n"/>
    </row>
    <row r="2758">
      <c r="A2758" s="11" t="inlineStr">
        <is>
          <t>Tunnel Surveyor</t>
        </is>
      </c>
      <c r="B2758" s="11" t="inlineStr">
        <is>
          <t>Creature — Human Detective</t>
        </is>
      </c>
      <c r="C2758" s="11" t="inlineStr">
        <is>
          <t>Common / Comum</t>
        </is>
      </c>
      <c r="D2758" s="11" t="inlineStr">
        <is>
          <t>When this creature enters, create a 1/1 white Glimmer enchantment creature token.</t>
        </is>
      </c>
      <c r="E2758" s="11" t="inlineStr">
        <is>
          <t>{2}{U}</t>
        </is>
      </c>
      <c r="F2758" s="11" t="inlineStr">
        <is>
          <t>Azul</t>
        </is>
      </c>
      <c r="G2758" s="8" t="n">
        <v>0.05</v>
      </c>
      <c r="H2758" s="11" t="inlineStr">
        <is>
          <t>Duskmourn: House of Horror (DSK)</t>
        </is>
      </c>
      <c r="I2758" s="11" t="inlineStr">
        <is>
          <t>Não</t>
        </is>
      </c>
      <c r="J2758" s="11" t="n">
        <v>2024</v>
      </c>
      <c r="K2758" s="10" t="n">
        <v>46055</v>
      </c>
      <c r="L2758" s="11" t="n">
        <v>1</v>
      </c>
      <c r="M2758" s="8">
        <f>L2758*G2758</f>
        <v/>
      </c>
      <c r="P2758" s="9" t="n"/>
    </row>
    <row r="2759">
      <c r="A2759" s="11" t="inlineStr">
        <is>
          <t>Glimmerburst</t>
        </is>
      </c>
      <c r="B2759" s="11" t="inlineStr">
        <is>
          <t>Instant</t>
        </is>
      </c>
      <c r="C2759" s="11" t="inlineStr">
        <is>
          <t>Common / Comum</t>
        </is>
      </c>
      <c r="D2759" s="11" t="inlineStr">
        <is>
          <t>Draw two cards. Create a 1/1 white Glimmer enchantment creature token.</t>
        </is>
      </c>
      <c r="E2759" s="11" t="inlineStr">
        <is>
          <t>{3}{U}</t>
        </is>
      </c>
      <c r="F2759" s="11" t="inlineStr">
        <is>
          <t>Azul</t>
        </is>
      </c>
      <c r="G2759" s="8" t="n">
        <v>0.05</v>
      </c>
      <c r="H2759" s="11" t="inlineStr">
        <is>
          <t>Duskmourn: House of Horror (DSK)</t>
        </is>
      </c>
      <c r="I2759" s="11" t="inlineStr">
        <is>
          <t>Não</t>
        </is>
      </c>
      <c r="J2759" s="11" t="n">
        <v>2024</v>
      </c>
      <c r="L2759" s="11" t="n">
        <v>4</v>
      </c>
      <c r="M2759" s="8">
        <f>L2759*G2759</f>
        <v/>
      </c>
      <c r="P2759" s="9" t="n"/>
    </row>
    <row r="2760">
      <c r="A2760" s="11" t="inlineStr">
        <is>
          <t>Creeping Peeper</t>
        </is>
      </c>
      <c r="B2760" s="11" t="inlineStr">
        <is>
          <t>Creature — Eye</t>
        </is>
      </c>
      <c r="C2760" s="11" t="inlineStr">
        <is>
          <t>Common / Comum</t>
        </is>
      </c>
      <c r="D2760" s="11" t="inlineStr">
        <is>
          <t>{T}: Add {U}. Spend this mana only to cast an enchantment spell, unlock a door, or turn a permanent face up.</t>
        </is>
      </c>
      <c r="E2760" s="11" t="inlineStr">
        <is>
          <t>{1}{U}</t>
        </is>
      </c>
      <c r="F2760" s="11" t="inlineStr">
        <is>
          <t>Azul</t>
        </is>
      </c>
      <c r="G2760" s="8" t="n">
        <v>0.03</v>
      </c>
      <c r="H2760" s="11" t="inlineStr">
        <is>
          <t>Duskmourn: House of Horror (DSK)</t>
        </is>
      </c>
      <c r="I2760" s="11" t="inlineStr">
        <is>
          <t>Não</t>
        </is>
      </c>
      <c r="J2760" s="11" t="n">
        <v>2024</v>
      </c>
      <c r="K2760" s="10" t="n">
        <v>46024</v>
      </c>
      <c r="L2760" s="11" t="n">
        <v>1</v>
      </c>
      <c r="M2760" s="8">
        <f>L2760*G2760</f>
        <v/>
      </c>
      <c r="P2760" s="9" t="n"/>
    </row>
    <row r="2761">
      <c r="A2761" s="11" t="inlineStr">
        <is>
          <t>Scrounging Skyray</t>
        </is>
      </c>
      <c r="B2761" s="11" t="inlineStr">
        <is>
          <t>Creature — Fish Pirate</t>
        </is>
      </c>
      <c r="C2761" s="11" t="inlineStr">
        <is>
          <t>Uncommon / Incomum</t>
        </is>
      </c>
      <c r="D2761" s="11" t="inlineStr">
        <is>
          <t>Flying Whenever you discard one or more cards, put that many +1/+1 counters on this creature. Cycling {2} ({2}, Discard this card: Draw a card.)</t>
        </is>
      </c>
      <c r="E2761" s="11" t="inlineStr">
        <is>
          <t>{1}{U}</t>
        </is>
      </c>
      <c r="F2761" s="11" t="inlineStr">
        <is>
          <t>Azul</t>
        </is>
      </c>
      <c r="G2761" s="8" t="n">
        <v>0.25</v>
      </c>
      <c r="H2761" s="11" t="inlineStr">
        <is>
          <t>Aetherdrift (DFT)</t>
        </is>
      </c>
      <c r="I2761" s="11" t="inlineStr">
        <is>
          <t>Não</t>
        </is>
      </c>
      <c r="J2761" s="11" t="n">
        <v>2025</v>
      </c>
      <c r="K2761" s="10" t="n">
        <v>46054</v>
      </c>
      <c r="L2761" s="11" t="n">
        <v>1</v>
      </c>
      <c r="M2761" s="8">
        <f>L2761*G2761</f>
        <v/>
      </c>
      <c r="P2761" s="9" t="n"/>
    </row>
    <row r="2762">
      <c r="A2762" s="11" t="inlineStr">
        <is>
          <t>Gearseeker Serpent / Serpente Mecanívora</t>
        </is>
      </c>
      <c r="B2762" s="11" t="inlineStr">
        <is>
          <t>Creature — Serpent / Criatura — Serpente</t>
        </is>
      </c>
      <c r="C2762" s="11" t="inlineStr">
        <is>
          <t>Common / Comum</t>
        </is>
      </c>
      <c r="D2762" s="11" t="inlineStr">
        <is>
          <t>Affinity for artifacts (This spell costs {1} less to cast for each artifact you control.) {5}{U}: This creature can't be blocked this turn. / Serpente Mecanívora custa {1} a menos para ser conjurada para cada artefato que você controla. {5}{U}: Serpente Mecanívora não pode ser bloqueada neste turno.</t>
        </is>
      </c>
      <c r="E2762" s="11" t="inlineStr">
        <is>
          <t>{5}{U}{U}</t>
        </is>
      </c>
      <c r="F2762" s="11" t="inlineStr">
        <is>
          <t>Azul</t>
        </is>
      </c>
      <c r="G2762" s="8" t="n">
        <v>0.1</v>
      </c>
      <c r="H2762" s="11" t="inlineStr">
        <is>
          <t>Aetherdrift (DFT)</t>
        </is>
      </c>
      <c r="I2762" s="11" t="inlineStr">
        <is>
          <t>Não</t>
        </is>
      </c>
      <c r="J2762" s="11" t="n">
        <v>2025</v>
      </c>
      <c r="K2762" s="10" t="n">
        <v>46178</v>
      </c>
      <c r="L2762" s="11" t="n">
        <v>2</v>
      </c>
      <c r="M2762" s="8">
        <f>L2762*G2762</f>
        <v/>
      </c>
      <c r="P2762" s="9" t="n"/>
    </row>
    <row r="2763">
      <c r="A2763" s="11" t="inlineStr">
        <is>
          <t>Metamorphic Blast / Jato Metamórfico</t>
        </is>
      </c>
      <c r="B2763" s="11" t="inlineStr">
        <is>
          <t>Instant / Mágica Instantânea</t>
        </is>
      </c>
      <c r="C2763" s="11" t="inlineStr">
        <is>
          <t>Uncommon / Incomum</t>
        </is>
      </c>
      <c r="D2763" s="11" t="inlineStr">
        <is>
          <t>Spree (Choose one or more additional costs.) + {1} — Until end of turn, target creature becomes a white Rabbit with base power and toughness 0/1. + {3} — Target player draws two cards. / Série (Escolha um ou mais custos adicionais.) + {1} — Até o final do turno, a criatura alvo torna-se um Coelho branco com poder e resistência básicos 0/1. + {3} — O jogador alvo compra dois cards.</t>
        </is>
      </c>
      <c r="E2763" s="11" t="inlineStr">
        <is>
          <t>{U}</t>
        </is>
      </c>
      <c r="F2763" s="11" t="inlineStr">
        <is>
          <t>Azul</t>
        </is>
      </c>
      <c r="G2763" s="8" t="n">
        <v>0.09</v>
      </c>
      <c r="H2763" s="11" t="inlineStr">
        <is>
          <t>Outlaws of Thunder Junction (OTJ)</t>
        </is>
      </c>
      <c r="I2763" s="11" t="inlineStr">
        <is>
          <t>Não</t>
        </is>
      </c>
      <c r="J2763" s="11" t="n">
        <v>2024</v>
      </c>
      <c r="L2763" s="11" t="n">
        <v>1</v>
      </c>
      <c r="M2763" s="8">
        <f>L2763*G2763</f>
        <v/>
      </c>
      <c r="P2763" s="9" t="n"/>
    </row>
    <row r="2764">
      <c r="A2764" s="11" t="inlineStr">
        <is>
          <t>Floodpits Drowner</t>
        </is>
      </c>
      <c r="B2764" s="11" t="inlineStr">
        <is>
          <t>Creature — Merfolk</t>
        </is>
      </c>
      <c r="C2764" s="11" t="inlineStr">
        <is>
          <t>Uncommon / Incomum</t>
        </is>
      </c>
      <c r="D2764" s="11" t="inlineStr">
        <is>
          <t>Flash Vigilance When this creature enters, tap target creature an opponent controls and put a stun counter on it. {1}{U}, {T}: Shuffle this creature and target creature with a stun counter on it into their owners' libraries.</t>
        </is>
      </c>
      <c r="E2764" s="11" t="inlineStr">
        <is>
          <t>{1}{U}</t>
        </is>
      </c>
      <c r="F2764" s="11" t="inlineStr">
        <is>
          <t>Azul</t>
        </is>
      </c>
      <c r="G2764" s="8" t="n">
        <v>1.65</v>
      </c>
      <c r="H2764" s="11" t="inlineStr">
        <is>
          <t>Duskmourn: House of Horror (DSK)</t>
        </is>
      </c>
      <c r="I2764" s="11" t="inlineStr">
        <is>
          <t>Não</t>
        </is>
      </c>
      <c r="J2764" s="11" t="n">
        <v>2024</v>
      </c>
      <c r="K2764" s="10" t="n">
        <v>46024</v>
      </c>
      <c r="L2764" s="11" t="n">
        <v>2</v>
      </c>
      <c r="M2764" s="8">
        <f>L2764*G2764</f>
        <v/>
      </c>
      <c r="N2764" s="11" t="inlineStr">
        <is>
          <t>Pasta</t>
        </is>
      </c>
      <c r="P2764" s="9" t="n"/>
    </row>
    <row r="2765">
      <c r="A2765" s="11" t="inlineStr">
        <is>
          <t>Bottomless Pool // Locker Room</t>
        </is>
      </c>
      <c r="B2765" s="11" t="inlineStr">
        <is>
          <t>Enchantment — Room // Enchantment — Room</t>
        </is>
      </c>
      <c r="C2765" s="11" t="inlineStr">
        <is>
          <t>Uncommon / Incomum</t>
        </is>
      </c>
      <c r="D2765" s="11" t="inlineStr">
        <is>
          <t>Bottomless Pool: When you unlock this door, return up to one target creature to its owner's hand. (You may cast either half. That door unlocks on the battlefield. As a sorcery, you may pay the mana cost of a locked door to unlock it.) // Locker Room: Whenever one or more creatures you control deal combat damage to a player, draw a card. (You may cast either half. That door unlocks on the battlefield. As a sorcery, you may pay the mana cost of a locked door to unlock it.)</t>
        </is>
      </c>
      <c r="E2765" s="11" t="inlineStr">
        <is>
          <t>{U} // {4}{U}</t>
        </is>
      </c>
      <c r="F2765" s="11" t="inlineStr">
        <is>
          <t>Azul</t>
        </is>
      </c>
      <c r="G2765" s="8" t="n">
        <v>0.1</v>
      </c>
      <c r="H2765" s="11" t="inlineStr">
        <is>
          <t>Duskmourn: House of Horror (DSK)</t>
        </is>
      </c>
      <c r="I2765" s="11" t="inlineStr">
        <is>
          <t>Não</t>
        </is>
      </c>
      <c r="J2765" s="11" t="n">
        <v>2024</v>
      </c>
      <c r="L2765" s="11" t="n">
        <v>1</v>
      </c>
      <c r="M2765" s="8">
        <f>L2765*G2765</f>
        <v/>
      </c>
      <c r="P2765" s="9" t="n"/>
    </row>
    <row r="2766">
      <c r="A2766" s="11" t="inlineStr">
        <is>
          <t>Shackle Slinger / Lançador de Algemas</t>
        </is>
      </c>
      <c r="B2766" s="11" t="inlineStr">
        <is>
          <t>Creature — Human Soldier / Criatura — Humano Soldado</t>
        </is>
      </c>
      <c r="C2766" s="11" t="inlineStr">
        <is>
          <t>Uncommon / Incomum</t>
        </is>
      </c>
      <c r="D2766" s="11" t="inlineStr">
        <is>
          <t>Whenever you cast your second spell each turn, choose target creature an opponent controls. If it's tapped, put a stun counter on it. Otherwise, tap it. (If a permanent with a stun counter would become untapped, remove one from it instead.) / Toda vez que você conjurar sua segunda mágica a cada turno, escolha uma criatura alvo que um oponente controla. Se ela estiver virada, coloque um marcador de atordoamento nela. Caso contrário, vire-a. (Se uma permanente com um marcador de atordoamento se tornaria desvirada, em vez disso, remova um marcador de atordoamento dela.)</t>
        </is>
      </c>
      <c r="E2766" s="11" t="inlineStr">
        <is>
          <t>{2}{U}</t>
        </is>
      </c>
      <c r="F2766" s="11" t="inlineStr">
        <is>
          <t>Azul</t>
        </is>
      </c>
      <c r="G2766" s="8" t="n">
        <v>0.09</v>
      </c>
      <c r="H2766" s="11" t="inlineStr">
        <is>
          <t>Outlaws of Thunder Junction (OTJ)</t>
        </is>
      </c>
      <c r="I2766" s="11" t="inlineStr">
        <is>
          <t>Não</t>
        </is>
      </c>
      <c r="J2766" s="11" t="n">
        <v>2024</v>
      </c>
      <c r="K2766" s="10" t="n">
        <v>46056</v>
      </c>
      <c r="L2766" s="11" t="n">
        <v>2</v>
      </c>
      <c r="M2766" s="8">
        <f>L2766*G2766</f>
        <v/>
      </c>
      <c r="P2766" s="9" t="n"/>
    </row>
    <row r="2767">
      <c r="A2767" s="11" t="inlineStr">
        <is>
          <t>Thieving Magpie / Gralha Larápia</t>
        </is>
      </c>
      <c r="B2767" s="11" t="inlineStr">
        <is>
          <t>Creature — Bird / Criatura — Ave</t>
        </is>
      </c>
      <c r="C2767" s="11" t="inlineStr">
        <is>
          <t>Uncommon / Incomum</t>
        </is>
      </c>
      <c r="D2767" s="11" t="inlineStr">
        <is>
          <t>Flying (This creature can't be blocked except by creatures with flying or reach.) Whenever this creature deals damage to an opponent, draw a card. / Voar (Esta criatura só pode ser bloqueada por criaturas com a habilidade de voar ou alcance.) Toda vez que Gralha Larápia causa dano a um oponente, você compra um card.</t>
        </is>
      </c>
      <c r="E2767" s="11" t="inlineStr">
        <is>
          <t>{2}{U}{U}</t>
        </is>
      </c>
      <c r="F2767" s="11" t="inlineStr">
        <is>
          <t>Azul</t>
        </is>
      </c>
      <c r="G2767" s="8" t="n">
        <v>0.14</v>
      </c>
      <c r="H2767" s="11" t="inlineStr">
        <is>
          <t>Dominaria Remastered (DMR)</t>
        </is>
      </c>
      <c r="I2767" s="11" t="inlineStr">
        <is>
          <t>Não</t>
        </is>
      </c>
      <c r="J2767" s="11" t="n">
        <v>2023</v>
      </c>
      <c r="K2767" s="10" t="n">
        <v>46082</v>
      </c>
      <c r="L2767" s="11" t="n">
        <v>1</v>
      </c>
      <c r="M2767" s="8">
        <f>L2767*G2767</f>
        <v/>
      </c>
      <c r="P2767" s="9" t="n"/>
    </row>
    <row r="2768">
      <c r="A2768" s="11" t="inlineStr">
        <is>
          <t>Wicked Slumber / Sono Maldito</t>
        </is>
      </c>
      <c r="B2768" s="11" t="inlineStr">
        <is>
          <t>Instant / Mágica Instantânea</t>
        </is>
      </c>
      <c r="C2768" s="11" t="inlineStr">
        <is>
          <t>Uncommon / Incomum</t>
        </is>
      </c>
      <c r="D2768" s="11" t="inlineStr">
        <is>
          <t>Convoke (Your creatures can help cast this spell. Each creature you tap while casting this spell pays for {1} or one mana of that creature's color.) Tap up to two target creatures. Put a stun counter on either of them. Then put a stun counter on either of them. (If a permanent with a stun counter would become untapped, remove one from it instead.) / Convocar (Suas criaturas podem ajudar a conjurar esta mágica. Cada criatura que você vira ao conjurar esta mágica paga {1} ou um mana da cor daquela criatura.) Vire até duas criaturas alvo. Coloque um marcador de atordoamento em uma delas. Em seguida, coloque um marcador de atordoamento em uma delas. (Se uma permanente com um marcador de atordoamento se tornaria desvirada, em vez disso, remova um marcador de atordoamento dela.)</t>
        </is>
      </c>
      <c r="E2768" s="11" t="inlineStr">
        <is>
          <t>{3}{U}</t>
        </is>
      </c>
      <c r="F2768" s="11" t="inlineStr">
        <is>
          <t>Azul</t>
        </is>
      </c>
      <c r="G2768" s="8" t="n">
        <v>0.04</v>
      </c>
      <c r="H2768" s="11" t="inlineStr">
        <is>
          <t>March of the Machine (MOM)</t>
        </is>
      </c>
      <c r="I2768" s="11" t="inlineStr">
        <is>
          <t>Não</t>
        </is>
      </c>
      <c r="J2768" s="11" t="n">
        <v>2023</v>
      </c>
      <c r="L2768" s="11" t="n">
        <v>1</v>
      </c>
      <c r="M2768" s="8">
        <f>L2768*G2768</f>
        <v/>
      </c>
      <c r="P2768" s="9" t="n"/>
    </row>
    <row r="2769">
      <c r="A2769" s="11" t="inlineStr">
        <is>
          <t>Witching Well / Poço das Bruxarias</t>
        </is>
      </c>
      <c r="B2769" s="11" t="inlineStr">
        <is>
          <t>Artifact / Artefato</t>
        </is>
      </c>
      <c r="C2769" s="11" t="inlineStr">
        <is>
          <t>Common / Comum</t>
        </is>
      </c>
      <c r="D2769" s="11" t="inlineStr">
        <is>
          <t>When this artifact enters, scry 2. (Look at the top two cards of your library, then put any number of them on the bottom and the rest on top in any order.) {3}{U}, Sacrifice this artifact: Draw two cards. / Quando Poço das Bruxarias entrar no campo de batalha, use vidência 2. (Olhe os dois cards do topo do seu grimório. Depois, coloque qualquer número deles no fundo do seu grimório e o restante no topo em qualquer ordem.) {3}{U}, sacrifique Poço das Bruxarias: Compre dois cards.</t>
        </is>
      </c>
      <c r="E2769" s="11" t="inlineStr">
        <is>
          <t>{U}</t>
        </is>
      </c>
      <c r="F2769" s="11" t="inlineStr">
        <is>
          <t>Azul</t>
        </is>
      </c>
      <c r="G2769" s="8" t="n">
        <v>0.05</v>
      </c>
      <c r="H2769" s="11" t="inlineStr">
        <is>
          <t>Throne of Eldraine (ELD)</t>
        </is>
      </c>
      <c r="I2769" s="11" t="inlineStr">
        <is>
          <t>Não</t>
        </is>
      </c>
      <c r="J2769" s="11" t="n">
        <v>2019</v>
      </c>
      <c r="L2769" s="11" t="n">
        <v>1</v>
      </c>
      <c r="M2769" s="8">
        <f>L2769*G2769</f>
        <v/>
      </c>
      <c r="P2769" s="9" t="n"/>
    </row>
    <row r="2770">
      <c r="A2770" s="11" t="inlineStr">
        <is>
          <t>Furtive Courier / Mensageira Furtiva</t>
        </is>
      </c>
      <c r="B2770" s="11" t="inlineStr">
        <is>
          <t>Creature — Merfolk Advisor / Criatura — Tritão Conselheiro</t>
        </is>
      </c>
      <c r="C2770" s="11" t="inlineStr">
        <is>
          <t>Uncommon / Incomum</t>
        </is>
      </c>
      <c r="D2770" s="11" t="inlineStr">
        <is>
          <t>This creature can't be blocked as long as you've sacrificed an artifact this turn. Whenever this creature attacks, draw a card, then discard a card. / Mensageira Furtiva não pode ser bloqueada contanto que você tenha sacrificado um artefato neste turno. Toda vez que Mensageira Furtiva atacar, compre um card e depois descarte um card.</t>
        </is>
      </c>
      <c r="E2770" s="11" t="inlineStr">
        <is>
          <t>{2}{U}</t>
        </is>
      </c>
      <c r="F2770" s="11" t="inlineStr">
        <is>
          <t>Azul</t>
        </is>
      </c>
      <c r="G2770" s="8" t="n">
        <v>0.09</v>
      </c>
      <c r="H2770" s="11" t="inlineStr">
        <is>
          <t>Murders at Karlov Manor (MKM)</t>
        </is>
      </c>
      <c r="I2770" s="11" t="inlineStr">
        <is>
          <t>Não</t>
        </is>
      </c>
      <c r="J2770" s="11" t="n">
        <v>2024</v>
      </c>
      <c r="K2770" s="10" t="n">
        <v>46056</v>
      </c>
      <c r="L2770" s="11" t="n">
        <v>1</v>
      </c>
      <c r="M2770" s="8">
        <f>L2770*G2770</f>
        <v/>
      </c>
      <c r="P2770" s="9" t="n"/>
    </row>
    <row r="2771">
      <c r="A2771" s="11" t="inlineStr">
        <is>
          <t>Chemister's Insight / Visão da Quimiomante</t>
        </is>
      </c>
      <c r="B2771" s="11" t="inlineStr">
        <is>
          <t>Instant / Mágica Instantânea</t>
        </is>
      </c>
      <c r="C2771" s="11" t="inlineStr">
        <is>
          <t>Uncommon / Incomum</t>
        </is>
      </c>
      <c r="D2771" s="11" t="inlineStr">
        <is>
          <t>Draw two cards. Jump-start (You may cast this card from your graveyard by discarding a card in addition to paying its other costs. Then exile this card.) / Compre dois cards. Recarregar (Você pode conjurar este card de seu cemitério descartando um card além de pagar seus outros custos. Depois, exile este card.)</t>
        </is>
      </c>
      <c r="E2771" s="11" t="inlineStr">
        <is>
          <t>{3}{U}</t>
        </is>
      </c>
      <c r="F2771" s="11" t="inlineStr">
        <is>
          <t>Azul</t>
        </is>
      </c>
      <c r="G2771" s="8" t="n">
        <v>0.14</v>
      </c>
      <c r="H2771" s="11" t="inlineStr">
        <is>
          <t>Guilds of Ravnica (GRN)</t>
        </is>
      </c>
      <c r="I2771" s="11" t="inlineStr">
        <is>
          <t>Não</t>
        </is>
      </c>
      <c r="J2771" s="11" t="n">
        <v>2018</v>
      </c>
      <c r="L2771" s="11" t="n">
        <v>1</v>
      </c>
      <c r="M2771" s="8">
        <f>L2771*G2771</f>
        <v/>
      </c>
      <c r="P2771" s="9" t="n"/>
    </row>
    <row r="2772">
      <c r="A2772" s="11" t="inlineStr">
        <is>
          <t>Canyon Crab / Caranguejo do Cânion</t>
        </is>
      </c>
      <c r="B2772" s="11" t="inlineStr">
        <is>
          <t>Creature — Crab / Criatura — Caranguejo</t>
        </is>
      </c>
      <c r="C2772" s="11" t="inlineStr">
        <is>
          <t>Uncommon / Incomum</t>
        </is>
      </c>
      <c r="D2772" s="11" t="inlineStr">
        <is>
          <t>{1}{U}: This creature gets +2/-2 until end of turn. At the beginning of your end step, if you haven't cast a spell from your hand this turn, draw a card, then discard a card. / {1}{U}: Caranguejo do Cânion recebe +2/-2 até o final do turno. No início de sua etapa final, se você não tiver conjurado uma mágica de sua mão neste turno, compre um card e depois descarte um card.</t>
        </is>
      </c>
      <c r="E2772" s="11" t="inlineStr">
        <is>
          <t>{1}{U}</t>
        </is>
      </c>
      <c r="F2772" s="11" t="inlineStr">
        <is>
          <t>Azul</t>
        </is>
      </c>
      <c r="G2772" s="8" t="n">
        <v>0.09</v>
      </c>
      <c r="H2772" s="11" t="inlineStr">
        <is>
          <t>Outlaws of Thunder Junction (OTJ)</t>
        </is>
      </c>
      <c r="I2772" s="11" t="inlineStr">
        <is>
          <t>Não</t>
        </is>
      </c>
      <c r="J2772" s="11" t="n">
        <v>2024</v>
      </c>
      <c r="K2772" s="11" t="inlineStr">
        <is>
          <t>0/5</t>
        </is>
      </c>
      <c r="L2772" s="11" t="n">
        <v>1</v>
      </c>
      <c r="M2772" s="8">
        <f>L2772*G2772</f>
        <v/>
      </c>
      <c r="P2772" s="9" t="n"/>
    </row>
    <row r="2773">
      <c r="A2773" s="11" t="inlineStr">
        <is>
          <t>Cerulean Sphinx / Esfinge Celeste</t>
        </is>
      </c>
      <c r="B2773" s="11" t="inlineStr">
        <is>
          <t>Creature — Sphinx / Criatura - Esfinge</t>
        </is>
      </c>
      <c r="C2773" s="11" t="inlineStr">
        <is>
          <t>Uncommon / Incomum</t>
        </is>
      </c>
      <c r="D2773" s="11" t="inlineStr">
        <is>
          <t>Flying {U}: This creature's owner shuffles it into their library. / Voar {U}: O dono de Esfinge Celeste a embaralha em seu grimório.</t>
        </is>
      </c>
      <c r="E2773" s="11" t="inlineStr">
        <is>
          <t>{4}{U}{U}</t>
        </is>
      </c>
      <c r="F2773" s="11" t="inlineStr">
        <is>
          <t>Azul</t>
        </is>
      </c>
      <c r="G2773" s="8" t="n">
        <v>0.1</v>
      </c>
      <c r="H2773" s="11" t="inlineStr">
        <is>
          <t>Ravnica Remastered (RVR)</t>
        </is>
      </c>
      <c r="I2773" s="11" t="inlineStr">
        <is>
          <t>Não</t>
        </is>
      </c>
      <c r="J2773" s="11" t="n">
        <v>2024</v>
      </c>
      <c r="K2773" s="10" t="n">
        <v>46147</v>
      </c>
      <c r="L2773" s="11" t="n">
        <v>1</v>
      </c>
      <c r="M2773" s="8">
        <f>L2773*G2773</f>
        <v/>
      </c>
      <c r="P2773" s="9" t="n"/>
    </row>
    <row r="2774">
      <c r="A2774" s="11" t="inlineStr">
        <is>
          <t>Shore Keeper / Guardião da Costa</t>
        </is>
      </c>
      <c r="B2774" s="11" t="inlineStr">
        <is>
          <t>Creature — Trilobite / Criatura — Trilobita</t>
        </is>
      </c>
      <c r="C2774" s="11" t="inlineStr">
        <is>
          <t>Common / Comum</t>
        </is>
      </c>
      <c r="D2774" s="11" t="inlineStr">
        <is>
          <t>{7}{U}, {T}, Sacrifice this creature: Draw three cards. / {7}{U}, {T}, sacrifique Guardião da Costa: Compre três cards.</t>
        </is>
      </c>
      <c r="E2774" s="11" t="inlineStr">
        <is>
          <t>{U}</t>
        </is>
      </c>
      <c r="F2774" s="11" t="inlineStr">
        <is>
          <t>Azul</t>
        </is>
      </c>
      <c r="G2774" s="8" t="n">
        <v>0.03</v>
      </c>
      <c r="H2774" s="11" t="inlineStr">
        <is>
          <t>Ixalan (XLN)</t>
        </is>
      </c>
      <c r="I2774" s="11" t="inlineStr">
        <is>
          <t>Não</t>
        </is>
      </c>
      <c r="J2774" s="11" t="n">
        <v>2017</v>
      </c>
      <c r="K2774" s="11" t="inlineStr">
        <is>
          <t>0/3</t>
        </is>
      </c>
      <c r="L2774" s="11" t="n">
        <v>1</v>
      </c>
      <c r="M2774" s="8">
        <f>L2774*G2774</f>
        <v/>
      </c>
      <c r="P2774" s="9" t="n"/>
    </row>
    <row r="2775">
      <c r="A2775" s="11" t="inlineStr">
        <is>
          <t>Ertai's Scorn / Escárnio de Ertai</t>
        </is>
      </c>
      <c r="B2775" s="11" t="inlineStr">
        <is>
          <t>Instant / Mágica Instantânea</t>
        </is>
      </c>
      <c r="C2775" s="11" t="inlineStr">
        <is>
          <t>Uncommon / Incomum</t>
        </is>
      </c>
      <c r="D2775" s="11" t="inlineStr">
        <is>
          <t>This spell costs {U} less to cast if an opponent cast two or more spells this turn. Counter target spell. / Esta mágica custa {U} a menos para ser conjurada se um oponente conjurou duas ou mais mágicas neste turno. Anule a mágica alvo.</t>
        </is>
      </c>
      <c r="E2775" s="11" t="inlineStr">
        <is>
          <t>{1}{U}{U}</t>
        </is>
      </c>
      <c r="F2775" s="11" t="inlineStr">
        <is>
          <t>Azul</t>
        </is>
      </c>
      <c r="G2775" s="8" t="n">
        <v>0.1</v>
      </c>
      <c r="H2775" s="11" t="inlineStr">
        <is>
          <t>Dominaria United (DMU)</t>
        </is>
      </c>
      <c r="I2775" s="11" t="inlineStr">
        <is>
          <t>Não</t>
        </is>
      </c>
      <c r="J2775" s="11" t="n">
        <v>2022</v>
      </c>
      <c r="L2775" s="11" t="n">
        <v>1</v>
      </c>
      <c r="M2775" s="8">
        <f>L2775*G2775</f>
        <v/>
      </c>
      <c r="P2775" s="9" t="n"/>
    </row>
    <row r="2776">
      <c r="A2776" s="11" t="inlineStr">
        <is>
          <t>Inga Rune-Eyes / Inga Olhos Rúnicos</t>
        </is>
      </c>
      <c r="B2776" s="11" t="inlineStr">
        <is>
          <t>Legendary Creature — Human Wizard / Criatura Lendária — Humano Mago</t>
        </is>
      </c>
      <c r="C2776" s="11" t="inlineStr">
        <is>
          <t>Uncommon / Incomum</t>
        </is>
      </c>
      <c r="D2776" s="11" t="inlineStr">
        <is>
          <t>When Inga Rune-Eyes enters, scry 3. When Inga Rune-Eyes dies, draw three cards if three or more creatures died this turn. / Quando Inga Olhos Rúnicos entrar no campo de batalha, use vidência 3. Quando Inga Olhos Rúnicos morrer, compre três cards se três ou mais criaturas morreram neste turno.</t>
        </is>
      </c>
      <c r="E2776" s="11" t="inlineStr">
        <is>
          <t>{3}{U}</t>
        </is>
      </c>
      <c r="F2776" s="11" t="inlineStr">
        <is>
          <t>Azul</t>
        </is>
      </c>
      <c r="G2776" s="8" t="n">
        <v>0.1</v>
      </c>
      <c r="H2776" s="11" t="inlineStr">
        <is>
          <t>Commander Masters (CMM)</t>
        </is>
      </c>
      <c r="I2776" s="11" t="inlineStr">
        <is>
          <t>Não</t>
        </is>
      </c>
      <c r="J2776" s="11" t="n">
        <v>2023</v>
      </c>
      <c r="K2776" s="10" t="n">
        <v>46084</v>
      </c>
      <c r="L2776" s="11" t="n">
        <v>1</v>
      </c>
      <c r="M2776" s="8">
        <f>L2776*G2776</f>
        <v/>
      </c>
      <c r="P2776" s="9" t="n"/>
    </row>
    <row r="2777">
      <c r="A2777" s="11" t="inlineStr">
        <is>
          <t>Kaho, Minamo Historian / Kaho, Historiadora de Minamo</t>
        </is>
      </c>
      <c r="B2777" s="11" t="inlineStr">
        <is>
          <t>Legendary Creature — Human Wizard / Criatura Lendária - Mago Humano</t>
        </is>
      </c>
      <c r="C2777" s="11" t="inlineStr">
        <is>
          <t>Uncommon / Incomum</t>
        </is>
      </c>
      <c r="D2777" s="11" t="inlineStr">
        <is>
          <t>When Kaho enters, search your library for up to three instant cards, exile them, then shuffle. {X}, {T}: You may cast a spell with mana value X from among cards exiled with Kaho without paying its mana cost. / Quando Kaho, Historiadora de Minamo entra em jogo, procure em seu grimório por até três cards de mágicas instantâneas e remova-os de jogo. Depois, embaralhe seu grimório. {X}, {T}: Você pode jogar um card com custo de mana convertido X removido de jogo com Kaho sem pagar o seu custo de mana.</t>
        </is>
      </c>
      <c r="E2777" s="11" t="inlineStr">
        <is>
          <t>{2}{U}{U}</t>
        </is>
      </c>
      <c r="F2777" s="11" t="inlineStr">
        <is>
          <t>Azul</t>
        </is>
      </c>
      <c r="G2777" s="8" t="n">
        <v>0.25</v>
      </c>
      <c r="H2777" s="11" t="inlineStr">
        <is>
          <t>Commander Masters (CMM)</t>
        </is>
      </c>
      <c r="I2777" s="11" t="inlineStr">
        <is>
          <t>Não</t>
        </is>
      </c>
      <c r="J2777" s="11" t="n">
        <v>2023</v>
      </c>
      <c r="K2777" s="10" t="n">
        <v>46055</v>
      </c>
      <c r="L2777" s="11" t="n">
        <v>1</v>
      </c>
      <c r="M2777" s="8">
        <f>L2777*G2777</f>
        <v/>
      </c>
      <c r="P2777" s="9" t="n"/>
    </row>
    <row r="2778">
      <c r="A2778" s="11" t="inlineStr">
        <is>
          <t>Murder of Crows / Revoada de Corvos</t>
        </is>
      </c>
      <c r="B2778" s="11" t="inlineStr">
        <is>
          <t>Creature — Bird / Criatura — Ave</t>
        </is>
      </c>
      <c r="C2778" s="11" t="inlineStr">
        <is>
          <t>Uncommon / Incomum</t>
        </is>
      </c>
      <c r="D2778" s="11" t="inlineStr">
        <is>
          <t>Flying Whenever another creature dies, you may draw a card. If you do, discard a card. / Voar Toda vez que outra criatura morre, você pode comprar um card. Se fizer isso, descarte um card.</t>
        </is>
      </c>
      <c r="E2778" s="11" t="inlineStr">
        <is>
          <t>{3}{U}{U}</t>
        </is>
      </c>
      <c r="F2778" s="11" t="inlineStr">
        <is>
          <t>Azul</t>
        </is>
      </c>
      <c r="G2778" s="8" t="n">
        <v>0.1</v>
      </c>
      <c r="H2778" s="11" t="inlineStr">
        <is>
          <t>Commander Masters (CMM)</t>
        </is>
      </c>
      <c r="I2778" s="11" t="inlineStr">
        <is>
          <t>Não</t>
        </is>
      </c>
      <c r="J2778" s="11" t="n">
        <v>2023</v>
      </c>
      <c r="K2778" s="10" t="n">
        <v>46116</v>
      </c>
      <c r="L2778" s="11" t="n">
        <v>1</v>
      </c>
      <c r="M2778" s="8">
        <f>L2778*G2778</f>
        <v/>
      </c>
      <c r="P2778" s="9" t="n"/>
    </row>
    <row r="2779">
      <c r="A2779" s="11" t="inlineStr">
        <is>
          <t>Soaring Drake / Dragonete Planador</t>
        </is>
      </c>
      <c r="B2779" s="11" t="inlineStr">
        <is>
          <t>Creature — Drake / Criatura — Dragonete</t>
        </is>
      </c>
      <c r="C2779" s="11" t="inlineStr">
        <is>
          <t>Common / Comum</t>
        </is>
      </c>
      <c r="D2779" s="11" t="inlineStr">
        <is>
          <t>Flying / Voar</t>
        </is>
      </c>
      <c r="E2779" s="11" t="inlineStr">
        <is>
          <t>{2}{U}</t>
        </is>
      </c>
      <c r="F2779" s="11" t="inlineStr">
        <is>
          <t>Azul</t>
        </is>
      </c>
      <c r="G2779" s="8" t="n">
        <v>0.04</v>
      </c>
      <c r="H2779" s="11" t="inlineStr">
        <is>
          <t>Dominaria United (DMU)</t>
        </is>
      </c>
      <c r="I2779" s="11" t="inlineStr">
        <is>
          <t>Não</t>
        </is>
      </c>
      <c r="J2779" s="11" t="n">
        <v>2022</v>
      </c>
      <c r="K2779" s="10" t="n">
        <v>46083</v>
      </c>
      <c r="L2779" s="11" t="n">
        <v>1</v>
      </c>
      <c r="M2779" s="8">
        <f>L2779*G2779</f>
        <v/>
      </c>
      <c r="P2779" s="9" t="n"/>
    </row>
    <row r="2780">
      <c r="A2780" s="11" t="inlineStr">
        <is>
          <t>Voda Sea Scavenger / Necrófago do Mar de Voda</t>
        </is>
      </c>
      <c r="B2780" s="11" t="inlineStr">
        <is>
          <t>Creature — Merfolk Rogue / Criatura — Tritão Ladino</t>
        </is>
      </c>
      <c r="C2780" s="11" t="inlineStr">
        <is>
          <t>Common / Comum</t>
        </is>
      </c>
      <c r="D2780" s="11" t="inlineStr">
        <is>
          <t>Domain — When this creature enters, look at the top X cards of your library, where X is the number of basic land types among lands you control. You may put one of those cards on top of your library. Put the rest on the bottom of your library in a random order. / Dominar — Quando Necrófago do Mar de Voda entrar no campo de batalha, olhe os X cards do topo de seu grimório, sendo X o número de tipos de terreno básico entre os terrenos que você controla. Você pode colocar um daqueles cards no topo de seu grimório. Coloque o restante no fundo de seu grimório em ordem aleatória.</t>
        </is>
      </c>
      <c r="E2780" s="11" t="inlineStr">
        <is>
          <t>{2}{U}</t>
        </is>
      </c>
      <c r="F2780" s="11" t="inlineStr">
        <is>
          <t>Azul</t>
        </is>
      </c>
      <c r="G2780" s="8" t="n">
        <v>0.04</v>
      </c>
      <c r="H2780" s="11" t="inlineStr">
        <is>
          <t>Dominaria United (DMU)</t>
        </is>
      </c>
      <c r="I2780" s="11" t="inlineStr">
        <is>
          <t>Não</t>
        </is>
      </c>
      <c r="J2780" s="11" t="n">
        <v>2022</v>
      </c>
      <c r="K2780" s="10" t="n">
        <v>46056</v>
      </c>
      <c r="L2780" s="11" t="n">
        <v>1</v>
      </c>
      <c r="M2780" s="8">
        <f>L2780*G2780</f>
        <v/>
      </c>
      <c r="P2780" s="9" t="n"/>
    </row>
    <row r="2781">
      <c r="A2781" s="11" t="inlineStr">
        <is>
          <t>Debris Beetle</t>
        </is>
      </c>
      <c r="B2781" s="11" t="inlineStr">
        <is>
          <t>Artifact — Vehicle</t>
        </is>
      </c>
      <c r="C2781" s="11" t="inlineStr">
        <is>
          <t>Rare / Rara</t>
        </is>
      </c>
      <c r="D2781" s="11" t="inlineStr">
        <is>
          <t>Trample When this Vehicle enters, each opponent loses 3 life and you gain 3 life. Crew 2</t>
        </is>
      </c>
      <c r="E2781" s="11" t="inlineStr">
        <is>
          <t>{2}{B}{G}</t>
        </is>
      </c>
      <c r="F2781" s="11" t="inlineStr">
        <is>
          <t>Preto, Verde</t>
        </is>
      </c>
      <c r="G2781" s="8" t="n">
        <v>0.25</v>
      </c>
      <c r="H2781" s="11" t="inlineStr">
        <is>
          <t>Aetherdrift (DFT)</t>
        </is>
      </c>
      <c r="I2781" s="11" t="inlineStr">
        <is>
          <t>Não</t>
        </is>
      </c>
      <c r="J2781" s="11" t="n">
        <v>2025</v>
      </c>
      <c r="K2781" s="10" t="n">
        <v>46179</v>
      </c>
      <c r="L2781" s="11" t="n">
        <v>1</v>
      </c>
      <c r="M2781" s="8">
        <f>L2781*G2781</f>
        <v/>
      </c>
      <c r="P2781" s="9" t="n"/>
    </row>
    <row r="2782">
      <c r="A2782" s="11" t="inlineStr">
        <is>
          <t>Rulik Mons, Warren Chief / Rulik Mons, Chefona do Viveiro</t>
        </is>
      </c>
      <c r="B2782" s="11" t="inlineStr">
        <is>
          <t>Legendary Creature — Goblin / Criatura Lendária — Goblin</t>
        </is>
      </c>
      <c r="C2782" s="11" t="inlineStr">
        <is>
          <t>Uncommon / Incomum</t>
        </is>
      </c>
      <c r="D2782" s="11" t="inlineStr">
        <is>
          <t>Menace (This creature can't be blocked except by two or more creatures.) Whenever Rulik Mons attacks, look at the top card of your library. If it's a land card, you may put it onto the battlefield tapped. If you didn't put a card onto the battlefield this way, create a 1/1 red Goblin creature token. / Ameaçar Toda vez que Rulik Mons, Chefona do Viveiro, atacar, olhe o card do topo de seu grimório. Se for um card de terreno, você poderá colocá-lo no campo de batalha virado. Se você não tiver colocado um card no campo de batalha dessa forma, crie uma ficha de criatura Goblin vermelha 1/1.</t>
        </is>
      </c>
      <c r="E2782" s="11" t="inlineStr">
        <is>
          <t>{1}{R}{G}{G}</t>
        </is>
      </c>
      <c r="F2782" s="11" t="inlineStr">
        <is>
          <t>Verde, Vermelho</t>
        </is>
      </c>
      <c r="G2782" s="8" t="n">
        <v>0.14</v>
      </c>
      <c r="H2782" s="11" t="inlineStr">
        <is>
          <t>Dominaria United (DMU)</t>
        </is>
      </c>
      <c r="I2782" s="11" t="inlineStr">
        <is>
          <t>Não</t>
        </is>
      </c>
      <c r="J2782" s="11" t="n">
        <v>2022</v>
      </c>
      <c r="K2782" s="10" t="n">
        <v>46084</v>
      </c>
      <c r="L2782" s="11" t="n">
        <v>1</v>
      </c>
      <c r="M2782" s="8">
        <f>L2782*G2782</f>
        <v/>
      </c>
      <c r="P2782" s="9" t="n"/>
    </row>
    <row r="2783">
      <c r="A2783" s="11" t="inlineStr">
        <is>
          <t>Etched Champion / Campeão Entalhado</t>
        </is>
      </c>
      <c r="B2783" s="11" t="inlineStr">
        <is>
          <t>Artifact Creature — Soldier / Criatura Artefato — Soldado</t>
        </is>
      </c>
      <c r="C2783" s="11" t="inlineStr">
        <is>
          <t>Rare / Rara</t>
        </is>
      </c>
      <c r="D2783" s="11" t="inlineStr">
        <is>
          <t>Metalcraft — This creature has protection from each color as long as you control three or more artifacts. / Maestria com Metais — Campeão Entalhado terá proteção contra todas as cores enquanto você controlar três ou mais artefatos.</t>
        </is>
      </c>
      <c r="E2783" s="11" t="inlineStr">
        <is>
          <t>{3}</t>
        </is>
      </c>
      <c r="F2783" s="11" t="inlineStr">
        <is>
          <t>Incolor</t>
        </is>
      </c>
      <c r="G2783" s="8" t="n">
        <v>1.7</v>
      </c>
      <c r="H2783" s="11" t="inlineStr">
        <is>
          <t>Modern Masters 2015 (MM2)</t>
        </is>
      </c>
      <c r="I2783" s="11" t="inlineStr">
        <is>
          <t>Não</t>
        </is>
      </c>
      <c r="J2783" s="11" t="n">
        <v>2015</v>
      </c>
      <c r="K2783" s="10" t="n">
        <v>46055</v>
      </c>
      <c r="L2783" s="11" t="n">
        <v>1</v>
      </c>
      <c r="M2783" s="8">
        <f>L2783*G2783</f>
        <v/>
      </c>
      <c r="N2783" s="11" t="inlineStr">
        <is>
          <t>Pasta</t>
        </is>
      </c>
      <c r="P2783" s="9" t="n"/>
    </row>
    <row r="2784">
      <c r="A2784" s="11" t="inlineStr">
        <is>
          <t>Shield-Wall Sentinel / Sentinela da Barreira de Escudos</t>
        </is>
      </c>
      <c r="B2784" s="11" t="inlineStr">
        <is>
          <t>Artifact Creature — Golem / Criatura Artefato — Golem</t>
        </is>
      </c>
      <c r="C2784" s="11" t="inlineStr">
        <is>
          <t>Common / Comum</t>
        </is>
      </c>
      <c r="D2784" s="11" t="inlineStr">
        <is>
          <t>Defender When this creature enters, you may search your library for a creature card with defender, reveal it, put it into your hand, then shuffle. / Defensor Quando Sentinela da Barreira de Escudos entra no campo de batalha, você pode procurar em seu grimório um card de criatura com defensor, revelá-lo, colocá-lo em sua mão e depois embaralhar.</t>
        </is>
      </c>
      <c r="E2784" s="11" t="inlineStr">
        <is>
          <t>{4}</t>
        </is>
      </c>
      <c r="F2784" s="11" t="inlineStr">
        <is>
          <t>Incolor</t>
        </is>
      </c>
      <c r="G2784" s="8" t="n">
        <v>1.76</v>
      </c>
      <c r="H2784" s="11" t="inlineStr">
        <is>
          <t>Dominaria United (DMU)</t>
        </is>
      </c>
      <c r="I2784" s="11" t="inlineStr">
        <is>
          <t>Sim</t>
        </is>
      </c>
      <c r="J2784" s="11" t="n">
        <v>2022</v>
      </c>
      <c r="K2784" s="10" t="n">
        <v>46082</v>
      </c>
      <c r="L2784" s="11" t="n">
        <v>1</v>
      </c>
      <c r="M2784" s="8">
        <f>L2784*G2784</f>
        <v/>
      </c>
      <c r="N2784" s="11" t="inlineStr">
        <is>
          <t>Pasta</t>
        </is>
      </c>
      <c r="P2784" s="9" t="n"/>
    </row>
    <row r="2785">
      <c r="A2785" s="11" t="inlineStr">
        <is>
          <t>Bloated Processor / Processador Inchado</t>
        </is>
      </c>
      <c r="B2785" s="11" t="inlineStr">
        <is>
          <t>Creature — Phyrexian / Criatura — Phyrexiano</t>
        </is>
      </c>
      <c r="C2785" s="11" t="inlineStr">
        <is>
          <t>Rare / Rara</t>
        </is>
      </c>
      <c r="D2785" s="11" t="inlineStr">
        <is>
          <t>Sacrifice another Phyrexian: Put a +1/+1 counter on this creature. When this creature dies, incubate X, where X is its power. (Create an Incubator token with X +1/+1 counters on it and "{2}: Transform this token." It transforms into a 0/0 Phyrexian artifact creature.) / Sacrifique outro Phyrexiano: Coloque um marcador +1/+1 em Processador Inchado. Quando Processador Inchado morrer, incube X, sendo X seu poder. (Crie uma ficha de Incubadora com X marcadores +1/+1 e "{2}: Transforme este artefato". Ele se transforma em uma criatura artefato Phyrexiano 0/0.)</t>
        </is>
      </c>
      <c r="E2785" s="11" t="inlineStr">
        <is>
          <t>{2}{B}</t>
        </is>
      </c>
      <c r="F2785" s="11" t="inlineStr">
        <is>
          <t>Preto</t>
        </is>
      </c>
      <c r="G2785" s="8" t="n">
        <v>0.25</v>
      </c>
      <c r="H2785" s="11" t="inlineStr">
        <is>
          <t>March of the Machine (MOM)</t>
        </is>
      </c>
      <c r="I2785" s="11" t="inlineStr">
        <is>
          <t>Não</t>
        </is>
      </c>
      <c r="J2785" s="11" t="n">
        <v>2023</v>
      </c>
      <c r="K2785" s="10" t="n">
        <v>46056</v>
      </c>
      <c r="L2785" s="11" t="n">
        <v>1</v>
      </c>
      <c r="M2785" s="8">
        <f>L2785*G2785</f>
        <v/>
      </c>
      <c r="P2785" s="9" t="n"/>
    </row>
    <row r="2786">
      <c r="A2786" s="11" t="inlineStr">
        <is>
          <t>Wasteland Strangler / Estrangulador dos Ermos</t>
        </is>
      </c>
      <c r="B2786" s="11" t="inlineStr">
        <is>
          <t>Creature — Eldrazi Processor / Criatura — Eldrazi Processador</t>
        </is>
      </c>
      <c r="C2786" s="11" t="inlineStr">
        <is>
          <t>Rare / Rara</t>
        </is>
      </c>
      <c r="D2786" s="11" t="inlineStr">
        <is>
          <t>Devoid (This card has no color.) When this creature enters, you may put a card an opponent owns from exile into that player's graveyard. If you do, target creature gets -3/-3 until end of turn. / Desprovido (Este card não tem cor.)Quando Estrangulador dos Ermos entra no campo de batalha, você pode colocar um card exilado de um oponente no cemitério dele. Se fizer isso, a criatura alvo receberá -3/-3 até o final do turno.</t>
        </is>
      </c>
      <c r="E2786" s="11" t="inlineStr">
        <is>
          <t>{2}{B}</t>
        </is>
      </c>
      <c r="F2786" s="11" t="inlineStr">
        <is>
          <t>Preto</t>
        </is>
      </c>
      <c r="G2786" s="8" t="n">
        <v>0.15</v>
      </c>
      <c r="H2786" s="11" t="inlineStr">
        <is>
          <t>Battle for Zendikar (BFZ)</t>
        </is>
      </c>
      <c r="I2786" s="11" t="inlineStr">
        <is>
          <t>Não</t>
        </is>
      </c>
      <c r="J2786" s="11" t="n">
        <v>2015</v>
      </c>
      <c r="K2786" s="10" t="n">
        <v>46056</v>
      </c>
      <c r="L2786" s="11" t="n">
        <v>3</v>
      </c>
      <c r="M2786" s="8">
        <f>L2786*G2786</f>
        <v/>
      </c>
      <c r="P2786" s="9" t="n"/>
    </row>
    <row r="2787">
      <c r="A2787" s="11" t="inlineStr">
        <is>
          <t>Shadow-Rite Priest / Sacerdote do Rito das Sombras</t>
        </is>
      </c>
      <c r="B2787" s="11" t="inlineStr">
        <is>
          <t>Creature — Human Cleric / Criatura — Humano Clérigo</t>
        </is>
      </c>
      <c r="C2787" s="11" t="inlineStr">
        <is>
          <t>Rare / Rara</t>
        </is>
      </c>
      <c r="D2787" s="11" t="inlineStr">
        <is>
          <t>Other Clerics you control get +1/+1. {3}{B}{B}, {T}, Sacrifice another Cleric: Search your library for a black creature card, put it onto the battlefield, then shuffle. / Os outros Clérigos que você controla recebem +1/+1. {3}{B}{B}, {T}, sacrifique outro Clérigo: Procure um card de criatura preta em seu grimório, coloque-o no campo de batalha e depois embaralhe.</t>
        </is>
      </c>
      <c r="E2787" s="11" t="inlineStr">
        <is>
          <t>{1}{B}</t>
        </is>
      </c>
      <c r="F2787" s="11" t="inlineStr">
        <is>
          <t>Preto</t>
        </is>
      </c>
      <c r="G2787" s="8" t="n">
        <v>0.45</v>
      </c>
      <c r="H2787" s="11" t="inlineStr">
        <is>
          <t>Dominaria United (DMU)</t>
        </is>
      </c>
      <c r="I2787" s="11" t="inlineStr">
        <is>
          <t>Não</t>
        </is>
      </c>
      <c r="J2787" s="11" t="n">
        <v>2022</v>
      </c>
      <c r="K2787" s="10" t="n">
        <v>46055</v>
      </c>
      <c r="L2787" s="11" t="n">
        <v>1</v>
      </c>
      <c r="M2787" s="8">
        <f>L2787*G2787</f>
        <v/>
      </c>
      <c r="P2787" s="9" t="n"/>
    </row>
    <row r="2788">
      <c r="A2788" s="11" t="inlineStr">
        <is>
          <t>Predator, Flagship / Predador, Nau Capitânia</t>
        </is>
      </c>
      <c r="B2788" s="11" t="inlineStr">
        <is>
          <t>Legendary Artifact</t>
        </is>
      </c>
      <c r="C2788" s="11" t="inlineStr">
        <is>
          <t>Rare / Rara</t>
        </is>
      </c>
      <c r="D2788" s="11" t="inlineStr">
        <is>
          <t>{2}: Target creature gains flying until end of turn. {5}, {T}: Destroy target creature with flying.</t>
        </is>
      </c>
      <c r="E2788" s="11" t="inlineStr">
        <is>
          <t>{5}</t>
        </is>
      </c>
      <c r="F2788" s="11" t="inlineStr">
        <is>
          <t>Incolor</t>
        </is>
      </c>
      <c r="G2788" s="8" t="n">
        <v>0.5</v>
      </c>
      <c r="H2788" s="11" t="inlineStr">
        <is>
          <t>Commander 2014 (C14)</t>
        </is>
      </c>
      <c r="I2788" s="11" t="inlineStr">
        <is>
          <t>Não</t>
        </is>
      </c>
      <c r="J2788" s="11" t="n">
        <v>2014</v>
      </c>
      <c r="L2788" s="11" t="n">
        <v>1</v>
      </c>
      <c r="M2788" s="8">
        <f>L2788*G2788</f>
        <v/>
      </c>
      <c r="P2788" s="9" t="n"/>
    </row>
    <row r="2789">
      <c r="A2789" s="11" t="inlineStr">
        <is>
          <t>Dismantling Blow / Golpe Desmantelador</t>
        </is>
      </c>
      <c r="B2789" s="11" t="inlineStr">
        <is>
          <t>Instant / Mágica Instantânea</t>
        </is>
      </c>
      <c r="C2789" s="11" t="inlineStr">
        <is>
          <t>Uncommon / Incomum</t>
        </is>
      </c>
      <c r="D2789" s="11" t="inlineStr">
        <is>
          <t>Kicker {2}{U} (You may pay an additional {2}{U} as you cast this spell.) Destroy target artifact or enchantment. If this spell was kicked, draw two cards. / Reforçar {2}{U} Você pode pagar um custo adicional de {2}{U} conforme conjura esta mágica.) Destrua o artefato ou encantamento alvo. Se esta mágica foi reforçada, compre dois cards.</t>
        </is>
      </c>
      <c r="E2789" s="11" t="inlineStr">
        <is>
          <t>{2}{W}</t>
        </is>
      </c>
      <c r="F2789" s="11" t="inlineStr">
        <is>
          <t>Branco</t>
        </is>
      </c>
      <c r="G2789" s="8" t="n">
        <v>0.05</v>
      </c>
      <c r="H2789" s="11" t="inlineStr">
        <is>
          <t>Modern Horizons (MH1)</t>
        </is>
      </c>
      <c r="I2789" s="11" t="inlineStr">
        <is>
          <t>Não</t>
        </is>
      </c>
      <c r="J2789" s="11" t="n">
        <v>2019</v>
      </c>
      <c r="L2789" s="11" t="n">
        <v>1</v>
      </c>
      <c r="M2789" s="8">
        <f>L2789*G2789</f>
        <v/>
      </c>
      <c r="P2789" s="9" t="n"/>
    </row>
    <row r="2790">
      <c r="A2790" s="11" t="inlineStr">
        <is>
          <t>Volshe Tideturner / Inversora de Marés Volshe</t>
        </is>
      </c>
      <c r="B2790" s="11" t="inlineStr">
        <is>
          <t>Creature — Merfolk Wizard / Criatura — Tritão Mago</t>
        </is>
      </c>
      <c r="C2790" s="11" t="inlineStr">
        <is>
          <t>Common / Comum</t>
        </is>
      </c>
      <c r="D2790" s="11" t="inlineStr">
        <is>
          <t>{T}: Add {U}. Spend this mana only to cast an instant or sorcery spell or a kicked spell. / {T}: Adicione {U}. Gaste este mana somente para conjurar uma mágica instantânea, um feitiço ou uma mágica reforçada.</t>
        </is>
      </c>
      <c r="E2790" s="11" t="inlineStr">
        <is>
          <t>{1}{U}</t>
        </is>
      </c>
      <c r="F2790" s="11" t="inlineStr">
        <is>
          <t>Azul</t>
        </is>
      </c>
      <c r="G2790" s="8" t="n">
        <v>0.06</v>
      </c>
      <c r="H2790" s="11" t="inlineStr">
        <is>
          <t>Dominaria United (DMU)</t>
        </is>
      </c>
      <c r="I2790" s="11" t="inlineStr">
        <is>
          <t>Não</t>
        </is>
      </c>
      <c r="J2790" s="11" t="n">
        <v>2022</v>
      </c>
      <c r="K2790" s="10" t="n">
        <v>46082</v>
      </c>
      <c r="L2790" s="11" t="n">
        <v>1</v>
      </c>
      <c r="M2790" s="8">
        <f>L2790*G2790</f>
        <v/>
      </c>
      <c r="P2790" s="9" t="n"/>
    </row>
    <row r="2791">
      <c r="A2791" s="11" t="inlineStr">
        <is>
          <t>Lagomos, Hand of Hatred / Lagomos, Mão do Ódio</t>
        </is>
      </c>
      <c r="B2791" s="11" t="inlineStr">
        <is>
          <t>Legendary Creature — Human Shaman / Criatura Lendária — Humano Xamã</t>
        </is>
      </c>
      <c r="C2791" s="11" t="inlineStr">
        <is>
          <t>Uncommon / Incomum</t>
        </is>
      </c>
      <c r="D2791" s="11" t="inlineStr">
        <is>
          <t>At the beginning of combat on your turn, create a 2/1 red Elemental creature token with trample and haste. Sacrifice it at the beginning of the next end step. {T}: Search your library for a card, put it into your hand, then shuffle. Activate only if five or more creatures died this turn. / No início do combate no seu turno, crie uma ficha de criatura Elemental vermelha 2/1 com atropelar e ímpeto. Sacrifique-a no início da próxima etapa final. {T}: Procure um card em seu grimório, coloque-o em sua mão e depois embaralhe. Ative somente se cinco ou mais criaturas tiverem morrido neste turno.</t>
        </is>
      </c>
      <c r="E2791" s="11" t="inlineStr">
        <is>
          <t>{1}{B}{R}</t>
        </is>
      </c>
      <c r="F2791" s="11" t="inlineStr">
        <is>
          <t>Preto, Vermelho</t>
        </is>
      </c>
      <c r="G2791" s="8" t="n">
        <v>0.16</v>
      </c>
      <c r="H2791" s="11" t="inlineStr">
        <is>
          <t>Dominaria United (DMU)</t>
        </is>
      </c>
      <c r="I2791" s="11" t="inlineStr">
        <is>
          <t>Não</t>
        </is>
      </c>
      <c r="J2791" s="11" t="n">
        <v>2022</v>
      </c>
      <c r="K2791" s="10" t="n">
        <v>46082</v>
      </c>
      <c r="L2791" s="11" t="n">
        <v>1</v>
      </c>
      <c r="M2791" s="8">
        <f>L2791*G2791</f>
        <v/>
      </c>
      <c r="P2791" s="9" t="n"/>
    </row>
    <row r="2792">
      <c r="A2792" s="11" t="inlineStr">
        <is>
          <t>Vohar, Profanador Vodaliano / Vohar, Vodalian Desecrator</t>
        </is>
      </c>
      <c r="B2792" s="11" t="inlineStr">
        <is>
          <t>Criatura Lendária — Phyrexiano Tritão Mago / Legendary Creature — Phyrexian Merfolk Wizard</t>
        </is>
      </c>
      <c r="C2792" s="11" t="inlineStr">
        <is>
          <t>Uncommon / Incomum</t>
        </is>
      </c>
      <c r="D2792" s="11" t="inlineStr">
        <is>
          <t>{T}: Compre um card e depois descarte um card. Se você descartou um card de mágica instantânea ou de feitiço dessa forma, cada oponente perde 1 ponto de vida e você ganha 1 ponto de vida. {2}, sacrifique Vohar, Profanador Vodaliano: Você pode conjurar o card de mágica instantânea ou de feitiço alvo do seu cemitério neste turno. Se aquela mágica seria colocada no seu cemitério, em vez disso, exile-a. Ative somente como um feitiço. / {T}: Draw a card, then discard a card. If you discarded an instant or sorcery card this way, each opponent loses 1 life and you gain 1 life. {2}, Sacrifice Vohar, Vodalian Desecrator: You may cast target instant or sorcery card from your graveyard this turn. If that spell would be put into your graveyard, exile it instead. Activate only as a sorcery.</t>
        </is>
      </c>
      <c r="E2792" s="11" t="inlineStr">
        <is>
          <t>{U}{B}</t>
        </is>
      </c>
      <c r="F2792" s="11" t="inlineStr">
        <is>
          <t>Azul e Preto</t>
        </is>
      </c>
      <c r="G2792" s="8" t="n">
        <v>0.19</v>
      </c>
      <c r="H2792" s="11" t="inlineStr">
        <is>
          <t>Dominaria United (DMU)</t>
        </is>
      </c>
      <c r="I2792" s="11" t="inlineStr">
        <is>
          <t>Não</t>
        </is>
      </c>
      <c r="J2792" s="11" t="n">
        <v>2022</v>
      </c>
      <c r="K2792" s="10" t="n">
        <v>46054</v>
      </c>
      <c r="L2792" s="11" t="n">
        <v>1</v>
      </c>
      <c r="M2792" s="8">
        <f>L2792*G2792</f>
        <v/>
      </c>
      <c r="P2792" s="9" t="n"/>
    </row>
    <row r="2793">
      <c r="A2793" s="11" t="inlineStr">
        <is>
          <t>Flotsam // Jetsam / Destroços // Refugo</t>
        </is>
      </c>
      <c r="B2793" s="11" t="inlineStr">
        <is>
          <t>Instant // Sorcery / Mágica Instantânea // Feitiço</t>
        </is>
      </c>
      <c r="C2793" s="11" t="inlineStr">
        <is>
          <t>Uncommon / Incomum</t>
        </is>
      </c>
      <c r="D2793" s="11" t="inlineStr">
        <is>
          <t>Flotsam: Mill three cards. Investigate. (Create a Clue token. It's an artifact with "{2}, Sacrifice this token: Draw a card.") // Jetsam: Each opponent mills three cards, then you may cast a spell from each opponent's graveyard without paying its mana cost. If a spell cast this way would be put into a graveyard, exile it instead. / Triture três cards. Investigue. (Crie uma ficha de Pista. Ela é um artefato com "{2}, sacrifique este artefato: Compre um card.") // Cada oponente tritura três cards, depois você pode conjurar uma mágica do cemitério de cada oponente sem pagar seu custo de mana. Se uma mágica conjurada dessa forma seria colocada em um cemitério, em vez disso exile-a.</t>
        </is>
      </c>
      <c r="E2793" s="11" t="inlineStr">
        <is>
          <t>{1}{G/U} // {4}{U/B}{U/B}</t>
        </is>
      </c>
      <c r="F2793" s="11" t="inlineStr">
        <is>
          <t>Preto, Verde, Azul</t>
        </is>
      </c>
      <c r="G2793" s="8" t="n">
        <v>0.1</v>
      </c>
      <c r="H2793" s="11" t="inlineStr">
        <is>
          <t>Murders at Karlov Manor (MKM)</t>
        </is>
      </c>
      <c r="I2793" s="11" t="inlineStr">
        <is>
          <t>Não</t>
        </is>
      </c>
      <c r="J2793" s="11" t="n">
        <v>2024</v>
      </c>
      <c r="L2793" s="11" t="n">
        <v>1</v>
      </c>
      <c r="M2793" s="8">
        <f>L2793*G2793</f>
        <v/>
      </c>
      <c r="P2793" s="9" t="n"/>
    </row>
    <row r="2794">
      <c r="A2794" s="11" t="inlineStr">
        <is>
          <t>Warrant // Warden / Permissão // Proteção</t>
        </is>
      </c>
      <c r="B2794" s="11" t="inlineStr">
        <is>
          <t>Instant // Sorcery / Mágica Instantânea // Feitiço</t>
        </is>
      </c>
      <c r="C2794" s="11" t="inlineStr">
        <is>
          <t>Rare / Rara</t>
        </is>
      </c>
      <c r="D2794" s="11" t="inlineStr">
        <is>
          <t>Warrant: Put target attacking or blocking creature on top of its owner's library. // Warden: Create a 4/4 white and blue Sphinx creature token with flying and vigilance. / Coloque a criatura alvo atacante ou bloqueadora no topo do grimório de seu dono. // Crie uma ficha de criatura branca e azul 4/4 do tipo Esfinge com voar e vigilância.</t>
        </is>
      </c>
      <c r="E2794" s="11" t="inlineStr">
        <is>
          <t>{W/U}{W/U} // {3}{W}{U}</t>
        </is>
      </c>
      <c r="F2794" s="11" t="inlineStr">
        <is>
          <t>Azul, Branco</t>
        </is>
      </c>
      <c r="G2794" s="8" t="n">
        <v>0.2</v>
      </c>
      <c r="H2794" s="11" t="inlineStr">
        <is>
          <t>Ravnica Allegiance (RNA)</t>
        </is>
      </c>
      <c r="I2794" s="11" t="inlineStr">
        <is>
          <t>Não</t>
        </is>
      </c>
      <c r="J2794" s="11" t="n">
        <v>2019</v>
      </c>
      <c r="L2794" s="11" t="n">
        <v>1</v>
      </c>
      <c r="M2794" s="8">
        <f>L2794*G2794</f>
        <v/>
      </c>
      <c r="P2794" s="9" t="n"/>
    </row>
    <row r="2795">
      <c r="A2795" s="11" t="inlineStr">
        <is>
          <t>Invasion of Xerex / Invasão de Xerex</t>
        </is>
      </c>
      <c r="B2795" s="11" t="inlineStr">
        <is>
          <t>Battle — Siege / Batalha — Cerco</t>
        </is>
      </c>
      <c r="C2795" s="11" t="inlineStr">
        <is>
          <t>Uncommon / Incomum</t>
        </is>
      </c>
      <c r="D2795" s="11" t="inlineStr">
        <is>
          <t>(As a Siege enters, choose an opponent to protect it. You and others can attack it. When it's defeated, exile it, then cast it transformed.) When this Siege enters, return up to one target creature to its owner's hand. / (Conforme um Cerco entrar no campo de batalha, escolha um oponente para protegê-lo. Você e outros podem atacá-lo. Quando ele for derrotado, exile-o e depois o conjure transformado.) Quando Invasão de Xerex entrar no campo de batalha, devolva até uma criatura alvo para a mão de seu dono.</t>
        </is>
      </c>
      <c r="E2795" s="11" t="inlineStr">
        <is>
          <t>{2}{W}{U}</t>
        </is>
      </c>
      <c r="F2795" s="11" t="inlineStr">
        <is>
          <t>Azul, Branco</t>
        </is>
      </c>
      <c r="G2795" s="8" t="n">
        <v>0.04</v>
      </c>
      <c r="H2795" s="11" t="inlineStr">
        <is>
          <t>March of the Machine (MOM)</t>
        </is>
      </c>
      <c r="I2795" s="11" t="inlineStr">
        <is>
          <t>Não</t>
        </is>
      </c>
      <c r="J2795" s="11" t="n">
        <v>2023</v>
      </c>
      <c r="L2795" s="11" t="n">
        <v>1</v>
      </c>
      <c r="M2795" s="8">
        <f>L2795*G2795</f>
        <v/>
      </c>
      <c r="P2795" s="9" t="n"/>
    </row>
    <row r="2796">
      <c r="A2796" s="11" t="inlineStr">
        <is>
          <t>Invasion of Pyrulea / Invasão de Pyrulea</t>
        </is>
      </c>
      <c r="B2796" s="11" t="inlineStr">
        <is>
          <t>Battle — Siege / Batalha — Cerco</t>
        </is>
      </c>
      <c r="C2796" s="11" t="inlineStr">
        <is>
          <t>Uncommon / Incomum</t>
        </is>
      </c>
      <c r="D2796" s="11" t="inlineStr">
        <is>
          <t>(As a Siege enters, choose an opponent to protect it. You and others can attack it. When it's defeated, exile it, then cast it transformed.) When this Siege enters, scry 3, then reveal the top card of your library. If it's a land or double-faced card, draw a card. / (Conforme um Cerco entrar no campo de batalha, escolha um oponente para protegê-lo. Você e outros podem atacá-lo. Quando ele for derrotado, exile-o e depois o conjure transformado.) Quando Invasão de Pyrulea entrar no campo de batalha, use vidência 3, depois revele o card do topo de seu grimório. Se ele for um card dupla face ou de terreno, compre um card.</t>
        </is>
      </c>
      <c r="E2796" s="11" t="inlineStr">
        <is>
          <t>{G}{U}</t>
        </is>
      </c>
      <c r="F2796" s="11" t="inlineStr">
        <is>
          <t>Verde, Azul</t>
        </is>
      </c>
      <c r="G2796" s="8" t="n">
        <v>0.04</v>
      </c>
      <c r="H2796" s="11" t="inlineStr">
        <is>
          <t>March of the Machine (MOM)</t>
        </is>
      </c>
      <c r="I2796" s="11" t="inlineStr">
        <is>
          <t>Não</t>
        </is>
      </c>
      <c r="J2796" s="11" t="n">
        <v>2023</v>
      </c>
      <c r="L2796" s="11" t="n">
        <v>1</v>
      </c>
      <c r="M2796" s="8">
        <f>L2796*G2796</f>
        <v/>
      </c>
      <c r="P2796" s="9" t="n"/>
    </row>
    <row r="2797">
      <c r="A2797" s="11" t="inlineStr">
        <is>
          <t>Kaslem's Stonetree / Árvore Pétrea de Kaslem</t>
        </is>
      </c>
      <c r="B2797" s="11" t="inlineStr">
        <is>
          <t>Artifact / Artefato</t>
        </is>
      </c>
      <c r="C2797" s="11" t="inlineStr">
        <is>
          <t>Common / Comum</t>
        </is>
      </c>
      <c r="D2797" s="11" t="inlineStr">
        <is>
          <t>When this artifact enters, look at the top six cards of your library. You may put a land card from among them onto the battlefield tapped. Put the rest on the bottom in a random order. Craft with Cave {5}{G} ({5}{G}, Exile this artifact, Exile a Cave you control or a Cave card from your graveyard: Return this card transformed under its owner's control. Craft only as a sorcery.) / Quando Árvore Pétrea de Kaslem entrar no campo de batalha, olhe os seis cards do topo de seu grimório. Você pode colocar um card de terreno dentre eles no campo de batalha virado. Coloque o restante no fundo de seu grimório em ordem aleatória. Construir com Caverna {5}{G} ({5}{G}, exile este artefato, exile uma Caverna que você controla ou um card de Caverna de seu cemitério: Devolva este card ao campo de batalha transformado sob o controle de seu dono. Construa somente como um feitiço.)</t>
        </is>
      </c>
      <c r="E2797" s="11" t="inlineStr">
        <is>
          <t>{2}{G}</t>
        </is>
      </c>
      <c r="F2797" s="11" t="inlineStr">
        <is>
          <t>Verde</t>
        </is>
      </c>
      <c r="G2797" s="8" t="n">
        <v>0.06</v>
      </c>
      <c r="H2797" s="11" t="inlineStr">
        <is>
          <t>The Lost Caverns of Ixalan (LCI)</t>
        </is>
      </c>
      <c r="I2797" s="11" t="inlineStr">
        <is>
          <t>Não</t>
        </is>
      </c>
      <c r="J2797" s="11" t="n">
        <v>2023</v>
      </c>
      <c r="L2797" s="11" t="n">
        <v>1</v>
      </c>
      <c r="M2797" s="8">
        <f>L2797*G2797</f>
        <v/>
      </c>
      <c r="P2797" s="9" t="n"/>
    </row>
    <row r="2798">
      <c r="A2798" s="11" t="inlineStr">
        <is>
          <t>Scuttletide / Maré de Caranguejo</t>
        </is>
      </c>
      <c r="B2798" s="11" t="inlineStr">
        <is>
          <t>Enchantment / Encantamento</t>
        </is>
      </c>
      <c r="C2798" s="11" t="inlineStr">
        <is>
          <t>Uncommon / Incomum</t>
        </is>
      </c>
      <c r="D2798" s="11" t="inlineStr">
        <is>
          <t>{1}, Discard a card: Create a 0/3 blue Crab creature token. Delirium — Crabs you control get +1/+1 as long as there are four or more card types among cards in your graveyard. / {1}, descarte um card: Crie uma ficha de criatura Caranguejo azul 0/3. Delírio — Os Caranguejos que você controla receberão +1/+1 enquanto houver quatro ou mais tipos de card entre os cards de seu cemitério.</t>
        </is>
      </c>
      <c r="E2798" s="11" t="inlineStr">
        <is>
          <t>{1}{U}</t>
        </is>
      </c>
      <c r="F2798" s="11" t="inlineStr">
        <is>
          <t>Azul</t>
        </is>
      </c>
      <c r="G2798" s="8" t="n">
        <v>0.1</v>
      </c>
      <c r="H2798" s="11" t="inlineStr">
        <is>
          <t>Modern Horizons 2 (MH2)</t>
        </is>
      </c>
      <c r="I2798" s="11" t="inlineStr">
        <is>
          <t>Não</t>
        </is>
      </c>
      <c r="J2798" s="11" t="n">
        <v>2021</v>
      </c>
      <c r="L2798" s="11" t="n">
        <v>1</v>
      </c>
      <c r="M2798" s="8">
        <f>L2798*G2798</f>
        <v/>
      </c>
      <c r="P2798" s="9" t="n"/>
    </row>
    <row r="2799">
      <c r="A2799" s="11" t="inlineStr">
        <is>
          <t>Acordar para a Vida / Thought Monitor</t>
        </is>
      </c>
      <c r="B2799" s="11" t="inlineStr">
        <is>
          <t>Feitiço / Sorcery</t>
        </is>
      </c>
      <c r="C2799" s="11" t="inlineStr">
        <is>
          <t>Rara / Rare</t>
        </is>
      </c>
      <c r="D2799" s="11" t="inlineStr">
        <is>
          <t>O artefato alvo não de criatura que você controla se torna uma criatura artefato 0/0. Coloque quatro marcadores +1/+1 em cada artefato que se torna uma criatura dessa forma. Sobrecarga {4}{U}{U} (Você pode conjurar esta mágica pagando seu custo de sobrecarga. Se fizer isso, altere seu texto substituindo todas as ocorrências de “o artefato alvo” por “cada artefato”.) / Target noncreature artifact you control becomes a 0/0 artifact creature. Put four +1/+1 counters on each artifact that becomes a creature this way. Overload {4}{U}{U} (You may cast this spell for its overload cost. If you do, change its text by replacing all instances of "target artifact" with "each artifact".)</t>
        </is>
      </c>
      <c r="E2799" s="11" t="inlineStr">
        <is>
          <t>{1}{U}</t>
        </is>
      </c>
      <c r="F2799" s="11" t="inlineStr">
        <is>
          <t>Azul</t>
        </is>
      </c>
      <c r="G2799" s="8" t="n">
        <v>2.9</v>
      </c>
      <c r="H2799" s="11" t="inlineStr">
        <is>
          <t>Modern Horizons 2 (MH2)</t>
        </is>
      </c>
      <c r="I2799" s="11" t="inlineStr">
        <is>
          <t>Sim</t>
        </is>
      </c>
      <c r="J2799" s="11" t="n">
        <v>2021</v>
      </c>
      <c r="L2799" s="11" t="n">
        <v>1</v>
      </c>
      <c r="M2799" s="8">
        <f>L2799*G2799</f>
        <v/>
      </c>
      <c r="N2799" s="11" t="inlineStr">
        <is>
          <t>Pasta</t>
        </is>
      </c>
      <c r="P2799" s="9" t="n"/>
    </row>
    <row r="2800">
      <c r="A2800" s="11" t="inlineStr">
        <is>
          <t>Filtrar / Filter Out</t>
        </is>
      </c>
      <c r="B2800" s="11" t="inlineStr">
        <is>
          <t>Mágica Instantânea / Instant</t>
        </is>
      </c>
      <c r="C2800" s="11" t="inlineStr">
        <is>
          <t>Uncommon / Incomum</t>
        </is>
      </c>
      <c r="D2800" s="11" t="inlineStr">
        <is>
          <t>Devolva todas as permanentes não de criatura e não de terreno para as mãos de seus donos. / Return all noncreature, nonland permanents to their owners' hands.</t>
        </is>
      </c>
      <c r="E2800" s="11" t="inlineStr">
        <is>
          <t>{1}{U}{U}</t>
        </is>
      </c>
      <c r="F2800" s="11" t="inlineStr">
        <is>
          <t>Azul</t>
        </is>
      </c>
      <c r="G2800" s="8" t="n">
        <v>1.9</v>
      </c>
      <c r="H2800" s="11" t="inlineStr">
        <is>
          <t>March of the Machine: The Aftermath (MAT)</t>
        </is>
      </c>
      <c r="I2800" s="11" t="inlineStr">
        <is>
          <t>Sim</t>
        </is>
      </c>
      <c r="J2800" s="11" t="n">
        <v>2023</v>
      </c>
      <c r="L2800" s="11" t="n">
        <v>1</v>
      </c>
      <c r="M2800" s="8">
        <f>L2800*G2800</f>
        <v/>
      </c>
      <c r="N2800" s="11" t="inlineStr">
        <is>
          <t>Pasta</t>
        </is>
      </c>
      <c r="P2800" s="9" t="n"/>
    </row>
    <row r="2801">
      <c r="A2801" s="11" t="inlineStr">
        <is>
          <t>Gênese Planar / Planar Genesis</t>
        </is>
      </c>
      <c r="B2801" s="11" t="inlineStr">
        <is>
          <t>Mágica Instantânea / Instant</t>
        </is>
      </c>
      <c r="C2801" s="11" t="inlineStr">
        <is>
          <t>Incomum / Uncommon</t>
        </is>
      </c>
      <c r="D2801" s="11" t="inlineStr">
        <is>
          <t>Olhe os quatro cards do topo de seu grimório. Você pode colocar um card de terreno dentre eles no campo de batalha virado. Se não fizer isso, coloque um card dentre eles em sua mão. Coloque o restante no fundo de seu grimório em ordem aleatória. / Look at the top four cards of your library. You may put a land card from among them onto the battlefield tapped. If you don't, put a card from among them into your hand. Put the rest on the bottom of your library in a random order.</t>
        </is>
      </c>
      <c r="E2801" s="11" t="inlineStr">
        <is>
          <t>{G}{U}</t>
        </is>
      </c>
      <c r="F2801" s="11" t="inlineStr">
        <is>
          <t>Verde e Azul</t>
        </is>
      </c>
      <c r="G2801" s="8" t="n">
        <v>0.75</v>
      </c>
      <c r="H2801" s="11" t="inlineStr">
        <is>
          <t>Modern Horizons 3 (MH3)</t>
        </is>
      </c>
      <c r="I2801" s="11" t="inlineStr">
        <is>
          <t>Não</t>
        </is>
      </c>
      <c r="J2801" s="11" t="n">
        <v>2024</v>
      </c>
      <c r="L2801" s="11" t="n">
        <v>1</v>
      </c>
      <c r="M2801" s="8">
        <f>L2801*G2801</f>
        <v/>
      </c>
      <c r="P2801" s="9" t="n"/>
    </row>
    <row r="2802">
      <c r="A2802" s="11" t="inlineStr">
        <is>
          <t>Gold-Forged Thopteryx / Topterix Forjado em Ouro</t>
        </is>
      </c>
      <c r="B2802" s="11" t="inlineStr">
        <is>
          <t>Artifact Creature — Dinosaur Thopter / Criatura Artefato — Dinossauro Tóptero</t>
        </is>
      </c>
      <c r="C2802" s="11" t="inlineStr">
        <is>
          <t>Uncommon / Incomum</t>
        </is>
      </c>
      <c r="D2802" s="11" t="inlineStr">
        <is>
          <t>Flying, lifelink Each legendary permanent you control has ward {2}. (Whenever it becomes the target of a spell or ability an opponent controls, counter it unless that player pays {2}.) / Voar, vínculo com a vida Cada permanente lendária que você controla tem salvaguarda {2}.</t>
        </is>
      </c>
      <c r="E2802" s="11" t="inlineStr">
        <is>
          <t>{W}{U}</t>
        </is>
      </c>
      <c r="F2802" s="11" t="inlineStr">
        <is>
          <t>Azul, Branco</t>
        </is>
      </c>
      <c r="G2802" s="8" t="n">
        <v>0.59</v>
      </c>
      <c r="H2802" s="11" t="inlineStr">
        <is>
          <t>March of the Machine: The Aftermath (MAT)</t>
        </is>
      </c>
      <c r="I2802" s="11" t="inlineStr">
        <is>
          <t>Sim</t>
        </is>
      </c>
      <c r="J2802" s="11" t="n">
        <v>2023</v>
      </c>
      <c r="K2802" s="10" t="n">
        <v>46082</v>
      </c>
      <c r="L2802" s="11" t="n">
        <v>1</v>
      </c>
      <c r="M2802" s="8">
        <f>L2802*G2802</f>
        <v/>
      </c>
      <c r="P2802" s="9" t="n"/>
    </row>
    <row r="2803">
      <c r="A2803" s="11" t="inlineStr">
        <is>
          <t>Tobias Andrion</t>
        </is>
      </c>
      <c r="B2803" s="11" t="inlineStr">
        <is>
          <t>Legendary Creature — Human Advisor</t>
        </is>
      </c>
      <c r="C2803" s="11" t="inlineStr">
        <is>
          <t>Uncommon / Incomum</t>
        </is>
      </c>
      <c r="E2803" s="11" t="inlineStr">
        <is>
          <t>{3}{W}{U}</t>
        </is>
      </c>
      <c r="F2803" s="11" t="inlineStr">
        <is>
          <t>Azul, Branco</t>
        </is>
      </c>
      <c r="G2803" s="8" t="n">
        <v>0.21</v>
      </c>
      <c r="H2803" s="11" t="inlineStr">
        <is>
          <t>Chronicles</t>
        </is>
      </c>
      <c r="I2803" s="11" t="inlineStr">
        <is>
          <t>Não</t>
        </is>
      </c>
      <c r="J2803" s="11" t="n">
        <v>1995</v>
      </c>
      <c r="K2803" s="10" t="n">
        <v>46116</v>
      </c>
      <c r="L2803" s="11" t="n">
        <v>1</v>
      </c>
      <c r="M2803" s="8">
        <f>L2803*G2803</f>
        <v/>
      </c>
      <c r="P2803" s="9" t="n"/>
    </row>
    <row r="2804">
      <c r="A2804" s="11" t="inlineStr">
        <is>
          <t>Storm Spirit / Espírito da Tempestade</t>
        </is>
      </c>
      <c r="B2804" s="11" t="inlineStr">
        <is>
          <t>Creature — Elemental Spirit</t>
        </is>
      </c>
      <c r="C2804" s="11" t="inlineStr">
        <is>
          <t>Rare / Rara</t>
        </is>
      </c>
      <c r="D2804" s="11" t="inlineStr">
        <is>
          <t>Flying {T}: This creature deals 2 damage to target creature.</t>
        </is>
      </c>
      <c r="E2804" s="11" t="inlineStr">
        <is>
          <t>{3}{G}{W}{U}</t>
        </is>
      </c>
      <c r="F2804" s="11" t="inlineStr">
        <is>
          <t>Verde, Azul, Branco</t>
        </is>
      </c>
      <c r="G2804" s="8" t="n">
        <v>3.68</v>
      </c>
      <c r="H2804" s="11" t="inlineStr">
        <is>
          <t>Ice Age (ICE)</t>
        </is>
      </c>
      <c r="I2804" s="11" t="inlineStr">
        <is>
          <t>Não</t>
        </is>
      </c>
      <c r="J2804" s="11" t="n">
        <v>1995</v>
      </c>
      <c r="K2804" s="10" t="n">
        <v>46084</v>
      </c>
      <c r="L2804" s="11" t="n">
        <v>1</v>
      </c>
      <c r="M2804" s="8">
        <f>L2804*G2804</f>
        <v/>
      </c>
      <c r="N2804" s="11" t="inlineStr">
        <is>
          <t>Pasta</t>
        </is>
      </c>
      <c r="P2804" s="9" t="n"/>
    </row>
    <row r="2805">
      <c r="A2805" s="11" t="inlineStr">
        <is>
          <t>Tor Wauki</t>
        </is>
      </c>
      <c r="B2805" s="11" t="inlineStr">
        <is>
          <t>Legendary Creature — Human Archer</t>
        </is>
      </c>
      <c r="C2805" s="11" t="inlineStr">
        <is>
          <t>Uncommon / Incomum</t>
        </is>
      </c>
      <c r="D2805" s="11" t="inlineStr">
        <is>
          <t>{T}: Tor Wauki deals 2 damage to target attacking or blocking creature.</t>
        </is>
      </c>
      <c r="E2805" s="11" t="inlineStr">
        <is>
          <t>{2}{B}{B}{R}</t>
        </is>
      </c>
      <c r="F2805" s="11" t="inlineStr">
        <is>
          <t>Preto, Vermelho</t>
        </is>
      </c>
      <c r="G2805" s="8" t="n">
        <v>0.21</v>
      </c>
      <c r="H2805" s="11" t="inlineStr">
        <is>
          <t>Chronicles</t>
        </is>
      </c>
      <c r="I2805" s="11" t="inlineStr">
        <is>
          <t>Não</t>
        </is>
      </c>
      <c r="J2805" s="11" t="n">
        <v>1995</v>
      </c>
      <c r="K2805" s="10" t="n">
        <v>46084</v>
      </c>
      <c r="L2805" s="11" t="n">
        <v>1</v>
      </c>
      <c r="M2805" s="8">
        <f>L2805*G2805</f>
        <v/>
      </c>
      <c r="P2805" s="9" t="n"/>
    </row>
    <row r="2806">
      <c r="A2806" s="11" t="inlineStr">
        <is>
          <t>Chromatic Armor / Armadura Cromática</t>
        </is>
      </c>
      <c r="B2806" s="11" t="inlineStr">
        <is>
          <t>Enchantment — Aura</t>
        </is>
      </c>
      <c r="C2806" s="11" t="inlineStr">
        <is>
          <t>Rare / Rara</t>
        </is>
      </c>
      <c r="D2806" s="11" t="inlineStr">
        <is>
          <t>Enchant creature As this Aura enters, choose a color. This Aura enters with a sleight counter on it. Prevent all damage that would be dealt to enchanted creature by sources of the last chosen color. {X}: Put a sleight counter on this Aura and choose a color. X is the number of sleight counters on this Aura.</t>
        </is>
      </c>
      <c r="E2806" s="11" t="inlineStr">
        <is>
          <t>{1}{W}{U}</t>
        </is>
      </c>
      <c r="F2806" s="11" t="inlineStr">
        <is>
          <t>Azul, Branco</t>
        </is>
      </c>
      <c r="G2806" s="8" t="n">
        <v>2.4</v>
      </c>
      <c r="H2806" s="11" t="inlineStr">
        <is>
          <t>Ice Age (ICE)</t>
        </is>
      </c>
      <c r="I2806" s="11" t="inlineStr">
        <is>
          <t>Não</t>
        </is>
      </c>
      <c r="J2806" s="11" t="n">
        <v>1995</v>
      </c>
      <c r="L2806" s="11" t="n">
        <v>1</v>
      </c>
      <c r="M2806" s="8">
        <f>L2806*G2806</f>
        <v/>
      </c>
      <c r="N2806" s="11" t="inlineStr">
        <is>
          <t>Pasta</t>
        </is>
      </c>
      <c r="P2806" s="9" t="n"/>
    </row>
    <row r="2807">
      <c r="A2807" s="11" t="inlineStr">
        <is>
          <t>Ayesha Tanaka</t>
        </is>
      </c>
      <c r="B2807" s="11" t="inlineStr">
        <is>
          <t>Summon Legend</t>
        </is>
      </c>
      <c r="C2807" s="11" t="inlineStr">
        <is>
          <t>Rara / Rare</t>
        </is>
      </c>
      <c r="D2807" s="11" t="inlineStr">
        <is>
          <t>Banding. {T}: Counter target artifact effect requiring an activation cost, unless the artifact's controller pays {W}. Play this ability as an interrupt.</t>
        </is>
      </c>
      <c r="E2807" s="11" t="inlineStr">
        <is>
          <t>{W}{W}{U}{U}</t>
        </is>
      </c>
      <c r="F2807" s="11" t="inlineStr">
        <is>
          <t>Branco e Azul / White and Blue</t>
        </is>
      </c>
      <c r="G2807" s="8" t="n">
        <v>1</v>
      </c>
      <c r="H2807" s="11" t="inlineStr">
        <is>
          <t>Chronicles (CHR)</t>
        </is>
      </c>
      <c r="I2807" s="11" t="inlineStr">
        <is>
          <t>Não</t>
        </is>
      </c>
      <c r="J2807" s="11" t="n">
        <v>1995</v>
      </c>
      <c r="K2807" s="10" t="n">
        <v>46055</v>
      </c>
      <c r="L2807" s="11" t="n">
        <v>1</v>
      </c>
      <c r="M2807" s="8">
        <f>L2807*G2807</f>
        <v/>
      </c>
      <c r="N2807" s="11" t="inlineStr">
        <is>
          <t>Pasta</t>
        </is>
      </c>
      <c r="P2807" s="9" t="n"/>
    </row>
    <row r="2808">
      <c r="A2808" s="11" t="inlineStr">
        <is>
          <t>Kei Takahashi</t>
        </is>
      </c>
      <c r="B2808" s="11" t="inlineStr">
        <is>
          <t>Summon Legend</t>
        </is>
      </c>
      <c r="C2808" s="11" t="inlineStr">
        <is>
          <t>Rara / Rare</t>
        </is>
      </c>
      <c r="D2808" s="11" t="inlineStr">
        <is>
          <t>{T}: Prevent up to 2 damage to any creature.</t>
        </is>
      </c>
      <c r="E2808" s="11" t="inlineStr">
        <is>
          <t>{2}{W}{G}</t>
        </is>
      </c>
      <c r="F2808" s="11" t="inlineStr">
        <is>
          <t>Branco e Verde / White and Green</t>
        </is>
      </c>
      <c r="G2808" s="8" t="n">
        <v>0.21</v>
      </c>
      <c r="H2808" s="11" t="inlineStr">
        <is>
          <t>Chronicles (CHR)</t>
        </is>
      </c>
      <c r="I2808" s="11" t="inlineStr">
        <is>
          <t>Não</t>
        </is>
      </c>
      <c r="J2808" s="11" t="n">
        <v>1995</v>
      </c>
      <c r="K2808" s="10" t="n">
        <v>46055</v>
      </c>
      <c r="L2808" s="11" t="n">
        <v>1</v>
      </c>
      <c r="M2808" s="8">
        <f>L2808*G2808</f>
        <v/>
      </c>
      <c r="P2808" s="9" t="n"/>
    </row>
    <row r="2809">
      <c r="A2809" s="11" t="inlineStr">
        <is>
          <t>Haunting Apparition / Visonha Macabra</t>
        </is>
      </c>
      <c r="B2809" s="11" t="inlineStr">
        <is>
          <t>Creature — Spirit</t>
        </is>
      </c>
      <c r="C2809" s="11" t="inlineStr">
        <is>
          <t>Uncommon / Incomum</t>
        </is>
      </c>
      <c r="D2809" s="11" t="inlineStr">
        <is>
          <t>Flying As this creature enters, choose an opponent. Haunting Apparition's power is equal to 1 plus the number of green creature cards in the chosen player's graveyard.</t>
        </is>
      </c>
      <c r="E2809" s="11" t="inlineStr">
        <is>
          <t>{1}{U}{B}</t>
        </is>
      </c>
      <c r="F2809" s="11" t="inlineStr">
        <is>
          <t>Preto, Azul</t>
        </is>
      </c>
      <c r="G2809" s="8" t="n">
        <v>0.15</v>
      </c>
      <c r="H2809" s="11" t="inlineStr">
        <is>
          <t>Mirage (MIR)</t>
        </is>
      </c>
      <c r="I2809" s="11" t="inlineStr">
        <is>
          <t>Não</t>
        </is>
      </c>
      <c r="J2809" s="11" t="n">
        <v>1996</v>
      </c>
      <c r="K2809" s="11" t="inlineStr">
        <is>
          <t>1+*/2</t>
        </is>
      </c>
      <c r="L2809" s="11" t="n">
        <v>1</v>
      </c>
      <c r="M2809" s="8">
        <f>L2809*G2809</f>
        <v/>
      </c>
      <c r="P2809" s="9" t="n"/>
    </row>
    <row r="2810">
      <c r="A2810" s="11" t="inlineStr">
        <is>
          <t>Kjeldoran Frostbeast / Criatura do Gelo Kjeldorana</t>
        </is>
      </c>
      <c r="B2810" s="11" t="inlineStr">
        <is>
          <t>Creature — Elemental Beast</t>
        </is>
      </c>
      <c r="C2810" s="11" t="inlineStr">
        <is>
          <t>Uncommon / Incomum</t>
        </is>
      </c>
      <c r="D2810" s="11" t="inlineStr">
        <is>
          <t>At end of combat, destroy all creatures blocking or blocked by this creature.</t>
        </is>
      </c>
      <c r="E2810" s="11" t="inlineStr">
        <is>
          <t>{3}{G}{W}</t>
        </is>
      </c>
      <c r="F2810" s="11" t="inlineStr">
        <is>
          <t>Verde, Branco</t>
        </is>
      </c>
      <c r="G2810" s="8" t="n">
        <v>0.21</v>
      </c>
      <c r="H2810" s="11" t="inlineStr">
        <is>
          <t>Ice Age (ICE)</t>
        </is>
      </c>
      <c r="I2810" s="11" t="inlineStr">
        <is>
          <t>Não</t>
        </is>
      </c>
      <c r="J2810" s="11" t="n">
        <v>1995</v>
      </c>
      <c r="K2810" s="10" t="n">
        <v>46114</v>
      </c>
      <c r="L2810" s="11" t="n">
        <v>1</v>
      </c>
      <c r="M2810" s="8">
        <f>L2810*G2810</f>
        <v/>
      </c>
      <c r="P2810" s="9" t="n"/>
    </row>
    <row r="2811">
      <c r="A2811" s="11" t="inlineStr">
        <is>
          <t>Rock Basilisk / Basilisco das Rochas</t>
        </is>
      </c>
      <c r="B2811" s="11" t="inlineStr">
        <is>
          <t>Creature — Basilisk</t>
        </is>
      </c>
      <c r="C2811" s="11" t="inlineStr">
        <is>
          <t>Rare / Rara</t>
        </is>
      </c>
      <c r="D2811" s="11" t="inlineStr">
        <is>
          <t>Whenever this creature blocks or becomes blocked by a non-Wall creature, destroy that creature at end of combat.</t>
        </is>
      </c>
      <c r="E2811" s="11" t="inlineStr">
        <is>
          <t>{4}{R}{G}</t>
        </is>
      </c>
      <c r="F2811" s="11" t="inlineStr">
        <is>
          <t>Verde, Vermelho</t>
        </is>
      </c>
      <c r="G2811" s="8" t="n">
        <v>3.49</v>
      </c>
      <c r="H2811" s="11" t="inlineStr">
        <is>
          <t>Mirage (MIR)</t>
        </is>
      </c>
      <c r="I2811" s="11" t="inlineStr">
        <is>
          <t>Não</t>
        </is>
      </c>
      <c r="J2811" s="11" t="n">
        <v>1996</v>
      </c>
      <c r="K2811" s="10" t="n">
        <v>46146</v>
      </c>
      <c r="L2811" s="11" t="n">
        <v>1</v>
      </c>
      <c r="M2811" s="8">
        <f>L2811*G2811</f>
        <v/>
      </c>
      <c r="N2811" s="11" t="inlineStr">
        <is>
          <t>Pasta</t>
        </is>
      </c>
      <c r="P2811" s="9" t="n"/>
    </row>
    <row r="2812">
      <c r="A2812" s="11" t="inlineStr">
        <is>
          <t>Benthic Djinn / Gênio Bêntico</t>
        </is>
      </c>
      <c r="B2812" s="11" t="inlineStr">
        <is>
          <t>Creature — Djinn</t>
        </is>
      </c>
      <c r="C2812" s="11" t="inlineStr">
        <is>
          <t>Rare / Rara</t>
        </is>
      </c>
      <c r="D2812" s="11" t="inlineStr">
        <is>
          <t>Islandwalk (This creature can't be blocked as long as defending player controls an Island.) At the beginning of your upkeep, you lose 2 life.</t>
        </is>
      </c>
      <c r="E2812" s="11" t="inlineStr">
        <is>
          <t>{2}{U}{B}</t>
        </is>
      </c>
      <c r="F2812" s="11" t="inlineStr">
        <is>
          <t>Preto, Azul</t>
        </is>
      </c>
      <c r="G2812" s="8" t="n">
        <v>1.9</v>
      </c>
      <c r="H2812" s="11" t="inlineStr">
        <is>
          <t>Mirage (MIR)</t>
        </is>
      </c>
      <c r="I2812" s="11" t="inlineStr">
        <is>
          <t>Não</t>
        </is>
      </c>
      <c r="J2812" s="11" t="n">
        <v>1996</v>
      </c>
      <c r="K2812" s="10" t="n">
        <v>46086</v>
      </c>
      <c r="L2812" s="11" t="n">
        <v>1</v>
      </c>
      <c r="M2812" s="8">
        <f>L2812*G2812</f>
        <v/>
      </c>
      <c r="N2812" s="11" t="inlineStr">
        <is>
          <t>Pasta</t>
        </is>
      </c>
      <c r="P2812" s="9" t="n"/>
    </row>
    <row r="2813">
      <c r="A2813" s="11" t="inlineStr">
        <is>
          <t>Glaciers</t>
        </is>
      </c>
      <c r="B2813" s="11" t="inlineStr">
        <is>
          <t>Enchantment</t>
        </is>
      </c>
      <c r="C2813" s="11" t="inlineStr">
        <is>
          <t>Rara / Rare</t>
        </is>
      </c>
      <c r="D2813" s="11" t="inlineStr">
        <is>
          <t>During your upkeep, pay {W}{U} or destroy Glaciers. All mountains become plains.</t>
        </is>
      </c>
      <c r="E2813" s="11" t="inlineStr">
        <is>
          <t>{2}{W}{U}</t>
        </is>
      </c>
      <c r="F2813" s="11" t="inlineStr">
        <is>
          <t>Branco e Azul / White and Blue</t>
        </is>
      </c>
      <c r="G2813" s="8" t="n">
        <v>1.5</v>
      </c>
      <c r="H2813" s="11" t="inlineStr">
        <is>
          <t>Ice Age (ICE)</t>
        </is>
      </c>
      <c r="I2813" s="11" t="inlineStr">
        <is>
          <t>Não</t>
        </is>
      </c>
      <c r="J2813" s="11" t="n">
        <v>1995</v>
      </c>
      <c r="L2813" s="11" t="n">
        <v>1</v>
      </c>
      <c r="M2813" s="8">
        <f>L2813*G2813</f>
        <v/>
      </c>
      <c r="N2813" s="11" t="inlineStr">
        <is>
          <t>Pasta</t>
        </is>
      </c>
      <c r="P2813" s="9" t="n"/>
    </row>
    <row r="2814">
      <c r="A2814" s="11" t="inlineStr">
        <is>
          <t>Wings of Aesthir / Asas de Aesthir</t>
        </is>
      </c>
      <c r="B2814" s="11" t="inlineStr">
        <is>
          <t>Enchantment — Aura</t>
        </is>
      </c>
      <c r="C2814" s="11" t="inlineStr">
        <is>
          <t>Uncommon / Incomum</t>
        </is>
      </c>
      <c r="D2814" s="11" t="inlineStr">
        <is>
          <t>Enchant creature Enchanted creature gets +1/+0 and has flying and first strike.</t>
        </is>
      </c>
      <c r="E2814" s="11" t="inlineStr">
        <is>
          <t>{W}{U}</t>
        </is>
      </c>
      <c r="F2814" s="11" t="inlineStr">
        <is>
          <t>Azul, Branco</t>
        </is>
      </c>
      <c r="G2814" s="8" t="n">
        <v>0.15</v>
      </c>
      <c r="H2814" s="11" t="inlineStr">
        <is>
          <t>Ice Age (ICE)</t>
        </is>
      </c>
      <c r="I2814" s="11" t="inlineStr">
        <is>
          <t>Não</t>
        </is>
      </c>
      <c r="J2814" s="11" t="n">
        <v>1995</v>
      </c>
      <c r="L2814" s="11" t="n">
        <v>1</v>
      </c>
      <c r="M2814" s="8">
        <f>L2814*G2814</f>
        <v/>
      </c>
      <c r="P2814" s="9" t="n"/>
    </row>
    <row r="2815">
      <c r="A2815" s="11" t="inlineStr">
        <is>
          <t>Kirtar's Wrath / Ira de Kirtar</t>
        </is>
      </c>
      <c r="B2815" s="11" t="inlineStr">
        <is>
          <t>Sorcery / Feitiço</t>
        </is>
      </c>
      <c r="C2815" s="11" t="inlineStr">
        <is>
          <t>Rare / Rara</t>
        </is>
      </c>
      <c r="D2815" s="11" t="inlineStr">
        <is>
          <t>Destroy all creatures. They can't be regenerated. Threshold — If there are seven or more cards in your graveyard, instead destroy all creatures, then create two 1/1 white Spirit creature tokens with flying. Creatures destroyed this way can't be regenerated. / Destrua todas as criaturas. Elas não podem ser regeneradas. Limiar — Se houver sete ou mais cards em seu cemitério, em vez disso, destrua todas as criaturas e crie duas fichas de criatura Espírito branca 1/1 com voar. As criaturas destruídas dessa forma não podem ser regeneradas.</t>
        </is>
      </c>
      <c r="E2815" s="11" t="inlineStr">
        <is>
          <t>{4}{W}{W}</t>
        </is>
      </c>
      <c r="F2815" s="11" t="inlineStr">
        <is>
          <t>Branco</t>
        </is>
      </c>
      <c r="G2815" s="8" t="n">
        <v>0.5</v>
      </c>
      <c r="H2815" s="11" t="inlineStr">
        <is>
          <t>Crimson Vow Commander (VOC)</t>
        </is>
      </c>
      <c r="I2815" s="11" t="inlineStr">
        <is>
          <t>Não</t>
        </is>
      </c>
      <c r="J2815" s="11" t="n">
        <v>2021</v>
      </c>
      <c r="L2815" s="11" t="n">
        <v>1</v>
      </c>
      <c r="M2815" s="8">
        <f>L2815*G2815</f>
        <v/>
      </c>
      <c r="P2815" s="9" t="n"/>
    </row>
    <row r="2816">
      <c r="A2816" s="11" t="inlineStr">
        <is>
          <t>Lord of Tresserhorn / Senhor de Tresserhorn</t>
        </is>
      </c>
      <c r="B2816" s="11" t="inlineStr">
        <is>
          <t>Legendary Creature — Zombie</t>
        </is>
      </c>
      <c r="C2816" s="11" t="inlineStr">
        <is>
          <t>Rare / Rara</t>
        </is>
      </c>
      <c r="D2816" s="11" t="inlineStr">
        <is>
          <t>When Lord of Tresserhorn enters, you lose 2 life, you sacrifice two creatures, and target opponent draws two cards. {B}: Regenerate Lord of Tresserhorn.</t>
        </is>
      </c>
      <c r="E2816" s="11" t="inlineStr">
        <is>
          <t>{1}{U}{B}{R}</t>
        </is>
      </c>
      <c r="F2816" s="11" t="inlineStr">
        <is>
          <t>Preto, Vermelho, Azul</t>
        </is>
      </c>
      <c r="G2816" s="8" t="n">
        <v>5.74</v>
      </c>
      <c r="H2816" s="11" t="inlineStr">
        <is>
          <t>Alliances (ALL)</t>
        </is>
      </c>
      <c r="I2816" s="11" t="inlineStr">
        <is>
          <t>Não</t>
        </is>
      </c>
      <c r="J2816" s="11" t="n">
        <v>1996</v>
      </c>
      <c r="K2816" s="10" t="n">
        <v>46122</v>
      </c>
      <c r="L2816" s="11" t="n">
        <v>1</v>
      </c>
      <c r="M2816" s="8">
        <f>L2816*G2816</f>
        <v/>
      </c>
      <c r="N2816" s="11" t="inlineStr">
        <is>
          <t>Pasta</t>
        </is>
      </c>
      <c r="P2816" s="9" t="n"/>
    </row>
    <row r="2817">
      <c r="A2817" s="11" t="inlineStr">
        <is>
          <t>Essence Vortex</t>
        </is>
      </c>
      <c r="B2817" s="11" t="inlineStr">
        <is>
          <t>Mágica Instantânea / Instant</t>
        </is>
      </c>
      <c r="C2817" s="11" t="inlineStr">
        <is>
          <t>Rara / Rare</t>
        </is>
      </c>
      <c r="D2817" s="11" t="inlineStr">
        <is>
          <t>Bury target creature. That creature's controller may counter this spell by paying the creature's toughness in life. Effects that prevent or redirect damage cannot be used to counter this loss of life.</t>
        </is>
      </c>
      <c r="E2817" s="11" t="inlineStr">
        <is>
          <t>{1}{U}{B}</t>
        </is>
      </c>
      <c r="F2817" s="11" t="inlineStr">
        <is>
          <t>Azul e Preto / Blue and Black</t>
        </is>
      </c>
      <c r="G2817" s="8" t="n">
        <v>0.19</v>
      </c>
      <c r="H2817" s="11" t="inlineStr">
        <is>
          <t>Homelands (HML)</t>
        </is>
      </c>
      <c r="I2817" s="11" t="inlineStr">
        <is>
          <t>Não</t>
        </is>
      </c>
      <c r="J2817" s="11" t="n">
        <v>1995</v>
      </c>
      <c r="L2817" s="11" t="n">
        <v>1</v>
      </c>
      <c r="M2817" s="8">
        <f>L2817*G2817</f>
        <v/>
      </c>
      <c r="P2817" s="9" t="n"/>
    </row>
    <row r="2818">
      <c r="A2818" s="11" t="inlineStr">
        <is>
          <t>Viridian Longbow / Arco Longo Viridiano</t>
        </is>
      </c>
      <c r="B2818" s="11" t="inlineStr">
        <is>
          <t>Artifact — Equipment / Artefato — Equipamento</t>
        </is>
      </c>
      <c r="C2818" s="11" t="inlineStr">
        <is>
          <t>Common / Comum</t>
        </is>
      </c>
      <c r="D2818" s="11" t="inlineStr">
        <is>
          <t>Equipped creature has "{T}: This creature deals 1 damage to any target." Equip {3} ({3}: Attach to target creature you control. Equip only as a sorcery.) / A criatura equipada tem "{T}: Ela causa 1 ponto de dano a qualquer alvo". Equipar {3} ({3}: Anexe este equipamento à criatura alvo que você controla. Equipe somente como um feitiço.)</t>
        </is>
      </c>
      <c r="E2818" s="11" t="inlineStr">
        <is>
          <t>{1}</t>
        </is>
      </c>
      <c r="F2818" s="11" t="inlineStr">
        <is>
          <t>Incolor</t>
        </is>
      </c>
      <c r="G2818" s="8" t="n">
        <v>1.79</v>
      </c>
      <c r="H2818" s="11" t="inlineStr">
        <is>
          <t>Mirrodin (MRD)</t>
        </is>
      </c>
      <c r="I2818" s="11" t="inlineStr">
        <is>
          <t>Não</t>
        </is>
      </c>
      <c r="J2818" s="11" t="n">
        <v>2003</v>
      </c>
      <c r="L2818" s="11" t="n">
        <v>1</v>
      </c>
      <c r="M2818" s="8">
        <f>L2818*G2818</f>
        <v/>
      </c>
      <c r="N2818" s="11" t="inlineStr">
        <is>
          <t>Pasta</t>
        </is>
      </c>
      <c r="P2818" s="9" t="n"/>
    </row>
    <row r="2819">
      <c r="A2819" s="11" t="inlineStr">
        <is>
          <t>Frogmite / Batracóide</t>
        </is>
      </c>
      <c r="B2819" s="11" t="inlineStr">
        <is>
          <t>Artifact Creature — Frog / Criatura Artefato</t>
        </is>
      </c>
      <c r="C2819" s="11" t="inlineStr">
        <is>
          <t>Common / Comum</t>
        </is>
      </c>
      <c r="D2819" s="11" t="inlineStr">
        <is>
          <t>Affinity for artifacts (This spell costs {1} less to cast for each artifact you control.) / Afinidade por artefatos (Esta mágica custa {1} a menos para jogar para cada artefato que você controla.)</t>
        </is>
      </c>
      <c r="E2819" s="11" t="inlineStr">
        <is>
          <t>{4}</t>
        </is>
      </c>
      <c r="F2819" s="11" t="inlineStr">
        <is>
          <t>Incolor</t>
        </is>
      </c>
      <c r="G2819" s="8" t="n">
        <v>0.32</v>
      </c>
      <c r="H2819" s="11" t="inlineStr">
        <is>
          <t>Mirrodin (MRD)</t>
        </is>
      </c>
      <c r="I2819" s="11" t="inlineStr">
        <is>
          <t>Não</t>
        </is>
      </c>
      <c r="J2819" s="11" t="n">
        <v>2003</v>
      </c>
      <c r="K2819" s="10" t="n">
        <v>46055</v>
      </c>
      <c r="L2819" s="11" t="n">
        <v>4</v>
      </c>
      <c r="M2819" s="8">
        <f>L2819*G2819</f>
        <v/>
      </c>
      <c r="P2819" s="9" t="n"/>
    </row>
    <row r="2820">
      <c r="A2820" s="11" t="inlineStr">
        <is>
          <t>Myr Mindservant / Myr Ataca-Mentes</t>
        </is>
      </c>
      <c r="B2820" s="11" t="inlineStr">
        <is>
          <t>Artifact Creature — Myr / Criatura Artefato — Myr</t>
        </is>
      </c>
      <c r="C2820" s="11" t="inlineStr">
        <is>
          <t>Uncommon / Incomum</t>
        </is>
      </c>
      <c r="D2820" s="11" t="inlineStr">
        <is>
          <t>{2}, {T}: Shuffle your library. / {2}, {T}: Embaralhe seu grimório.</t>
        </is>
      </c>
      <c r="E2820" s="11" t="inlineStr">
        <is>
          <t>{1}</t>
        </is>
      </c>
      <c r="F2820" s="11" t="inlineStr">
        <is>
          <t>Incolor</t>
        </is>
      </c>
      <c r="G2820" s="8" t="n">
        <v>0.25</v>
      </c>
      <c r="H2820" s="11" t="inlineStr">
        <is>
          <t>Mirrodin (MRD)</t>
        </is>
      </c>
      <c r="I2820" s="11" t="inlineStr">
        <is>
          <t>Não</t>
        </is>
      </c>
      <c r="J2820" s="11" t="n">
        <v>2003</v>
      </c>
      <c r="K2820" s="10" t="n">
        <v>46023</v>
      </c>
      <c r="L2820" s="11" t="n">
        <v>1</v>
      </c>
      <c r="M2820" s="8">
        <f>L2820*G2820</f>
        <v/>
      </c>
      <c r="P2820" s="9" t="n"/>
    </row>
    <row r="2821">
      <c r="A2821" s="11" t="inlineStr">
        <is>
          <t>Aether Spellbomb / Magibomba de Éter</t>
        </is>
      </c>
      <c r="B2821" s="11" t="inlineStr">
        <is>
          <t>Artifact / Artefato</t>
        </is>
      </c>
      <c r="C2821" s="11" t="inlineStr">
        <is>
          <t>Common / Comum</t>
        </is>
      </c>
      <c r="D2821" s="11" t="inlineStr">
        <is>
          <t>{U}, Sacrifice this artifact: Return target creature to its owner's hand. {1}, Sacrifice this artifact: Draw a card. / {U}, Sacrifique Magibomba de Éter: Devolve a criatura alvo para a mão de seu dono. {1}, Sacrifique Magibomba de Éter: Compre um card.</t>
        </is>
      </c>
      <c r="E2821" s="11" t="inlineStr">
        <is>
          <t>{1}</t>
        </is>
      </c>
      <c r="F2821" s="11" t="inlineStr">
        <is>
          <t>Azul</t>
        </is>
      </c>
      <c r="G2821" s="8" t="n">
        <v>0.45</v>
      </c>
      <c r="H2821" s="11" t="inlineStr">
        <is>
          <t>Modern Masters (MMA)</t>
        </is>
      </c>
      <c r="I2821" s="11" t="inlineStr">
        <is>
          <t>Não</t>
        </is>
      </c>
      <c r="J2821" s="11" t="n">
        <v>2013</v>
      </c>
      <c r="L2821" s="11" t="n">
        <v>2</v>
      </c>
      <c r="M2821" s="8">
        <f>L2821*G2821</f>
        <v/>
      </c>
      <c r="P2821" s="9" t="n"/>
    </row>
    <row r="2822">
      <c r="A2822" s="11" t="inlineStr">
        <is>
          <t>School of the Unseen / Escola do Ilusionismo</t>
        </is>
      </c>
      <c r="B2822" s="11" t="inlineStr">
        <is>
          <t>Terreno / Land</t>
        </is>
      </c>
      <c r="C2822" s="11" t="inlineStr">
        <is>
          <t>Incomum / Uncommon</t>
        </is>
      </c>
      <c r="D2822" s="11" t="inlineStr">
        <is>
          <t>{T}: Add one colorless mana to your mana pool. {2}, {T}: Add one mana of any color to your mana pool.</t>
        </is>
      </c>
      <c r="F2822" s="11" t="inlineStr">
        <is>
          <t>Incolor / Colorless</t>
        </is>
      </c>
      <c r="G2822" s="8" t="n">
        <v>0.18</v>
      </c>
      <c r="H2822" s="11" t="inlineStr">
        <is>
          <t>Alliances (ALL)</t>
        </is>
      </c>
      <c r="I2822" s="11" t="inlineStr">
        <is>
          <t>Não</t>
        </is>
      </c>
      <c r="J2822" s="11" t="n">
        <v>1996</v>
      </c>
      <c r="L2822" s="11" t="n">
        <v>1</v>
      </c>
      <c r="M2822" s="8">
        <f>L2822*G2822</f>
        <v/>
      </c>
      <c r="P2822" s="9" t="n"/>
    </row>
    <row r="2823">
      <c r="A2823" s="11" t="inlineStr">
        <is>
          <t>Salt Marsh / Pântano Salgado</t>
        </is>
      </c>
      <c r="B2823" s="11" t="inlineStr">
        <is>
          <t>Land / Terreno</t>
        </is>
      </c>
      <c r="C2823" s="11" t="inlineStr">
        <is>
          <t>Uncommon / Incomum</t>
        </is>
      </c>
      <c r="D2823" s="11" t="inlineStr">
        <is>
          <t>This land enters tapped. {T}: Add {U} or {B}. / Pântano Salgado entra em jogo virado. {T}: Adiciona {U} ou {B} à sua reserva de mana.</t>
        </is>
      </c>
      <c r="F2823" s="11" t="inlineStr">
        <is>
          <t>Preto, Azul</t>
        </is>
      </c>
      <c r="G2823" s="8" t="n">
        <v>0.6</v>
      </c>
      <c r="H2823" s="11" t="inlineStr">
        <is>
          <t>Eighth Edition (8ED)</t>
        </is>
      </c>
      <c r="I2823" s="11" t="inlineStr">
        <is>
          <t>Não</t>
        </is>
      </c>
      <c r="J2823" s="11" t="n">
        <v>2003</v>
      </c>
      <c r="L2823" s="11" t="n">
        <v>1</v>
      </c>
      <c r="M2823" s="8">
        <f>L2823*G2823</f>
        <v/>
      </c>
      <c r="P2823" s="9" t="n"/>
    </row>
    <row r="2824">
      <c r="A2824" s="11" t="inlineStr">
        <is>
          <t>Oasis</t>
        </is>
      </c>
      <c r="B2824" s="11" t="inlineStr">
        <is>
          <t>Land</t>
        </is>
      </c>
      <c r="C2824" s="11" t="inlineStr">
        <is>
          <t>Uncommon / Incomum</t>
        </is>
      </c>
      <c r="D2824" s="11" t="inlineStr">
        <is>
          <t>{T}: Prevent the next 1 damage that would be dealt to target creature this turn.</t>
        </is>
      </c>
      <c r="F2824" s="11" t="inlineStr">
        <is>
          <t>Incolor</t>
        </is>
      </c>
      <c r="G2824" s="8" t="n">
        <v>0.2</v>
      </c>
      <c r="H2824" s="11" t="inlineStr">
        <is>
          <t xml:space="preserve">Fourth Edition </t>
        </is>
      </c>
      <c r="I2824" s="11" t="inlineStr">
        <is>
          <t>Não</t>
        </is>
      </c>
      <c r="J2824" s="11" t="n">
        <v>1995</v>
      </c>
      <c r="L2824" s="11" t="n">
        <v>1</v>
      </c>
      <c r="M2824" s="8">
        <f>L2824*G2824</f>
        <v/>
      </c>
      <c r="P2824" s="9" t="n"/>
    </row>
    <row r="2825">
      <c r="A2825" s="11" t="inlineStr">
        <is>
          <t>Barren Moor</t>
        </is>
      </c>
      <c r="B2825" s="11" t="inlineStr">
        <is>
          <t>Terreno / Land</t>
        </is>
      </c>
      <c r="C2825" s="11" t="inlineStr">
        <is>
          <t>Comum / Common</t>
        </is>
      </c>
      <c r="D2825" s="11" t="inlineStr">
        <is>
          <t>Barren Moor comes into play tapped. {T}: Add {B} to your mana pool. Cycling {B} ({B}, Discard this card from your hand: Draw a card.)</t>
        </is>
      </c>
      <c r="E2825" s="11" t="inlineStr">
        <is>
          <t>N/A</t>
        </is>
      </c>
      <c r="F2825" s="11" t="inlineStr">
        <is>
          <t>Preto / Black</t>
        </is>
      </c>
      <c r="G2825" s="8" t="n">
        <v>0.39</v>
      </c>
      <c r="H2825" s="11" t="inlineStr">
        <is>
          <t>Onslaught (ONS)</t>
        </is>
      </c>
      <c r="I2825" s="11" t="inlineStr">
        <is>
          <t>Não</t>
        </is>
      </c>
      <c r="J2825" s="11" t="n">
        <v>2002</v>
      </c>
      <c r="L2825" s="11" t="n">
        <v>1</v>
      </c>
      <c r="M2825" s="8">
        <f>L2825*G2825</f>
        <v/>
      </c>
      <c r="P2825" s="9" t="n"/>
    </row>
    <row r="2826">
      <c r="A2826" s="11" t="inlineStr">
        <is>
          <t>Dwarven Hold / Forte dos Anões</t>
        </is>
      </c>
      <c r="B2826" s="11" t="inlineStr">
        <is>
          <t>Land</t>
        </is>
      </c>
      <c r="C2826" s="11" t="inlineStr">
        <is>
          <t>Rare / Rara</t>
        </is>
      </c>
      <c r="D2826" s="11" t="inlineStr">
        <is>
          <t>This land enters tapped. You may choose not to untap this land during your untap step. At the beginning of your upkeep, if this land is tapped, put a storage counter on it. {T}, Remove any number of storage counters from this land: Add {R} for each storage counter removed this way.</t>
        </is>
      </c>
      <c r="F2826" s="11" t="inlineStr">
        <is>
          <t>Vermelho</t>
        </is>
      </c>
      <c r="G2826" s="8" t="n">
        <v>3.39</v>
      </c>
      <c r="H2826" s="11" t="inlineStr">
        <is>
          <t>Fifth Edition (5ED)</t>
        </is>
      </c>
      <c r="I2826" s="11" t="inlineStr">
        <is>
          <t>Não</t>
        </is>
      </c>
      <c r="J2826" s="11" t="n">
        <v>1997</v>
      </c>
      <c r="L2826" s="11" t="n">
        <v>1</v>
      </c>
      <c r="M2826" s="8">
        <f>L2826*G2826</f>
        <v/>
      </c>
      <c r="N2826" s="11" t="inlineStr">
        <is>
          <t>Pasta</t>
        </is>
      </c>
      <c r="P2826" s="9" t="n"/>
    </row>
    <row r="2827">
      <c r="A2827" s="11" t="inlineStr">
        <is>
          <t>Oasis</t>
        </is>
      </c>
      <c r="B2827" s="11" t="inlineStr">
        <is>
          <t>Land</t>
        </is>
      </c>
      <c r="C2827" s="11" t="inlineStr">
        <is>
          <t>Uncommon / Incomum</t>
        </is>
      </c>
      <c r="D2827" s="11" t="inlineStr">
        <is>
          <t>{T}: Prevent the next 1 damage that would be dealt to target creature this turn.</t>
        </is>
      </c>
      <c r="F2827" s="11" t="inlineStr">
        <is>
          <t>Incolor</t>
        </is>
      </c>
      <c r="G2827" s="8" t="n">
        <v>0.99</v>
      </c>
      <c r="H2827" s="11" t="inlineStr">
        <is>
          <t>Fourth Edition (BB)</t>
        </is>
      </c>
      <c r="I2827" s="11" t="inlineStr">
        <is>
          <t>Não</t>
        </is>
      </c>
      <c r="J2827" s="11" t="n">
        <v>1995</v>
      </c>
      <c r="L2827" s="11" t="n">
        <v>1</v>
      </c>
      <c r="M2827" s="8">
        <f>L2827*G2827</f>
        <v/>
      </c>
      <c r="P2827" s="9" t="n"/>
    </row>
    <row r="2828">
      <c r="A2828" s="11" t="inlineStr">
        <is>
          <t>Svyelunite Temple / Templo Svyelunita</t>
        </is>
      </c>
      <c r="B2828" s="11" t="inlineStr">
        <is>
          <t>Terreno / Land</t>
        </is>
      </c>
      <c r="C2828" s="11" t="inlineStr">
        <is>
          <t>Incomum / Uncommon</t>
        </is>
      </c>
      <c r="D2828" s="11" t="inlineStr">
        <is>
          <t>Svyelunite Temple comes into play tapped. {T}: Add {U} to your mana pool. {T}, Sacrifice Svyelunite Temple: Add {U}{U} to your mana pool.</t>
        </is>
      </c>
      <c r="F2828" s="11" t="inlineStr">
        <is>
          <t>Azul</t>
        </is>
      </c>
      <c r="G2828" s="8" t="n">
        <v>2.11</v>
      </c>
      <c r="H2828" s="11" t="inlineStr">
        <is>
          <t>Fallen Empires (FEM)</t>
        </is>
      </c>
      <c r="I2828" s="11" t="inlineStr">
        <is>
          <t>Não</t>
        </is>
      </c>
      <c r="J2828" s="11" t="n">
        <v>1994</v>
      </c>
      <c r="L2828" s="11" t="n">
        <v>1</v>
      </c>
      <c r="M2828" s="8">
        <f>L2828*G2828</f>
        <v/>
      </c>
      <c r="N2828" s="11" t="inlineStr">
        <is>
          <t>Pasta</t>
        </is>
      </c>
      <c r="P2828" s="9" t="n"/>
    </row>
    <row r="2829">
      <c r="A2829" s="11" t="inlineStr">
        <is>
          <t>Crystal Rod / Bastão de Cristal</t>
        </is>
      </c>
      <c r="B2829" s="11" t="inlineStr">
        <is>
          <t>Artifact / Artefato</t>
        </is>
      </c>
      <c r="C2829" s="11" t="inlineStr">
        <is>
          <t>Uncommon / Incomum</t>
        </is>
      </c>
      <c r="D2829" s="11" t="inlineStr">
        <is>
          <t>Whenever a player casts a blue spell, you may pay {1}. If you do, you gain 1 life. / Toda vez que um jogador jogar uma mágica azul, você pode pagar {1}. Se o fizer, você ganha 1 ponto de vida.</t>
        </is>
      </c>
      <c r="E2829" s="11" t="inlineStr">
        <is>
          <t>{1}</t>
        </is>
      </c>
      <c r="F2829" s="11" t="inlineStr">
        <is>
          <t>Incolor</t>
        </is>
      </c>
      <c r="G2829" s="8" t="n">
        <v>0.2</v>
      </c>
      <c r="H2829" s="11" t="inlineStr">
        <is>
          <t>Fourth Edition (BB)</t>
        </is>
      </c>
      <c r="I2829" s="11" t="inlineStr">
        <is>
          <t>Não</t>
        </is>
      </c>
      <c r="J2829" s="11" t="n">
        <v>1995</v>
      </c>
      <c r="L2829" s="11" t="n">
        <v>1</v>
      </c>
      <c r="M2829" s="8">
        <f>L2829*G2829</f>
        <v/>
      </c>
      <c r="P2829" s="9" t="n"/>
    </row>
    <row r="2830">
      <c r="A2830" s="11" t="inlineStr">
        <is>
          <t>Crystal Rod / Bastão de Cristal</t>
        </is>
      </c>
      <c r="B2830" s="11" t="inlineStr">
        <is>
          <t>Artifact / Artefato</t>
        </is>
      </c>
      <c r="C2830" s="11" t="inlineStr">
        <is>
          <t>Uncommon / Incomum</t>
        </is>
      </c>
      <c r="D2830" s="11" t="inlineStr">
        <is>
          <t>Whenever a player casts a blue spell, you may pay {1}. If you do, you gain 1 life. / Toda vez que um jogador jogar uma mágica azul, você pode pagar {1}. Se o fizer, você ganha 1 ponto de vida.</t>
        </is>
      </c>
      <c r="E2830" s="11" t="inlineStr">
        <is>
          <t>{1}</t>
        </is>
      </c>
      <c r="F2830" s="11" t="inlineStr">
        <is>
          <t>Incolor</t>
        </is>
      </c>
      <c r="G2830" s="8" t="n">
        <v>0.09</v>
      </c>
      <c r="H2830" s="11" t="inlineStr">
        <is>
          <t>Fourth Edition</t>
        </is>
      </c>
      <c r="I2830" s="11" t="inlineStr">
        <is>
          <t>Não</t>
        </is>
      </c>
      <c r="J2830" s="11" t="n">
        <v>1995</v>
      </c>
      <c r="L2830" s="11" t="n">
        <v>1</v>
      </c>
      <c r="M2830" s="8">
        <f>L2830*G2830</f>
        <v/>
      </c>
      <c r="P2830" s="9" t="n"/>
    </row>
    <row r="2831">
      <c r="A2831" s="11" t="inlineStr">
        <is>
          <t>Onulet / Onuleto</t>
        </is>
      </c>
      <c r="B2831" s="11" t="inlineStr">
        <is>
          <t>Artifact Creature — Construct</t>
        </is>
      </c>
      <c r="C2831" s="11" t="inlineStr">
        <is>
          <t>Uncommon / Incomum</t>
        </is>
      </c>
      <c r="D2831" s="11" t="inlineStr">
        <is>
          <t>When this creature dies, you gain 2 life.</t>
        </is>
      </c>
      <c r="E2831" s="11" t="inlineStr">
        <is>
          <t>{3}</t>
        </is>
      </c>
      <c r="F2831" s="11" t="inlineStr">
        <is>
          <t>Incolor</t>
        </is>
      </c>
      <c r="G2831" s="8" t="n">
        <v>0.34</v>
      </c>
      <c r="H2831" s="11" t="inlineStr">
        <is>
          <t>Antiquities (ATQ)</t>
        </is>
      </c>
      <c r="I2831" s="11" t="inlineStr">
        <is>
          <t>Não</t>
        </is>
      </c>
      <c r="J2831" s="11" t="n">
        <v>1994</v>
      </c>
      <c r="K2831" s="10" t="n">
        <v>46055</v>
      </c>
      <c r="L2831" s="11" t="n">
        <v>2</v>
      </c>
      <c r="M2831" s="8">
        <f>L2831*G2831</f>
        <v/>
      </c>
      <c r="P2831" s="9" t="n"/>
    </row>
    <row r="2832">
      <c r="A2832" s="11" t="inlineStr">
        <is>
          <t>Coral Helm / Elmo de Coral</t>
        </is>
      </c>
      <c r="B2832" s="11" t="inlineStr">
        <is>
          <t>Artifact</t>
        </is>
      </c>
      <c r="C2832" s="11" t="inlineStr">
        <is>
          <t>Rare / Rara</t>
        </is>
      </c>
      <c r="D2832" s="11" t="inlineStr">
        <is>
          <t>{3}, Discard a card at random: Target creature gets +2/+2 until end of turn.</t>
        </is>
      </c>
      <c r="E2832" s="11" t="inlineStr">
        <is>
          <t>{3}</t>
        </is>
      </c>
      <c r="F2832" s="11" t="inlineStr">
        <is>
          <t>Incolor</t>
        </is>
      </c>
      <c r="G2832" s="8" t="n">
        <v>1.75</v>
      </c>
      <c r="H2832" s="11" t="inlineStr">
        <is>
          <t>Fourth Edition (BB)</t>
        </is>
      </c>
      <c r="I2832" s="11" t="inlineStr">
        <is>
          <t>Não</t>
        </is>
      </c>
      <c r="J2832" s="11" t="n">
        <v>1995</v>
      </c>
      <c r="L2832" s="11" t="n">
        <v>2</v>
      </c>
      <c r="M2832" s="8">
        <f>L2832*G2832</f>
        <v/>
      </c>
      <c r="N2832" s="11" t="inlineStr">
        <is>
          <t>Pasta</t>
        </is>
      </c>
      <c r="P2832" s="9" t="n"/>
    </row>
    <row r="2833">
      <c r="A2833" s="11" t="inlineStr">
        <is>
          <t>Aladdin's Lamp / Låmpada de Aladin</t>
        </is>
      </c>
      <c r="B2833" s="11" t="inlineStr">
        <is>
          <t>Artifact</t>
        </is>
      </c>
      <c r="C2833" s="11" t="inlineStr">
        <is>
          <t>Rare / Rara</t>
        </is>
      </c>
      <c r="D2833" s="11" t="inlineStr">
        <is>
          <t>{X}, {T}: The next time you would draw a card this turn, instead look at the top X cards of your library, put all but one of them on the bottom of your library in a random order, then draw a card. X can't be 0.</t>
        </is>
      </c>
      <c r="E2833" s="11" t="inlineStr">
        <is>
          <t>{10}</t>
        </is>
      </c>
      <c r="F2833" s="11" t="inlineStr">
        <is>
          <t>Incolor</t>
        </is>
      </c>
      <c r="G2833" s="8" t="n">
        <v>4.66</v>
      </c>
      <c r="H2833" s="11" t="inlineStr">
        <is>
          <t>Fourth Edition (BB)</t>
        </is>
      </c>
      <c r="I2833" s="11" t="inlineStr">
        <is>
          <t>Não</t>
        </is>
      </c>
      <c r="J2833" s="11" t="n">
        <v>1995</v>
      </c>
      <c r="L2833" s="11" t="n">
        <v>1</v>
      </c>
      <c r="M2833" s="8">
        <f>L2833*G2833</f>
        <v/>
      </c>
      <c r="N2833" s="11" t="inlineStr">
        <is>
          <t>Pasta</t>
        </is>
      </c>
      <c r="P2833" s="9" t="n"/>
    </row>
    <row r="2834">
      <c r="A2834" s="11" t="inlineStr">
        <is>
          <t>Green Mana Battery / Bateria de Mana Verde</t>
        </is>
      </c>
      <c r="B2834" s="11" t="inlineStr">
        <is>
          <t>Artifact</t>
        </is>
      </c>
      <c r="C2834" s="11" t="inlineStr">
        <is>
          <t>Rare / Rara</t>
        </is>
      </c>
      <c r="D2834" s="11" t="inlineStr">
        <is>
          <t>{2}, {T}: Put a charge counter on this artifact. {T}, Remove any number of charge counters from this artifact: Add {G}, then add an additional {G} for each charge counter removed this way.</t>
        </is>
      </c>
      <c r="E2834" s="11" t="inlineStr">
        <is>
          <t>{4}</t>
        </is>
      </c>
      <c r="F2834" s="11" t="inlineStr">
        <is>
          <t>Verde</t>
        </is>
      </c>
      <c r="G2834" s="8" t="n">
        <v>0.75</v>
      </c>
      <c r="H2834" s="11" t="inlineStr">
        <is>
          <t>Fourth Edition</t>
        </is>
      </c>
      <c r="I2834" s="11" t="inlineStr">
        <is>
          <t>Não</t>
        </is>
      </c>
      <c r="J2834" s="11" t="n">
        <v>1995</v>
      </c>
      <c r="L2834" s="11" t="n">
        <v>1</v>
      </c>
      <c r="M2834" s="8">
        <f>L2834*G2834</f>
        <v/>
      </c>
      <c r="P2834" s="9" t="n"/>
    </row>
    <row r="2835">
      <c r="A2835" s="11" t="inlineStr">
        <is>
          <t>Metamorfo / Shapeshifter</t>
        </is>
      </c>
      <c r="B2835" s="11" t="inlineStr">
        <is>
          <t>Criatura Artefato / Artifact Creature</t>
        </is>
      </c>
      <c r="C2835" s="11" t="inlineStr">
        <is>
          <t>Rara / Rare</t>
        </is>
      </c>
      <c r="D2835" s="11" t="inlineStr">
        <is>
          <t>A soma do poder e da resistência do Metamorfo é igual 7. Você define estes valores no momento em que o Metamorfo entra em jogo. Você pode alterá-los durante sua fase de manutenção. / The sum of Shapeshifter's power and toughness is 7. You choose these values as Shapeshifter comes into play. You may change these values during your upkeep.</t>
        </is>
      </c>
      <c r="E2835" s="11" t="inlineStr">
        <is>
          <t>{6}</t>
        </is>
      </c>
      <c r="F2835" s="11" t="inlineStr">
        <is>
          <t>Incolor</t>
        </is>
      </c>
      <c r="G2835" s="8" t="n">
        <v>0.43</v>
      </c>
      <c r="H2835" s="11" t="inlineStr">
        <is>
          <t>Fourth Edition</t>
        </is>
      </c>
      <c r="I2835" s="11" t="inlineStr">
        <is>
          <t>Não</t>
        </is>
      </c>
      <c r="J2835" s="11" t="n">
        <v>1995</v>
      </c>
      <c r="K2835" s="11" t="inlineStr">
        <is>
          <t>*/(7-*)</t>
        </is>
      </c>
      <c r="L2835" s="11" t="n">
        <v>1</v>
      </c>
      <c r="M2835" s="8">
        <f>L2835*G2835</f>
        <v/>
      </c>
      <c r="P2835" s="9" t="n"/>
    </row>
    <row r="2836">
      <c r="A2836" s="11" t="inlineStr">
        <is>
          <t>Whalebone Glider / Planador de Ossos de Baleia</t>
        </is>
      </c>
      <c r="B2836" s="11" t="inlineStr">
        <is>
          <t>Artifact</t>
        </is>
      </c>
      <c r="C2836" s="11" t="inlineStr">
        <is>
          <t>Uncommon / Incomum</t>
        </is>
      </c>
      <c r="D2836" s="11" t="inlineStr">
        <is>
          <t>{2}, {T}: Target creature with power 3 or less gains flying until end of turn.</t>
        </is>
      </c>
      <c r="E2836" s="11" t="inlineStr">
        <is>
          <t>{2}</t>
        </is>
      </c>
      <c r="F2836" s="11" t="inlineStr">
        <is>
          <t>Incolor</t>
        </is>
      </c>
      <c r="G2836" s="8" t="n">
        <v>0.16</v>
      </c>
      <c r="H2836" s="11" t="inlineStr">
        <is>
          <t>Ice Age (ICE)</t>
        </is>
      </c>
      <c r="I2836" s="11" t="inlineStr">
        <is>
          <t>Não</t>
        </is>
      </c>
      <c r="J2836" s="11" t="n">
        <v>1995</v>
      </c>
      <c r="L2836" s="11" t="n">
        <v>2</v>
      </c>
      <c r="M2836" s="8">
        <f>L2836*G2836</f>
        <v/>
      </c>
      <c r="P2836" s="9" t="n"/>
    </row>
    <row r="2837">
      <c r="A2837" s="11" t="inlineStr">
        <is>
          <t>Roterothopter / Roterotóptero</t>
        </is>
      </c>
      <c r="B2837" s="11" t="inlineStr">
        <is>
          <t>Artifact Creature — Thopter</t>
        </is>
      </c>
      <c r="C2837" s="11" t="inlineStr">
        <is>
          <t>Common / Comum</t>
        </is>
      </c>
      <c r="D2837" s="11" t="inlineStr">
        <is>
          <t>Flying {2}: This creature gets +1/+0 until end of turn. Activate no more than twice each turn.</t>
        </is>
      </c>
      <c r="E2837" s="11" t="inlineStr">
        <is>
          <t>{1}</t>
        </is>
      </c>
      <c r="F2837" s="11" t="inlineStr">
        <is>
          <t>Incolor</t>
        </is>
      </c>
      <c r="G2837" s="8" t="n">
        <v>0.18</v>
      </c>
      <c r="H2837" s="11" t="inlineStr">
        <is>
          <t>Homelands (HML)</t>
        </is>
      </c>
      <c r="I2837" s="11" t="inlineStr">
        <is>
          <t>Não</t>
        </is>
      </c>
      <c r="J2837" s="11" t="n">
        <v>1995</v>
      </c>
      <c r="K2837" s="11" t="inlineStr">
        <is>
          <t>0/2</t>
        </is>
      </c>
      <c r="L2837" s="11" t="n">
        <v>2</v>
      </c>
      <c r="M2837" s="8">
        <f>L2837*G2837</f>
        <v/>
      </c>
      <c r="P2837" s="9" t="n"/>
    </row>
    <row r="2838">
      <c r="A2838" s="11" t="inlineStr">
        <is>
          <t>Wooden Sphere / Esfera de Madeira</t>
        </is>
      </c>
      <c r="B2838" s="11" t="inlineStr">
        <is>
          <t>Artifact / Artefato</t>
        </is>
      </c>
      <c r="C2838" s="11" t="inlineStr">
        <is>
          <t>Uncommon / Incomum</t>
        </is>
      </c>
      <c r="D2838" s="11" t="inlineStr">
        <is>
          <t>Whenever a player casts a green spell, you may pay {1}. If you do, you gain 1 life. / Toda vez que um jogador jogar uma mágica verde, você pode pagar {1}. Se o fizer, você ganha 1 ponto de vida.</t>
        </is>
      </c>
      <c r="E2838" s="11" t="inlineStr">
        <is>
          <t>{1}</t>
        </is>
      </c>
      <c r="F2838" s="11" t="inlineStr">
        <is>
          <t>Incolor</t>
        </is>
      </c>
      <c r="G2838" s="8" t="n">
        <v>0.43</v>
      </c>
      <c r="H2838" s="11" t="inlineStr">
        <is>
          <t>Fourth Edition (BB)</t>
        </is>
      </c>
      <c r="I2838" s="11" t="inlineStr">
        <is>
          <t>Não</t>
        </is>
      </c>
      <c r="J2838" s="11" t="n">
        <v>1995</v>
      </c>
      <c r="L2838" s="11" t="n">
        <v>1</v>
      </c>
      <c r="M2838" s="8">
        <f>L2838*G2838</f>
        <v/>
      </c>
      <c r="P2838" s="9" t="n"/>
    </row>
    <row r="2839">
      <c r="A2839" s="11" t="inlineStr">
        <is>
          <t>Wooden Sphere / Esfera de Madeira</t>
        </is>
      </c>
      <c r="B2839" s="11" t="inlineStr">
        <is>
          <t>Artifact / Artefato</t>
        </is>
      </c>
      <c r="C2839" s="11" t="inlineStr">
        <is>
          <t>Uncommon / Incomum</t>
        </is>
      </c>
      <c r="D2839" s="11" t="inlineStr">
        <is>
          <t>Whenever a player casts a green spell, you may pay {1}. If you do, you gain 1 life. / Toda vez que um jogador jogar uma mágica verde, você pode pagar {1}. Se o fizer, você ganha 1 ponto de vida.</t>
        </is>
      </c>
      <c r="E2839" s="11" t="inlineStr">
        <is>
          <t>{1}</t>
        </is>
      </c>
      <c r="F2839" s="11" t="inlineStr">
        <is>
          <t>Incolor</t>
        </is>
      </c>
      <c r="G2839" s="8" t="n">
        <v>0.1</v>
      </c>
      <c r="H2839" s="11" t="inlineStr">
        <is>
          <t>Fourth Edition</t>
        </is>
      </c>
      <c r="I2839" s="11" t="inlineStr">
        <is>
          <t>Não</t>
        </is>
      </c>
      <c r="J2839" s="11" t="n">
        <v>1995</v>
      </c>
      <c r="L2839" s="11" t="n">
        <v>1</v>
      </c>
      <c r="M2839" s="8">
        <f>L2839*G2839</f>
        <v/>
      </c>
      <c r="P2839" s="9" t="n"/>
    </row>
    <row r="2840">
      <c r="A2840" s="11" t="inlineStr">
        <is>
          <t>Zelyon Sword</t>
        </is>
      </c>
      <c r="B2840" s="11" t="inlineStr">
        <is>
          <t>Artifact / Artefato</t>
        </is>
      </c>
      <c r="C2840" s="11" t="inlineStr">
        <is>
          <t>Rare / Rara</t>
        </is>
      </c>
      <c r="D2840" s="11" t="inlineStr">
        <is>
          <t>You may choose not to untap this artifact during your untap step. {3}, {T}: Target creature gets +2/+0 for as long as this artifact remains tapped.</t>
        </is>
      </c>
      <c r="E2840" s="11" t="inlineStr">
        <is>
          <t>{3}</t>
        </is>
      </c>
      <c r="F2840" s="11" t="inlineStr">
        <is>
          <t>Incolor</t>
        </is>
      </c>
      <c r="G2840" s="8" t="n">
        <v>4</v>
      </c>
      <c r="H2840" s="11" t="inlineStr">
        <is>
          <t>Fallen Empires (FEM)</t>
        </is>
      </c>
      <c r="I2840" s="11" t="inlineStr">
        <is>
          <t>Não</t>
        </is>
      </c>
      <c r="J2840" s="11" t="n">
        <v>1994</v>
      </c>
      <c r="L2840" s="11" t="n">
        <v>1</v>
      </c>
      <c r="M2840" s="8">
        <f>L2840*G2840</f>
        <v/>
      </c>
      <c r="N2840" s="11" t="inlineStr">
        <is>
          <t>Pasta</t>
        </is>
      </c>
      <c r="P2840" s="9" t="n"/>
    </row>
    <row r="2841">
      <c r="A2841" s="11" t="inlineStr">
        <is>
          <t>Bouteille de Salomon / Bottle of Solomon</t>
        </is>
      </c>
      <c r="B2841" s="11" t="inlineStr">
        <is>
          <t>Artifact / Artefato</t>
        </is>
      </c>
      <c r="C2841" s="11" t="inlineStr">
        <is>
          <t>Rara / Rare</t>
        </is>
      </c>
      <c r="D2841" s="11" t="inlineStr">
        <is>
          <t>{1}: Sacrifique a Bouteille de Salomon e jogue à pile ou face. Se seu adversário ganhar, a Bouteille lhe causa 5 pontos de dano. Se, ao contrário, você ganhar, um Djinn voador 5/5 entra imediatamente em jogo sob seu controle. Use uma ficha para representá-lo. O Djinn é tratado exatamente como uma criatura artefato normal, exceto que, se ele sair de jogo, ele é removido da partida. / {1}, Sacrifice Bottle of Solomon: Flip a coin. If your opponent wins the flip, Bottle of Solomon deals 5 damage to you. If you win the flip, put a 5/5 flying Djinn artifact creature token onto the battlefield. If the Djinn would leave the battlefield, exile it instead of putting it into any other zone.</t>
        </is>
      </c>
      <c r="E2841" s="11" t="inlineStr">
        <is>
          <t>{4}</t>
        </is>
      </c>
      <c r="F2841" s="11" t="inlineStr">
        <is>
          <t>Incolor</t>
        </is>
      </c>
      <c r="G2841" s="8" t="n">
        <v>2.4</v>
      </c>
      <c r="H2841" s="11" t="inlineStr">
        <is>
          <t>Fourth Edition (BB)</t>
        </is>
      </c>
      <c r="I2841" s="11" t="inlineStr">
        <is>
          <t>Não</t>
        </is>
      </c>
      <c r="J2841" s="11" t="n">
        <v>1993</v>
      </c>
      <c r="L2841" s="11" t="n">
        <v>1</v>
      </c>
      <c r="M2841" s="8">
        <f>L2841*G2841</f>
        <v/>
      </c>
      <c r="N2841" s="11" t="inlineStr">
        <is>
          <t>Pasta</t>
        </is>
      </c>
      <c r="P2841" s="9" t="n"/>
    </row>
    <row r="2842">
      <c r="A2842" s="11" t="inlineStr">
        <is>
          <t>Living Armor</t>
        </is>
      </c>
      <c r="B2842" s="11" t="inlineStr">
        <is>
          <t>Artifact / Artefato</t>
        </is>
      </c>
      <c r="C2842" s="11" t="inlineStr">
        <is>
          <t>Uncommon / Incomum</t>
        </is>
      </c>
      <c r="D2842" s="11" t="inlineStr">
        <is>
          <t>{T}, Sacrifice this artifact: Put X +0/+1 counters on target creature, where X is that creature's mana value.</t>
        </is>
      </c>
      <c r="E2842" s="11" t="inlineStr">
        <is>
          <t>{4}</t>
        </is>
      </c>
      <c r="F2842" s="11" t="inlineStr">
        <is>
          <t>Incolor</t>
        </is>
      </c>
      <c r="G2842" s="8" t="n">
        <v>0.09</v>
      </c>
      <c r="H2842" s="11" t="inlineStr">
        <is>
          <t>Chronicles</t>
        </is>
      </c>
      <c r="I2842" s="11" t="inlineStr">
        <is>
          <t>Não</t>
        </is>
      </c>
      <c r="J2842" s="11" t="n">
        <v>1995</v>
      </c>
      <c r="L2842" s="11" t="n">
        <v>2</v>
      </c>
      <c r="M2842" s="8">
        <f>L2842*G2842</f>
        <v/>
      </c>
      <c r="P2842" s="9" t="n"/>
    </row>
    <row r="2843">
      <c r="A2843" s="11" t="inlineStr">
        <is>
          <t>Cursed Rack / Ecúleo Amaldiçoado</t>
        </is>
      </c>
      <c r="B2843" s="11" t="inlineStr">
        <is>
          <t>Artifact / Artefato</t>
        </is>
      </c>
      <c r="C2843" s="11" t="inlineStr">
        <is>
          <t>Uncommon / Incomum</t>
        </is>
      </c>
      <c r="D2843" s="11" t="inlineStr">
        <is>
          <t>As this artifact enters, choose an opponent. The chosen player's maximum hand size is four.</t>
        </is>
      </c>
      <c r="E2843" s="11" t="inlineStr">
        <is>
          <t>{4}</t>
        </is>
      </c>
      <c r="F2843" s="11" t="inlineStr">
        <is>
          <t>Incolor</t>
        </is>
      </c>
      <c r="G2843" s="8" t="n">
        <v>0.5</v>
      </c>
      <c r="H2843" s="11" t="inlineStr">
        <is>
          <t>Fourth Edition (BB)</t>
        </is>
      </c>
      <c r="I2843" s="11" t="inlineStr">
        <is>
          <t>Não</t>
        </is>
      </c>
      <c r="J2843" s="11" t="n">
        <v>1995</v>
      </c>
      <c r="L2843" s="11" t="n">
        <v>1</v>
      </c>
      <c r="M2843" s="8">
        <f>L2843*G2843</f>
        <v/>
      </c>
      <c r="P2843" s="9" t="n"/>
    </row>
    <row r="2844">
      <c r="A2844" s="11" t="inlineStr">
        <is>
          <t>Cursed Rack / Ecúleo Amaldiçoado</t>
        </is>
      </c>
      <c r="B2844" s="11" t="inlineStr">
        <is>
          <t>Artifact / Artefato</t>
        </is>
      </c>
      <c r="C2844" s="11" t="inlineStr">
        <is>
          <t>Uncommon / Incomum</t>
        </is>
      </c>
      <c r="D2844" s="11" t="inlineStr">
        <is>
          <t>As this artifact enters, choose an opponent. The chosen player's maximum hand size is four.</t>
        </is>
      </c>
      <c r="E2844" s="11" t="inlineStr">
        <is>
          <t>{4}</t>
        </is>
      </c>
      <c r="F2844" s="11" t="inlineStr">
        <is>
          <t>Incolor</t>
        </is>
      </c>
      <c r="G2844" s="8" t="n">
        <v>0.4</v>
      </c>
      <c r="H2844" s="11" t="inlineStr">
        <is>
          <t>Fourth Edition</t>
        </is>
      </c>
      <c r="I2844" s="11" t="inlineStr">
        <is>
          <t>Não</t>
        </is>
      </c>
      <c r="J2844" s="11" t="n">
        <v>1995</v>
      </c>
      <c r="L2844" s="11" t="n">
        <v>1</v>
      </c>
      <c r="M2844" s="8">
        <f>L2844*G2844</f>
        <v/>
      </c>
      <c r="P2844" s="9" t="n"/>
    </row>
    <row r="2845">
      <c r="A2845" s="11" t="inlineStr">
        <is>
          <t>Skull Catapult / Catapulta de Crânios</t>
        </is>
      </c>
      <c r="B2845" s="11" t="inlineStr">
        <is>
          <t>Artifact / Artefato</t>
        </is>
      </c>
      <c r="C2845" s="11" t="inlineStr">
        <is>
          <t>Uncommon / Incomum</t>
        </is>
      </c>
      <c r="D2845" s="11" t="inlineStr">
        <is>
          <t>{1}, {T}, Sacrifice a creature: This artifact deals 2 damage to any target.</t>
        </is>
      </c>
      <c r="E2845" s="11" t="inlineStr">
        <is>
          <t>{4}</t>
        </is>
      </c>
      <c r="F2845" s="11" t="inlineStr">
        <is>
          <t>Incolor</t>
        </is>
      </c>
      <c r="G2845" s="8" t="n">
        <v>0.1</v>
      </c>
      <c r="H2845" s="11" t="inlineStr">
        <is>
          <t>Ice Age (ICE)</t>
        </is>
      </c>
      <c r="I2845" s="11" t="inlineStr">
        <is>
          <t>Não</t>
        </is>
      </c>
      <c r="J2845" s="11" t="n">
        <v>1995</v>
      </c>
      <c r="L2845" s="11" t="n">
        <v>1</v>
      </c>
      <c r="M2845" s="8">
        <f>L2845*G2845</f>
        <v/>
      </c>
      <c r="P2845" s="9" t="n"/>
    </row>
    <row r="2846">
      <c r="A2846" s="11" t="inlineStr">
        <is>
          <t>Mishra's Groundbreaker / Perfuratriz de Mishra</t>
        </is>
      </c>
      <c r="B2846" s="11" t="inlineStr">
        <is>
          <t>Artifact / Artefato</t>
        </is>
      </c>
      <c r="C2846" s="11" t="inlineStr">
        <is>
          <t>Uncommon / Incomum</t>
        </is>
      </c>
      <c r="D2846" s="11" t="inlineStr">
        <is>
          <t>{T}, Sacrifice this artifact: Target land becomes a 3/3 artifact creature that's still a land. (This effect lasts indefinitely.)</t>
        </is>
      </c>
      <c r="E2846" s="11" t="inlineStr">
        <is>
          <t>{4}</t>
        </is>
      </c>
      <c r="F2846" s="11" t="inlineStr">
        <is>
          <t>Incolor</t>
        </is>
      </c>
      <c r="G2846" s="8" t="n">
        <v>0.1</v>
      </c>
      <c r="H2846" s="11" t="inlineStr">
        <is>
          <t>Alliances (ALL)</t>
        </is>
      </c>
      <c r="I2846" s="11" t="inlineStr">
        <is>
          <t>Não</t>
        </is>
      </c>
      <c r="J2846" s="11" t="n">
        <v>1996</v>
      </c>
      <c r="L2846" s="11" t="n">
        <v>1</v>
      </c>
      <c r="M2846" s="8">
        <f>L2846*G2846</f>
        <v/>
      </c>
      <c r="P2846" s="9" t="n"/>
    </row>
    <row r="2847">
      <c r="A2847" s="11" t="inlineStr">
        <is>
          <t>Colossus of Sardia / Colosso de Sardia</t>
        </is>
      </c>
      <c r="B2847" s="11" t="inlineStr">
        <is>
          <t>Artifact Creature — Golem / Criatura Artefato — Golem</t>
        </is>
      </c>
      <c r="C2847" s="11" t="inlineStr">
        <is>
          <t>Rare / Rara</t>
        </is>
      </c>
      <c r="D2847" s="11" t="inlineStr">
        <is>
          <t>Trample (This creature can deal excess combat damage to the player or planeswalker it's attacking.) This creature doesn't untap during your untap step. {9}: Untap this creature. Activate only during your upkeep. / Atropelar (Se esta criatura fosse causar dano de combate suficiente para destruir seus bloqueadores, você pode fazer com que ela cause o resto de seu dano ao jogador defensor.) Colosso de Sardia não desvira durante a sua etapa de desvirar. {9}: Desvire Colosso de Sardia. Use esta habilidade somente durante sua manutenção.</t>
        </is>
      </c>
      <c r="E2847" s="11" t="inlineStr">
        <is>
          <t>{9}</t>
        </is>
      </c>
      <c r="F2847" s="11" t="inlineStr">
        <is>
          <t>Incolor</t>
        </is>
      </c>
      <c r="G2847" s="8" t="n">
        <v>6.75</v>
      </c>
      <c r="H2847" s="11" t="inlineStr">
        <is>
          <t>Fourth Edition (BB)</t>
        </is>
      </c>
      <c r="I2847" s="11" t="inlineStr">
        <is>
          <t>Não</t>
        </is>
      </c>
      <c r="J2847" s="11" t="n">
        <v>1995</v>
      </c>
      <c r="K2847" s="10" t="n">
        <v>46274</v>
      </c>
      <c r="L2847" s="11" t="n">
        <v>1</v>
      </c>
      <c r="M2847" s="8">
        <f>L2847*G2847</f>
        <v/>
      </c>
      <c r="N2847" s="11" t="inlineStr">
        <is>
          <t>Pasta</t>
        </is>
      </c>
      <c r="P2847" s="9" t="n"/>
    </row>
    <row r="2848">
      <c r="A2848" s="11" t="inlineStr">
        <is>
          <t>Armageddon Clock</t>
        </is>
      </c>
      <c r="B2848" s="11" t="inlineStr">
        <is>
          <t>Artefato / Artifact</t>
        </is>
      </c>
      <c r="C2848" s="11" t="inlineStr">
        <is>
          <t>Rara / Rare</t>
        </is>
      </c>
      <c r="D2848" s="11" t="inlineStr">
        <is>
          <t>During your upkeep, put one doom counter on Armageddon Clock. At the end of your upkeep, Armageddon Clock deals X damage to each player, where X is the number of doom counters on Armageddon Clock. During any upkeep, any player may pay {4} to remove a doom counter from Armageddon Clock.</t>
        </is>
      </c>
      <c r="E2848" s="11" t="inlineStr">
        <is>
          <t>{6}</t>
        </is>
      </c>
      <c r="F2848" s="11" t="inlineStr">
        <is>
          <t>Incolor</t>
        </is>
      </c>
      <c r="G2848" s="8" t="n">
        <v>0.43</v>
      </c>
      <c r="H2848" s="11" t="inlineStr">
        <is>
          <t>Fourth Edition</t>
        </is>
      </c>
      <c r="I2848" s="11" t="inlineStr">
        <is>
          <t>Não</t>
        </is>
      </c>
      <c r="J2848" s="11" t="n">
        <v>1995</v>
      </c>
      <c r="L2848" s="11" t="n">
        <v>1</v>
      </c>
      <c r="M2848" s="8">
        <f>L2848*G2848</f>
        <v/>
      </c>
      <c r="P2848" s="9" t="n"/>
    </row>
    <row r="2849">
      <c r="A2849" s="11" t="inlineStr">
        <is>
          <t>Icy Manipulator / Manipulador Gélido</t>
        </is>
      </c>
      <c r="B2849" s="11" t="inlineStr">
        <is>
          <t>Artifact / Artefato</t>
        </is>
      </c>
      <c r="C2849" s="11" t="inlineStr">
        <is>
          <t>Uncommon / Incomum</t>
        </is>
      </c>
      <c r="D2849" s="11" t="inlineStr">
        <is>
          <t>{1}, {T}: Tap target artifact, creature, or land. / {1}, {T}: Vire o artefato, a criatura ou o terreno alvo.</t>
        </is>
      </c>
      <c r="E2849" s="11" t="inlineStr">
        <is>
          <t>{4}</t>
        </is>
      </c>
      <c r="F2849" s="11" t="inlineStr">
        <is>
          <t>Incolor</t>
        </is>
      </c>
      <c r="G2849" s="8" t="n">
        <v>0.34</v>
      </c>
      <c r="H2849" s="11" t="inlineStr">
        <is>
          <t>Ice Age (ICE)</t>
        </is>
      </c>
      <c r="I2849" s="11" t="inlineStr">
        <is>
          <t>Não</t>
        </is>
      </c>
      <c r="J2849" s="11" t="n">
        <v>1995</v>
      </c>
      <c r="L2849" s="11" t="n">
        <v>1</v>
      </c>
      <c r="M2849" s="8">
        <f>L2849*G2849</f>
        <v/>
      </c>
      <c r="P2849" s="9" t="n"/>
    </row>
    <row r="2850">
      <c r="A2850" s="11" t="inlineStr">
        <is>
          <t>Jalum Tome</t>
        </is>
      </c>
      <c r="B2850" s="11" t="inlineStr">
        <is>
          <t>Artifact / Artefato</t>
        </is>
      </c>
      <c r="C2850" s="11" t="inlineStr">
        <is>
          <t>Incomum / Uncommon</t>
        </is>
      </c>
      <c r="D2850" s="11" t="inlineStr">
        <is>
          <t>{2}, {T}: Draw a card; then, choose and discard a card from your hand.</t>
        </is>
      </c>
      <c r="E2850" s="11" t="inlineStr">
        <is>
          <t>{3}</t>
        </is>
      </c>
      <c r="F2850" s="11" t="inlineStr">
        <is>
          <t>Incolor</t>
        </is>
      </c>
      <c r="G2850" s="8" t="n">
        <v>0.35</v>
      </c>
      <c r="H2850" s="11" t="inlineStr">
        <is>
          <t>Chronicles (CHR)</t>
        </is>
      </c>
      <c r="I2850" s="11" t="inlineStr">
        <is>
          <t>Não</t>
        </is>
      </c>
      <c r="J2850" s="11" t="n">
        <v>1995</v>
      </c>
      <c r="L2850" s="11" t="n">
        <v>1</v>
      </c>
      <c r="M2850" s="8">
        <f>L2850*G2850</f>
        <v/>
      </c>
      <c r="P2850" s="9" t="n"/>
    </row>
    <row r="2851">
      <c r="A2851" s="11" t="inlineStr">
        <is>
          <t>Juggernaut</t>
        </is>
      </c>
      <c r="B2851" s="11" t="inlineStr">
        <is>
          <t>Criatura Artefato / Artifact Creature</t>
        </is>
      </c>
      <c r="C2851" s="11" t="inlineStr">
        <is>
          <t>Incomum / Uncommon</t>
        </is>
      </c>
      <c r="D2851" s="11" t="inlineStr">
        <is>
          <t>Must attack each turn if possible. Can't be blocked by walls.</t>
        </is>
      </c>
      <c r="E2851" s="11" t="inlineStr">
        <is>
          <t>{4}</t>
        </is>
      </c>
      <c r="F2851" s="11" t="inlineStr">
        <is>
          <t>Incolor</t>
        </is>
      </c>
      <c r="G2851" s="8" t="n">
        <v>1.34</v>
      </c>
      <c r="H2851" s="11" t="inlineStr">
        <is>
          <t>Revised Edition</t>
        </is>
      </c>
      <c r="I2851" s="11" t="inlineStr">
        <is>
          <t>Não</t>
        </is>
      </c>
      <c r="J2851" s="11" t="n">
        <v>1994</v>
      </c>
      <c r="K2851" s="10" t="n">
        <v>46086</v>
      </c>
      <c r="L2851" s="11" t="n">
        <v>1</v>
      </c>
      <c r="M2851" s="8">
        <f>L2851*G2851</f>
        <v/>
      </c>
      <c r="N2851" s="11" t="inlineStr">
        <is>
          <t>Pasta</t>
        </is>
      </c>
      <c r="P2851" s="9" t="n"/>
    </row>
    <row r="2852">
      <c r="A2852" s="11" t="inlineStr">
        <is>
          <t>Throne of Bone / Trono de Ossos</t>
        </is>
      </c>
      <c r="B2852" s="11" t="inlineStr">
        <is>
          <t>Artifact / Artefato</t>
        </is>
      </c>
      <c r="C2852" s="11" t="inlineStr">
        <is>
          <t>Uncommon / Incomum</t>
        </is>
      </c>
      <c r="D2852" s="11" t="inlineStr">
        <is>
          <t>Whenever a player casts a black spell, you may pay {1}. If you do, you gain 1 life. / Toda vez que um jogador jogar uma mágica preta, você pode pagar {1}. Se o fizer, você ganha 1 ponto de vida.</t>
        </is>
      </c>
      <c r="E2852" s="11" t="inlineStr">
        <is>
          <t>{1}</t>
        </is>
      </c>
      <c r="F2852" s="11" t="inlineStr">
        <is>
          <t>Incolor</t>
        </is>
      </c>
      <c r="G2852" s="8" t="n">
        <v>0.43</v>
      </c>
      <c r="H2852" s="11" t="inlineStr">
        <is>
          <t>Fourth Edition (BB)</t>
        </is>
      </c>
      <c r="I2852" s="11" t="inlineStr">
        <is>
          <t>Não</t>
        </is>
      </c>
      <c r="J2852" s="11" t="n">
        <v>1995</v>
      </c>
      <c r="L2852" s="11" t="n">
        <v>3</v>
      </c>
      <c r="M2852" s="8">
        <f>L2852*G2852</f>
        <v/>
      </c>
      <c r="P2852" s="9" t="n"/>
    </row>
    <row r="2853">
      <c r="A2853" s="11" t="inlineStr">
        <is>
          <t>Soldevi Simulacrum / Simulacro Soldeviano</t>
        </is>
      </c>
      <c r="B2853" s="11" t="inlineStr">
        <is>
          <t>Artifact Creature — Soldier</t>
        </is>
      </c>
      <c r="C2853" s="11" t="inlineStr">
        <is>
          <t>Uncommon / Incomum</t>
        </is>
      </c>
      <c r="D2853" s="11" t="inlineStr">
        <is>
          <t>Cumulative upkeep {1} (At the beginning of your upkeep, put an age counter on this permanent, then sacrifice it unless you pay its upkeep cost for each age counter on it.) {1}: This creature gets +1/+0 until end of turn.</t>
        </is>
      </c>
      <c r="E2853" s="11" t="inlineStr">
        <is>
          <t>{4}</t>
        </is>
      </c>
      <c r="F2853" s="11" t="inlineStr">
        <is>
          <t>Incolor</t>
        </is>
      </c>
      <c r="G2853" s="8" t="n">
        <v>0.12</v>
      </c>
      <c r="H2853" s="11" t="inlineStr">
        <is>
          <t>Ice Age (ICE)</t>
        </is>
      </c>
      <c r="I2853" s="11" t="inlineStr">
        <is>
          <t>Não</t>
        </is>
      </c>
      <c r="J2853" s="11" t="n">
        <v>1995</v>
      </c>
      <c r="K2853" s="10" t="n">
        <v>46114</v>
      </c>
      <c r="L2853" s="11" t="n">
        <v>1</v>
      </c>
      <c r="M2853" s="8">
        <f>L2853*G2853</f>
        <v/>
      </c>
      <c r="P2853" s="9" t="n"/>
    </row>
    <row r="2854">
      <c r="A2854" s="11" t="inlineStr">
        <is>
          <t>Pentagram of the Ages / Pentagrama das Eras</t>
        </is>
      </c>
      <c r="B2854" s="11" t="inlineStr">
        <is>
          <t>Artifact / Artefato</t>
        </is>
      </c>
      <c r="C2854" s="11" t="inlineStr">
        <is>
          <t>Rare / Rara</t>
        </is>
      </c>
      <c r="D2854" s="11" t="inlineStr">
        <is>
          <t>{4}, {T}: The next time a source of your choice would deal damage to you this turn, prevent that damage.</t>
        </is>
      </c>
      <c r="E2854" s="11" t="inlineStr">
        <is>
          <t>{4}</t>
        </is>
      </c>
      <c r="F2854" s="11" t="inlineStr">
        <is>
          <t>Incolor</t>
        </is>
      </c>
      <c r="G2854" s="8" t="n">
        <v>0.31</v>
      </c>
      <c r="H2854" s="11" t="inlineStr">
        <is>
          <t>Ice Age (ICE)</t>
        </is>
      </c>
      <c r="I2854" s="11" t="inlineStr">
        <is>
          <t>Não</t>
        </is>
      </c>
      <c r="J2854" s="11" t="n">
        <v>1995</v>
      </c>
      <c r="L2854" s="11" t="n">
        <v>1</v>
      </c>
      <c r="M2854" s="8">
        <f>L2854*G2854</f>
        <v/>
      </c>
      <c r="P2854" s="9" t="n"/>
    </row>
    <row r="2855">
      <c r="A2855" s="11" t="inlineStr">
        <is>
          <t>Aladdin's Ring / Anel de Aladim</t>
        </is>
      </c>
      <c r="B2855" s="11" t="inlineStr">
        <is>
          <t>Artifact / Artefato</t>
        </is>
      </c>
      <c r="C2855" s="11" t="inlineStr">
        <is>
          <t>Rare / Rara</t>
        </is>
      </c>
      <c r="D2855" s="11" t="inlineStr">
        <is>
          <t>{8}, {T}: This artifact deals 4 damage to any target. / {8}, {T}: Anel de Aladim causa 4 pontos de dano à criatura ou ao jogador alvo.</t>
        </is>
      </c>
      <c r="E2855" s="11" t="inlineStr">
        <is>
          <t>{8}</t>
        </is>
      </c>
      <c r="F2855" s="11" t="inlineStr">
        <is>
          <t>Incolor</t>
        </is>
      </c>
      <c r="G2855" s="8" t="n">
        <v>3.59</v>
      </c>
      <c r="H2855" s="11" t="inlineStr">
        <is>
          <t>Arabian Nights (ARN)</t>
        </is>
      </c>
      <c r="I2855" s="11" t="inlineStr">
        <is>
          <t>Não</t>
        </is>
      </c>
      <c r="J2855" s="11" t="n">
        <v>1993</v>
      </c>
      <c r="L2855" s="11" t="n">
        <v>1</v>
      </c>
      <c r="M2855" s="8">
        <f>L2855*G2855</f>
        <v/>
      </c>
      <c r="N2855" s="11" t="inlineStr">
        <is>
          <t>Pasta</t>
        </is>
      </c>
      <c r="P2855" s="9" t="n"/>
    </row>
    <row r="2856">
      <c r="A2856" s="11" t="inlineStr">
        <is>
          <t>Soul Net / Rede de Almas</t>
        </is>
      </c>
      <c r="B2856" s="11" t="inlineStr">
        <is>
          <t>Artifact</t>
        </is>
      </c>
      <c r="C2856" s="11" t="inlineStr">
        <is>
          <t>Uncommon / Incomum</t>
        </is>
      </c>
      <c r="D2856" s="11" t="inlineStr">
        <is>
          <t>Whenever a creature dies, you may pay {1}. If you do, you gain 1 life.</t>
        </is>
      </c>
      <c r="E2856" s="11" t="inlineStr">
        <is>
          <t>{1}</t>
        </is>
      </c>
      <c r="F2856" s="11" t="inlineStr">
        <is>
          <t>Incolor</t>
        </is>
      </c>
      <c r="G2856" s="8" t="n">
        <v>0.1</v>
      </c>
      <c r="H2856" s="11" t="inlineStr">
        <is>
          <t>Fourth Edition</t>
        </is>
      </c>
      <c r="I2856" s="11" t="inlineStr">
        <is>
          <t>Não</t>
        </is>
      </c>
      <c r="J2856" s="11" t="n">
        <v>1995</v>
      </c>
      <c r="L2856" s="11" t="n">
        <v>2</v>
      </c>
      <c r="M2856" s="8">
        <f>L2856*G2856</f>
        <v/>
      </c>
      <c r="P2856" s="9" t="n"/>
    </row>
    <row r="2857">
      <c r="A2857" s="11" t="inlineStr">
        <is>
          <t>Nacre Talisman / Talismã de Nácar</t>
        </is>
      </c>
      <c r="B2857" s="11" t="inlineStr">
        <is>
          <t>Artifact</t>
        </is>
      </c>
      <c r="C2857" s="11" t="inlineStr">
        <is>
          <t>Uncommon / Incomum</t>
        </is>
      </c>
      <c r="D2857" s="11" t="inlineStr">
        <is>
          <t>Whenever a player casts a white spell, you may pay {3}. If you do, untap target permanent.</t>
        </is>
      </c>
      <c r="E2857" s="11" t="inlineStr">
        <is>
          <t>{2}</t>
        </is>
      </c>
      <c r="F2857" s="11" t="inlineStr">
        <is>
          <t>Incolor</t>
        </is>
      </c>
      <c r="G2857" s="8" t="n">
        <v>0.15</v>
      </c>
      <c r="H2857" s="11" t="inlineStr">
        <is>
          <t>Ice Age (ICE)</t>
        </is>
      </c>
      <c r="I2857" s="11" t="inlineStr">
        <is>
          <t>Não</t>
        </is>
      </c>
      <c r="J2857" s="11" t="n">
        <v>1995</v>
      </c>
      <c r="L2857" s="11" t="n">
        <v>1</v>
      </c>
      <c r="M2857" s="8">
        <f>L2857*G2857</f>
        <v/>
      </c>
      <c r="P2857" s="9" t="n"/>
    </row>
    <row r="2858">
      <c r="A2858" s="11" t="inlineStr">
        <is>
          <t>Flying Carpet / Tapete Voador</t>
        </is>
      </c>
      <c r="B2858" s="11" t="inlineStr">
        <is>
          <t>Artifact / Artefato</t>
        </is>
      </c>
      <c r="C2858" s="11" t="inlineStr">
        <is>
          <t>Rare / Rara</t>
        </is>
      </c>
      <c r="D2858" s="11" t="inlineStr">
        <is>
          <t>{2}, {T}: Target creature gains flying until end of turn. / {2}, {T}: A criatura alvo ganha a habilidade de voar até o final do turno. (Ela só pode ser bloqueada por criaturas com a habilidade de voar.)</t>
        </is>
      </c>
      <c r="E2858" s="11" t="inlineStr">
        <is>
          <t>{4}</t>
        </is>
      </c>
      <c r="F2858" s="11" t="inlineStr">
        <is>
          <t>Incolor</t>
        </is>
      </c>
      <c r="G2858" s="8" t="n">
        <v>2.8</v>
      </c>
      <c r="H2858" s="11" t="inlineStr">
        <is>
          <t>Fourth Edition (BB)</t>
        </is>
      </c>
      <c r="I2858" s="11" t="inlineStr">
        <is>
          <t>Não</t>
        </is>
      </c>
      <c r="J2858" s="11" t="n">
        <v>1995</v>
      </c>
      <c r="L2858" s="11" t="n">
        <v>1</v>
      </c>
      <c r="M2858" s="8">
        <f>L2858*G2858</f>
        <v/>
      </c>
      <c r="N2858" s="11" t="inlineStr">
        <is>
          <t>Pasta</t>
        </is>
      </c>
      <c r="P2858" s="9" t="n"/>
    </row>
    <row r="2859">
      <c r="A2859" s="11" t="inlineStr">
        <is>
          <t>Conservator / Protetor</t>
        </is>
      </c>
      <c r="B2859" s="11" t="inlineStr">
        <is>
          <t>Artifact</t>
        </is>
      </c>
      <c r="C2859" s="11" t="inlineStr">
        <is>
          <t>Uncommon / Incomum</t>
        </is>
      </c>
      <c r="D2859" s="11" t="inlineStr">
        <is>
          <t>{3}, {T}: Prevent the next 2 damage that would be dealt to you this turn.</t>
        </is>
      </c>
      <c r="E2859" s="11" t="inlineStr">
        <is>
          <t>{4}</t>
        </is>
      </c>
      <c r="F2859" s="11" t="inlineStr">
        <is>
          <t>Incolor</t>
        </is>
      </c>
      <c r="G2859" s="8" t="n">
        <v>0.17</v>
      </c>
      <c r="H2859" s="11" t="inlineStr">
        <is>
          <t>Fourth Edition</t>
        </is>
      </c>
      <c r="I2859" s="11" t="inlineStr">
        <is>
          <t>Não</t>
        </is>
      </c>
      <c r="J2859" s="11" t="n">
        <v>1995</v>
      </c>
      <c r="L2859" s="11" t="n">
        <v>1</v>
      </c>
      <c r="M2859" s="8">
        <f>L2859*G2859</f>
        <v/>
      </c>
      <c r="P2859" s="9" t="n"/>
    </row>
    <row r="2860">
      <c r="A2860" s="11" t="inlineStr">
        <is>
          <t>The Hive / A Colméia</t>
        </is>
      </c>
      <c r="B2860" s="11" t="inlineStr">
        <is>
          <t>Artifact / Artefato</t>
        </is>
      </c>
      <c r="C2860" s="11" t="inlineStr">
        <is>
          <t>Rare / Rara</t>
        </is>
      </c>
      <c r="D2860" s="11"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2860" s="11" t="inlineStr">
        <is>
          <t>{5}</t>
        </is>
      </c>
      <c r="F2860" s="11" t="inlineStr">
        <is>
          <t>Incolor</t>
        </is>
      </c>
      <c r="G2860" s="8" t="n">
        <v>1.5</v>
      </c>
      <c r="H2860" s="11" t="inlineStr">
        <is>
          <t>Fourth Edition (BB)</t>
        </is>
      </c>
      <c r="I2860" s="11" t="inlineStr">
        <is>
          <t>Não</t>
        </is>
      </c>
      <c r="J2860" s="11" t="n">
        <v>1995</v>
      </c>
      <c r="L2860" s="11" t="n">
        <v>1</v>
      </c>
      <c r="M2860" s="8">
        <f>L2860*G2860</f>
        <v/>
      </c>
      <c r="N2860" s="11" t="inlineStr">
        <is>
          <t>Pasta</t>
        </is>
      </c>
      <c r="P2860" s="9" t="n"/>
    </row>
    <row r="2861">
      <c r="A2861" s="11" t="inlineStr">
        <is>
          <t>The Hive / A Colméia</t>
        </is>
      </c>
      <c r="B2861" s="11" t="inlineStr">
        <is>
          <t>Artifact / Artefato</t>
        </is>
      </c>
      <c r="C2861" s="11" t="inlineStr">
        <is>
          <t>Rare / Rara</t>
        </is>
      </c>
      <c r="D2861" s="11" t="inlineStr">
        <is>
          <t>{5}, {T}: Create a 1/1 colorless Insect artifact creature token with flying named Wasp. (It can't be blocked except by creatures with flying or reach.) / {5}, {T}: Coloque em jogo uma ficha de criatura artefato 1/1 do tipo Inseto com a habilidade de voar chamada Vespa. (Ela só pode ser bloqueada por criaturas com a habilidade de voar ou alcance.)</t>
        </is>
      </c>
      <c r="E2861" s="11" t="inlineStr">
        <is>
          <t>{5}</t>
        </is>
      </c>
      <c r="F2861" s="11" t="inlineStr">
        <is>
          <t>Incolor</t>
        </is>
      </c>
      <c r="G2861" s="8" t="n">
        <v>0.39</v>
      </c>
      <c r="H2861" s="11" t="inlineStr">
        <is>
          <t>Fourth Edition</t>
        </is>
      </c>
      <c r="I2861" s="11" t="inlineStr">
        <is>
          <t>Não</t>
        </is>
      </c>
      <c r="J2861" s="11" t="n">
        <v>1995</v>
      </c>
      <c r="L2861" s="11" t="n">
        <v>1</v>
      </c>
      <c r="M2861" s="8">
        <f>L2861*G2861</f>
        <v/>
      </c>
      <c r="N2861" s="11" t="inlineStr">
        <is>
          <t>Pasta</t>
        </is>
      </c>
      <c r="P2861" s="9" t="n"/>
    </row>
    <row r="2862">
      <c r="A2862" s="11" t="inlineStr">
        <is>
          <t>Aeolipile</t>
        </is>
      </c>
      <c r="B2862" s="11" t="inlineStr">
        <is>
          <t>Artifact</t>
        </is>
      </c>
      <c r="C2862" s="11" t="inlineStr">
        <is>
          <t>Rare / Rara</t>
        </is>
      </c>
      <c r="D2862" s="11" t="inlineStr">
        <is>
          <t>{1}, {T}, Sacrifice this artifact: It deals 2 damage to any target.</t>
        </is>
      </c>
      <c r="E2862" s="11" t="inlineStr">
        <is>
          <t>{2}</t>
        </is>
      </c>
      <c r="F2862" s="11" t="inlineStr">
        <is>
          <t>Incolor</t>
        </is>
      </c>
      <c r="G2862" s="8" t="n">
        <v>7.92</v>
      </c>
      <c r="H2862" s="11" t="inlineStr">
        <is>
          <t>Fallen Empires (FEM)</t>
        </is>
      </c>
      <c r="I2862" s="11" t="inlineStr">
        <is>
          <t>Não</t>
        </is>
      </c>
      <c r="J2862" s="11" t="n">
        <v>1994</v>
      </c>
      <c r="L2862" s="11" t="n">
        <v>1</v>
      </c>
      <c r="M2862" s="8">
        <f>L2862*G2862</f>
        <v/>
      </c>
      <c r="N2862" s="11" t="inlineStr">
        <is>
          <t>Pasta</t>
        </is>
      </c>
      <c r="P2862" s="9" t="n"/>
    </row>
    <row r="2863">
      <c r="A2863" s="11" t="inlineStr">
        <is>
          <t>Urza's Avenger / Vingador de Urza</t>
        </is>
      </c>
      <c r="B2863" s="11" t="inlineStr">
        <is>
          <t>Artifact Creature — Shapeshifter</t>
        </is>
      </c>
      <c r="C2863" s="11" t="inlineStr">
        <is>
          <t>Rare / Rara</t>
        </is>
      </c>
      <c r="D2863" s="11" t="inlineStr">
        <is>
          <t>{0}: This creature gets -1/-1 and gains your choice of banding, flying, first strike, or trample until end of turn. (Any creatures with banding, and up to one without, can attack in a band. Bands are blocked as a group. If any creatures with banding you control are blocking or being blocked by a creature, you divide that creature's combat damage, not its controller, among any of the creatures it's being blocked by or is blocking.)</t>
        </is>
      </c>
      <c r="E2863" s="11" t="inlineStr">
        <is>
          <t>{6}</t>
        </is>
      </c>
      <c r="F2863" s="11" t="inlineStr">
        <is>
          <t>Incolor</t>
        </is>
      </c>
      <c r="G2863" s="8" t="n">
        <v>1.6</v>
      </c>
      <c r="H2863" s="11" t="inlineStr">
        <is>
          <t>Fourth Edition (BB)</t>
        </is>
      </c>
      <c r="I2863" s="11" t="inlineStr">
        <is>
          <t>Não</t>
        </is>
      </c>
      <c r="J2863" s="11" t="n">
        <v>1995</v>
      </c>
      <c r="K2863" s="10" t="n">
        <v>46116</v>
      </c>
      <c r="L2863" s="11" t="n">
        <v>1</v>
      </c>
      <c r="M2863" s="8">
        <f>L2863*G2863</f>
        <v/>
      </c>
      <c r="N2863" s="11" t="inlineStr">
        <is>
          <t>Pasta</t>
        </is>
      </c>
      <c r="P2863" s="9" t="n"/>
    </row>
    <row r="2864">
      <c r="A2864" s="11" t="inlineStr">
        <is>
          <t>Clockwork Beast / Besta Mecânica</t>
        </is>
      </c>
      <c r="B2864" s="11" t="inlineStr">
        <is>
          <t>Artifact Creature — Beast</t>
        </is>
      </c>
      <c r="C2864" s="11" t="inlineStr">
        <is>
          <t>Rare / Rara</t>
        </is>
      </c>
      <c r="D2864" s="11"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2864" s="11" t="inlineStr">
        <is>
          <t>{6}</t>
        </is>
      </c>
      <c r="F2864" s="11" t="inlineStr">
        <is>
          <t>Incolor</t>
        </is>
      </c>
      <c r="G2864" s="8" t="n">
        <v>1.5</v>
      </c>
      <c r="H2864" s="11" t="inlineStr">
        <is>
          <t>Revised Edition</t>
        </is>
      </c>
      <c r="I2864" s="11" t="inlineStr">
        <is>
          <t>Não</t>
        </is>
      </c>
      <c r="J2864" s="11" t="n">
        <v>1994</v>
      </c>
      <c r="K2864" s="11" t="inlineStr">
        <is>
          <t>0/4</t>
        </is>
      </c>
      <c r="L2864" s="11" t="n">
        <v>1</v>
      </c>
      <c r="M2864" s="8">
        <f>L2864*G2864</f>
        <v/>
      </c>
      <c r="N2864" s="11" t="inlineStr">
        <is>
          <t>Pasta</t>
        </is>
      </c>
      <c r="P2864" s="9" t="n"/>
    </row>
    <row r="2865">
      <c r="A2865" s="11" t="inlineStr">
        <is>
          <t>Aesthir Glider</t>
        </is>
      </c>
      <c r="B2865" s="11" t="inlineStr">
        <is>
          <t>Criatura Artefato / Artifact Creature</t>
        </is>
      </c>
      <c r="C2865" s="11" t="inlineStr">
        <is>
          <t>Comum / Common</t>
        </is>
      </c>
      <c r="D2865" s="11" t="inlineStr">
        <is>
          <t>Flying. Cannot be assigned to block.</t>
        </is>
      </c>
      <c r="E2865" s="11" t="inlineStr">
        <is>
          <t>{3}</t>
        </is>
      </c>
      <c r="F2865" s="11" t="inlineStr">
        <is>
          <t>Incolor / Colorless</t>
        </is>
      </c>
      <c r="G2865" s="8" t="n">
        <v>0.2</v>
      </c>
      <c r="H2865" s="11" t="inlineStr">
        <is>
          <t>Alliances (ALL)</t>
        </is>
      </c>
      <c r="I2865" s="11" t="inlineStr">
        <is>
          <t>Não</t>
        </is>
      </c>
      <c r="J2865" s="11" t="n">
        <v>1996</v>
      </c>
      <c r="K2865" s="10" t="n">
        <v>46024</v>
      </c>
      <c r="L2865" s="11" t="n">
        <v>1</v>
      </c>
      <c r="M2865" s="8">
        <f>L2865*G2865</f>
        <v/>
      </c>
      <c r="P2865" s="9" t="n"/>
    </row>
    <row r="2866">
      <c r="A2866" s="11" t="inlineStr">
        <is>
          <t>War Chariot</t>
        </is>
      </c>
      <c r="B2866" s="11" t="inlineStr">
        <is>
          <t>Artefato / Artifact</t>
        </is>
      </c>
      <c r="C2866" s="11" t="inlineStr">
        <is>
          <t>Comum / Common</t>
        </is>
      </c>
      <c r="D2866" s="11" t="inlineStr">
        <is>
          <t>{3}, {T}: Target creature gains trample until end of turn.</t>
        </is>
      </c>
      <c r="E2866" s="11" t="inlineStr">
        <is>
          <t>{3}</t>
        </is>
      </c>
      <c r="F2866" s="11" t="inlineStr">
        <is>
          <t>Incolor / Colorless</t>
        </is>
      </c>
      <c r="G2866" s="8" t="n">
        <v>0.17</v>
      </c>
      <c r="H2866" s="11" t="inlineStr">
        <is>
          <t>Ice Age (ICE)</t>
        </is>
      </c>
      <c r="I2866" s="11" t="inlineStr">
        <is>
          <t>Não</t>
        </is>
      </c>
      <c r="J2866" s="11" t="n">
        <v>1995</v>
      </c>
      <c r="L2866" s="11" t="n">
        <v>1</v>
      </c>
      <c r="M2866" s="8">
        <f>L2866*G2866</f>
        <v/>
      </c>
      <c r="P2866" s="9" t="n"/>
    </row>
    <row r="2867">
      <c r="A2867" s="11" t="inlineStr">
        <is>
          <t>Black Mana Battery / Bateria de Mana Preta</t>
        </is>
      </c>
      <c r="B2867" s="11" t="inlineStr">
        <is>
          <t>Artifact</t>
        </is>
      </c>
      <c r="C2867" s="11" t="inlineStr">
        <is>
          <t>Uncommon / Incomum</t>
        </is>
      </c>
      <c r="D2867" s="11" t="inlineStr">
        <is>
          <t>{2}, {T}: Put a charge counter on this artifact. {T}, Remove any number of charge counters from this artifact: Add {B}, then add an additional {B} for each charge counter removed this way.</t>
        </is>
      </c>
      <c r="E2867" s="11" t="inlineStr">
        <is>
          <t>{4}</t>
        </is>
      </c>
      <c r="F2867" s="11" t="inlineStr">
        <is>
          <t>Preto</t>
        </is>
      </c>
      <c r="G2867" s="8" t="n">
        <v>1</v>
      </c>
      <c r="H2867" s="11" t="inlineStr">
        <is>
          <t>Fourth Edition</t>
        </is>
      </c>
      <c r="I2867" s="11" t="inlineStr">
        <is>
          <t>Não</t>
        </is>
      </c>
      <c r="J2867" s="11" t="n">
        <v>1995</v>
      </c>
      <c r="L2867" s="11" t="n">
        <v>1</v>
      </c>
      <c r="M2867" s="8">
        <f>L2867*G2867</f>
        <v/>
      </c>
      <c r="N2867" s="11" t="inlineStr">
        <is>
          <t>Pasta</t>
        </is>
      </c>
      <c r="P2867" s="9" t="n"/>
    </row>
    <row r="2868">
      <c r="A2868" s="11" t="inlineStr">
        <is>
          <t>Power Armor / Armadura do Poder</t>
        </is>
      </c>
      <c r="B2868" s="11" t="inlineStr">
        <is>
          <t>Artifact</t>
        </is>
      </c>
      <c r="C2868" s="11" t="inlineStr">
        <is>
          <t>Uncommon / Incomum</t>
        </is>
      </c>
      <c r="D2868" s="11" t="inlineStr">
        <is>
          <t>Domain — {3}, {T}: Target creature gets +1/+1 until end of turn for each basic land type among lands you control.</t>
        </is>
      </c>
      <c r="E2868" s="11" t="inlineStr">
        <is>
          <t>{4}</t>
        </is>
      </c>
      <c r="F2868" s="11" t="inlineStr">
        <is>
          <t>Incolor</t>
        </is>
      </c>
      <c r="G2868" s="8" t="n">
        <v>0.09</v>
      </c>
      <c r="H2868" s="11" t="inlineStr">
        <is>
          <t>Invasion (INV)</t>
        </is>
      </c>
      <c r="I2868" s="11" t="inlineStr">
        <is>
          <t>Não</t>
        </is>
      </c>
      <c r="J2868" s="11" t="n">
        <v>2000</v>
      </c>
      <c r="L2868" s="11" t="n">
        <v>1</v>
      </c>
      <c r="M2868" s="8">
        <f>L2868*G2868</f>
        <v/>
      </c>
      <c r="P2868" s="9" t="n"/>
    </row>
    <row r="2869">
      <c r="A2869" s="11" t="inlineStr">
        <is>
          <t>Dancing Scimitar / Cimitarra Dançante</t>
        </is>
      </c>
      <c r="B2869" s="11" t="inlineStr">
        <is>
          <t>Artifact Creature — Spirit / Criatura Artefato — Espírito</t>
        </is>
      </c>
      <c r="C2869" s="11" t="inlineStr">
        <is>
          <t>Rare / Rara</t>
        </is>
      </c>
      <c r="D2869" s="11" t="inlineStr">
        <is>
          <t>Flying (This creature can't be blocked except by creatures with flying or reach.) / Voar (Esta criatura só pode ser bloqueada por criaturas com a habilidade de voar.)</t>
        </is>
      </c>
      <c r="E2869" s="11" t="inlineStr">
        <is>
          <t>{4}</t>
        </is>
      </c>
      <c r="F2869" s="11" t="inlineStr">
        <is>
          <t>Incolor</t>
        </is>
      </c>
      <c r="G2869" s="8" t="n">
        <v>0.25</v>
      </c>
      <c r="H2869" s="11" t="inlineStr">
        <is>
          <t>Fourth Edition</t>
        </is>
      </c>
      <c r="I2869" s="11" t="inlineStr">
        <is>
          <t>Não</t>
        </is>
      </c>
      <c r="J2869" s="11" t="n">
        <v>1995</v>
      </c>
      <c r="K2869" s="10" t="n">
        <v>46143</v>
      </c>
      <c r="L2869" s="11" t="n">
        <v>1</v>
      </c>
      <c r="M2869" s="8">
        <f>L2869*G2869</f>
        <v/>
      </c>
      <c r="P2869" s="9" t="n"/>
    </row>
    <row r="2870">
      <c r="A2870" s="11" t="inlineStr">
        <is>
          <t>Dancing Scimitar / Cimitarra Dançante</t>
        </is>
      </c>
      <c r="B2870" s="11" t="inlineStr">
        <is>
          <t>Artifact Creature — Spirit / Criatura Artefato — Espírito</t>
        </is>
      </c>
      <c r="C2870" s="11" t="inlineStr">
        <is>
          <t>Rare / Rara</t>
        </is>
      </c>
      <c r="D2870" s="11" t="inlineStr">
        <is>
          <t>Flying (This creature can't be blocked except by creatures with flying or reach.) / Voar (Esta criatura só pode ser bloqueada por criaturas com a habilidade de voar.)</t>
        </is>
      </c>
      <c r="E2870" s="11" t="inlineStr">
        <is>
          <t>{4}</t>
        </is>
      </c>
      <c r="F2870" s="11" t="inlineStr">
        <is>
          <t>Incolor</t>
        </is>
      </c>
      <c r="G2870" s="8" t="n">
        <v>2.99</v>
      </c>
      <c r="H2870" s="11" t="inlineStr">
        <is>
          <t>Revised Edition</t>
        </is>
      </c>
      <c r="I2870" s="11" t="inlineStr">
        <is>
          <t>Não</t>
        </is>
      </c>
      <c r="J2870" s="11" t="n">
        <v>1994</v>
      </c>
      <c r="K2870" s="10" t="n">
        <v>46143</v>
      </c>
      <c r="L2870" s="11" t="n">
        <v>1</v>
      </c>
      <c r="M2870" s="8">
        <f>L2870*G2870</f>
        <v/>
      </c>
      <c r="P2870" s="9" t="n"/>
    </row>
    <row r="2871">
      <c r="A2871" s="11" t="inlineStr">
        <is>
          <t>Tawnos's Weaponry / Arsenal de Tawnos</t>
        </is>
      </c>
      <c r="B2871" s="11" t="inlineStr">
        <is>
          <t>Artifact</t>
        </is>
      </c>
      <c r="C2871" s="11" t="inlineStr">
        <is>
          <t>Uncommon / Incomum</t>
        </is>
      </c>
      <c r="D2871" s="11" t="inlineStr">
        <is>
          <t>You may choose not to untap this artifact during your untap step. {2}, {T}: Target creature gets +1/+1 for as long as this artifact remains tapped.</t>
        </is>
      </c>
      <c r="E2871" s="11" t="inlineStr">
        <is>
          <t>{2}</t>
        </is>
      </c>
      <c r="F2871" s="11" t="inlineStr">
        <is>
          <t>Incolor</t>
        </is>
      </c>
      <c r="G2871" s="8" t="n">
        <v>0.1</v>
      </c>
      <c r="H2871" s="11" t="inlineStr">
        <is>
          <t>Fourth Edition</t>
        </is>
      </c>
      <c r="I2871" s="11" t="inlineStr">
        <is>
          <t>Não</t>
        </is>
      </c>
      <c r="J2871" s="11" t="n">
        <v>1995</v>
      </c>
      <c r="L2871" s="11" t="n">
        <v>2</v>
      </c>
      <c r="M2871" s="8">
        <f>L2871*G2871</f>
        <v/>
      </c>
      <c r="P2871" s="9" t="n"/>
    </row>
    <row r="2872">
      <c r="A2872" s="11" t="inlineStr">
        <is>
          <t>Dragon Engine / Dragão Mecânico</t>
        </is>
      </c>
      <c r="B2872" s="11" t="inlineStr">
        <is>
          <t>Artifact Creature — Construct / Criatura Artefato — Constructo</t>
        </is>
      </c>
      <c r="C2872" s="11" t="inlineStr">
        <is>
          <t>Common / Comum</t>
        </is>
      </c>
      <c r="D2872" s="11" t="inlineStr">
        <is>
          <t>{2}: This creature gets +1/+0 until end of turn. / {2}: Dragão Mecânico recebe +1/+0 até o final do turno.</t>
        </is>
      </c>
      <c r="E2872" s="11" t="inlineStr">
        <is>
          <t>{3}</t>
        </is>
      </c>
      <c r="F2872" s="11" t="inlineStr">
        <is>
          <t>Incolor</t>
        </is>
      </c>
      <c r="G2872" s="8" t="n">
        <v>0.2</v>
      </c>
      <c r="H2872" s="11" t="inlineStr">
        <is>
          <t>Fourth Edition</t>
        </is>
      </c>
      <c r="I2872" s="11" t="inlineStr">
        <is>
          <t>Não</t>
        </is>
      </c>
      <c r="J2872" s="11" t="n">
        <v>1995</v>
      </c>
      <c r="K2872" s="10" t="n">
        <v>46082</v>
      </c>
      <c r="L2872" s="11" t="n">
        <v>1</v>
      </c>
      <c r="M2872" s="8">
        <f>L2872*G2872</f>
        <v/>
      </c>
      <c r="P2872" s="9" t="n"/>
    </row>
    <row r="2873">
      <c r="A2873" s="11" t="inlineStr">
        <is>
          <t>Runesword</t>
        </is>
      </c>
      <c r="B2873" s="11" t="inlineStr">
        <is>
          <t>Artifact</t>
        </is>
      </c>
      <c r="C2873" s="11" t="inlineStr">
        <is>
          <t>Common / Comum</t>
        </is>
      </c>
      <c r="D2873" s="11" t="inlineStr">
        <is>
          <t>{3}, {T}: Target attacking creature gets +2/+0 until end of turn. When that creature leaves the battlefield this turn, sacrifice this artifact. If the creature deals damage to a creature this turn, the creature dealt damage can't be regenerated this turn. If a creature dealt damage by the targeted creature would die this turn, exile that creature instead.</t>
        </is>
      </c>
      <c r="E2873" s="11" t="inlineStr">
        <is>
          <t>{6}</t>
        </is>
      </c>
      <c r="F2873" s="11" t="inlineStr">
        <is>
          <t>Incolor</t>
        </is>
      </c>
      <c r="G2873" s="8" t="n">
        <v>0.08</v>
      </c>
      <c r="H2873" s="11" t="inlineStr">
        <is>
          <t>Chronicles (CHR)</t>
        </is>
      </c>
      <c r="I2873" s="11" t="inlineStr">
        <is>
          <t>Não</t>
        </is>
      </c>
      <c r="J2873" s="11" t="n">
        <v>1995</v>
      </c>
      <c r="L2873" s="11" t="n">
        <v>1</v>
      </c>
      <c r="M2873" s="8">
        <f>L2873*G2873</f>
        <v/>
      </c>
      <c r="P2873" s="9" t="n"/>
    </row>
    <row r="2874">
      <c r="A2874" s="11" t="inlineStr">
        <is>
          <t>Clockwork Beast / Besta Mecânica</t>
        </is>
      </c>
      <c r="B2874" s="11" t="inlineStr">
        <is>
          <t>Artifact Creature — Beast</t>
        </is>
      </c>
      <c r="C2874" s="11" t="inlineStr">
        <is>
          <t>Rare / Rara</t>
        </is>
      </c>
      <c r="D2874" s="11" t="inlineStr">
        <is>
          <t>This creature enters with seven +1/+0 counters on it. At end of combat, if this creature attacked or blocked this combat, remove a +1/+0 counter from it. {X}, {T}: Put up to X +1/+0 counters on this creature. This ability can't cause the total number of +1/+0 counters on this creature to be greater than seven. Activate only during your upkeep.</t>
        </is>
      </c>
      <c r="E2874" s="11" t="inlineStr">
        <is>
          <t>{6}</t>
        </is>
      </c>
      <c r="F2874" s="11" t="inlineStr">
        <is>
          <t>Incolor</t>
        </is>
      </c>
      <c r="G2874" s="8" t="n">
        <v>0.5</v>
      </c>
      <c r="H2874" s="11" t="inlineStr">
        <is>
          <t>Fourth Edition</t>
        </is>
      </c>
      <c r="I2874" s="11" t="inlineStr">
        <is>
          <t>Não</t>
        </is>
      </c>
      <c r="J2874" s="11" t="n">
        <v>1995</v>
      </c>
      <c r="K2874" s="11" t="inlineStr">
        <is>
          <t>0/4</t>
        </is>
      </c>
      <c r="L2874" s="11" t="n">
        <v>1</v>
      </c>
      <c r="M2874" s="8">
        <f>L2874*G2874</f>
        <v/>
      </c>
      <c r="P2874" s="9" t="n"/>
    </row>
    <row r="2875">
      <c r="A2875" s="11" t="inlineStr">
        <is>
          <t>Living Wall</t>
        </is>
      </c>
      <c r="B2875" s="11" t="inlineStr">
        <is>
          <t>Artifact Creature — Wall</t>
        </is>
      </c>
      <c r="C2875" s="11" t="inlineStr">
        <is>
          <t>Uncommon / Incomum</t>
        </is>
      </c>
      <c r="D2875" s="11" t="inlineStr">
        <is>
          <t>Defender (This creature can't attack.) {1}: Regenerate this creature.</t>
        </is>
      </c>
      <c r="E2875" s="11" t="inlineStr">
        <is>
          <t>{4}</t>
        </is>
      </c>
      <c r="F2875" s="11" t="inlineStr">
        <is>
          <t>Incolor</t>
        </is>
      </c>
      <c r="G2875" s="8" t="n">
        <v>0.75</v>
      </c>
      <c r="H2875" s="11" t="inlineStr">
        <is>
          <t>Revised Edition</t>
        </is>
      </c>
      <c r="I2875" s="11" t="inlineStr">
        <is>
          <t>Não</t>
        </is>
      </c>
      <c r="J2875" s="11" t="n">
        <v>1994</v>
      </c>
      <c r="K2875" s="11" t="inlineStr">
        <is>
          <t>0/6</t>
        </is>
      </c>
      <c r="L2875" s="11" t="n">
        <v>1</v>
      </c>
      <c r="M2875" s="8">
        <f>L2875*G2875</f>
        <v/>
      </c>
      <c r="P2875" s="9" t="n"/>
    </row>
    <row r="2876">
      <c r="A2876" s="11" t="inlineStr">
        <is>
          <t>Bronze Tablet</t>
        </is>
      </c>
      <c r="B2876" s="11" t="inlineStr">
        <is>
          <t>Artifact</t>
        </is>
      </c>
      <c r="C2876" s="11" t="inlineStr">
        <is>
          <t>Rare / Rara</t>
        </is>
      </c>
      <c r="D2876" s="11" t="inlineStr">
        <is>
          <t>Remove this card from your deck before playing if you're not playing for ante. This artifact enters tapped. {4}, {T}: Exile this artifact and target nontoken permanent an opponent owns. That player may pay 10 life. If they do, put this card into its owner's graveyard. Otherwise, that player owns this card and you own the other exiled card.</t>
        </is>
      </c>
      <c r="E2876" s="11" t="inlineStr">
        <is>
          <t>{6}</t>
        </is>
      </c>
      <c r="F2876" s="11" t="inlineStr">
        <is>
          <t>Incolor</t>
        </is>
      </c>
      <c r="G2876" s="8" t="n">
        <v>4.8</v>
      </c>
      <c r="H2876" s="11" t="inlineStr">
        <is>
          <t>Antiquities (ATQ)</t>
        </is>
      </c>
      <c r="I2876" s="11" t="inlineStr">
        <is>
          <t>Não</t>
        </is>
      </c>
      <c r="J2876" s="11" t="n">
        <v>1994</v>
      </c>
      <c r="L2876" s="11" t="n">
        <v>1</v>
      </c>
      <c r="M2876" s="8">
        <f>L2876*G2876</f>
        <v/>
      </c>
      <c r="N2876" s="11" t="inlineStr">
        <is>
          <t>Pasta</t>
        </is>
      </c>
      <c r="P2876" s="9" t="n"/>
    </row>
    <row r="2877">
      <c r="A2877" s="11" t="inlineStr">
        <is>
          <t>Ebony Rhino / Rinoceronte de ébano</t>
        </is>
      </c>
      <c r="B2877" s="11" t="inlineStr">
        <is>
          <t>Artifact Creature — Rhino</t>
        </is>
      </c>
      <c r="C2877" s="11" t="inlineStr">
        <is>
          <t>Common / Comum</t>
        </is>
      </c>
      <c r="D2877" s="11" t="inlineStr">
        <is>
          <t>Trample</t>
        </is>
      </c>
      <c r="E2877" s="11" t="inlineStr">
        <is>
          <t>{7}</t>
        </is>
      </c>
      <c r="F2877" s="11" t="inlineStr">
        <is>
          <t>Incolor</t>
        </is>
      </c>
      <c r="G2877" s="8" t="n">
        <v>0.1</v>
      </c>
      <c r="H2877" s="11" t="inlineStr">
        <is>
          <t>Homelands (HML)</t>
        </is>
      </c>
      <c r="I2877" s="11" t="inlineStr">
        <is>
          <t>Não</t>
        </is>
      </c>
      <c r="J2877" s="11" t="n">
        <v>1995</v>
      </c>
      <c r="K2877" s="10" t="n">
        <v>46146</v>
      </c>
      <c r="L2877" s="11" t="n">
        <v>1</v>
      </c>
      <c r="M2877" s="8">
        <f>L2877*G2877</f>
        <v/>
      </c>
      <c r="P2877" s="9" t="n"/>
    </row>
    <row r="2878">
      <c r="A2878" s="11" t="inlineStr">
        <is>
          <t>Soldevi Steam Beast</t>
        </is>
      </c>
      <c r="B2878" s="11" t="inlineStr">
        <is>
          <t>Criatura Artefato / Artifact Creature</t>
        </is>
      </c>
      <c r="C2878" s="11" t="inlineStr">
        <is>
          <t>Comum / Common</t>
        </is>
      </c>
      <c r="D2878" s="11" t="inlineStr">
        <is>
          <t>Whenever Soldevi Steam Beast becomes tapped, target opponent gains 2 life. {2}: Regenerate.</t>
        </is>
      </c>
      <c r="E2878" s="11" t="inlineStr">
        <is>
          <t>{5}</t>
        </is>
      </c>
      <c r="F2878" s="11" t="inlineStr">
        <is>
          <t>Incolor / Colorless</t>
        </is>
      </c>
      <c r="G2878" s="8" t="n">
        <v>0.05</v>
      </c>
      <c r="H2878" s="11" t="inlineStr">
        <is>
          <t>Alliances (ALL)</t>
        </is>
      </c>
      <c r="I2878" s="11" t="inlineStr">
        <is>
          <t>Não</t>
        </is>
      </c>
      <c r="J2878" s="11" t="n">
        <v>1996</v>
      </c>
      <c r="K2878" s="10" t="n">
        <v>46057</v>
      </c>
      <c r="L2878" s="11" t="n">
        <v>1</v>
      </c>
      <c r="M2878" s="8">
        <f>L2878*G2878</f>
        <v/>
      </c>
      <c r="P2878" s="9" t="n"/>
    </row>
    <row r="2879">
      <c r="A2879" s="11" t="inlineStr">
        <is>
          <t>Helm of Chatzuk / Elmo de Chatzuk</t>
        </is>
      </c>
      <c r="B2879" s="11" t="inlineStr">
        <is>
          <t>Artifact</t>
        </is>
      </c>
      <c r="C2879" s="11" t="inlineStr">
        <is>
          <t>Rare / Rara</t>
        </is>
      </c>
      <c r="D2879" s="11" t="inlineStr">
        <is>
          <t>{1}, {T}: Target creature gains banding until end of turn. (Any creatures with banding, and up to one without, can attack in a band. Bands are blocked as a group. If any creatures with banding a player controls are blocking or being blocked by a creature, that player divides that creature's combat damage, not its controller, among any of the creatures it's being blocked by or is blocking.)</t>
        </is>
      </c>
      <c r="E2879" s="11" t="inlineStr">
        <is>
          <t>{1}</t>
        </is>
      </c>
      <c r="F2879" s="11" t="inlineStr">
        <is>
          <t>Incolor</t>
        </is>
      </c>
      <c r="G2879" s="8" t="n">
        <v>0.63</v>
      </c>
      <c r="H2879" s="11" t="inlineStr">
        <is>
          <t>Fourth Edition</t>
        </is>
      </c>
      <c r="I2879" s="11" t="inlineStr">
        <is>
          <t>Não</t>
        </is>
      </c>
      <c r="J2879" s="11" t="n">
        <v>1995</v>
      </c>
      <c r="L2879" s="11" t="n">
        <v>1</v>
      </c>
      <c r="M2879" s="8">
        <f>L2879*G2879</f>
        <v/>
      </c>
      <c r="P2879" s="9" t="n"/>
    </row>
    <row r="2880">
      <c r="A2880" s="11" t="inlineStr">
        <is>
          <t>Walking Wall / Barreira Ambulante</t>
        </is>
      </c>
      <c r="B2880" s="11" t="inlineStr">
        <is>
          <t>Artifact Creature — Wall</t>
        </is>
      </c>
      <c r="C2880" s="11" t="inlineStr">
        <is>
          <t>Uncommon / Incomum</t>
        </is>
      </c>
      <c r="D2880" s="11" t="inlineStr">
        <is>
          <t>Defender {3}: This creature gets +3/-1 until end of turn and can attack this turn as though it didn't have defender. Activate only once each turn.</t>
        </is>
      </c>
      <c r="E2880" s="11" t="inlineStr">
        <is>
          <t>{4}</t>
        </is>
      </c>
      <c r="F2880" s="11" t="inlineStr">
        <is>
          <t>Incolor</t>
        </is>
      </c>
      <c r="G2880" s="8" t="n">
        <v>0.2</v>
      </c>
      <c r="H2880" s="11" t="inlineStr">
        <is>
          <t>Ice Age (ICE)</t>
        </is>
      </c>
      <c r="I2880" s="11" t="inlineStr">
        <is>
          <t>Não</t>
        </is>
      </c>
      <c r="J2880" s="11" t="n">
        <v>1995</v>
      </c>
      <c r="K2880" s="11" t="inlineStr">
        <is>
          <t>0/6</t>
        </is>
      </c>
      <c r="L2880" s="11" t="n">
        <v>1</v>
      </c>
      <c r="M2880" s="8">
        <f>L2880*G2880</f>
        <v/>
      </c>
      <c r="P2880" s="9" t="n"/>
    </row>
    <row r="2881">
      <c r="A2881" s="11" t="inlineStr">
        <is>
          <t>Fyndhorn Bow / Arco de Fyndhorn</t>
        </is>
      </c>
      <c r="B2881" s="11" t="inlineStr">
        <is>
          <t>Artifact</t>
        </is>
      </c>
      <c r="C2881" s="11" t="inlineStr">
        <is>
          <t>Uncommon / Incomum</t>
        </is>
      </c>
      <c r="D2881" s="11" t="inlineStr">
        <is>
          <t>{3}, {T}: Target creature gains first strike until end of turn.</t>
        </is>
      </c>
      <c r="E2881" s="11" t="inlineStr">
        <is>
          <t>{2}</t>
        </is>
      </c>
      <c r="F2881" s="11" t="inlineStr">
        <is>
          <t>Incolor</t>
        </is>
      </c>
      <c r="G2881" s="8" t="n">
        <v>0.5</v>
      </c>
      <c r="H2881" s="11" t="inlineStr">
        <is>
          <t>Ice Age (ICE)</t>
        </is>
      </c>
      <c r="I2881" s="11" t="inlineStr">
        <is>
          <t>Não</t>
        </is>
      </c>
      <c r="J2881" s="11" t="n">
        <v>1995</v>
      </c>
      <c r="L2881" s="11" t="n">
        <v>1</v>
      </c>
      <c r="M2881" s="8">
        <f>L2881*G2881</f>
        <v/>
      </c>
      <c r="P2881" s="9" t="n"/>
    </row>
    <row r="2882">
      <c r="A2882" s="11" t="inlineStr">
        <is>
          <t>Aegis of the Meek</t>
        </is>
      </c>
      <c r="B2882" s="11" t="inlineStr">
        <is>
          <t>Artefato / Artifact</t>
        </is>
      </c>
      <c r="C2882" s="11" t="inlineStr">
        <is>
          <t>Incomum / Uncommon</t>
        </is>
      </c>
      <c r="D2882" s="11" t="inlineStr">
        <is>
          <t>{1}, {T}: Target 1/1 creature gets +1/+2 until end of turn.</t>
        </is>
      </c>
      <c r="E2882" s="11" t="inlineStr">
        <is>
          <t>{3}</t>
        </is>
      </c>
      <c r="F2882" s="11" t="inlineStr">
        <is>
          <t>Incolor / Colorless</t>
        </is>
      </c>
      <c r="G2882" s="8" t="n">
        <v>2.95</v>
      </c>
      <c r="H2882" s="11" t="inlineStr">
        <is>
          <t>Ice Age (ICE)</t>
        </is>
      </c>
      <c r="I2882" s="11" t="inlineStr">
        <is>
          <t>Não</t>
        </is>
      </c>
      <c r="J2882" s="11" t="n">
        <v>1995</v>
      </c>
      <c r="L2882" s="11" t="n">
        <v>1</v>
      </c>
      <c r="M2882" s="8">
        <f>L2882*G2882</f>
        <v/>
      </c>
      <c r="N2882" s="11" t="inlineStr">
        <is>
          <t>Pasta</t>
        </is>
      </c>
      <c r="P2882" s="9" t="n"/>
    </row>
    <row r="2883">
      <c r="A2883" s="11" t="inlineStr">
        <is>
          <t>Chariot of the Sun / Carruagem do Sol</t>
        </is>
      </c>
      <c r="B2883" s="11" t="inlineStr">
        <is>
          <t>Artifact</t>
        </is>
      </c>
      <c r="C2883" s="11" t="inlineStr">
        <is>
          <t>Uncommon / Incomum</t>
        </is>
      </c>
      <c r="D2883" s="11" t="inlineStr">
        <is>
          <t>{2}, {T}: Until end of turn, target creature you control gains flying and has base toughness 1.</t>
        </is>
      </c>
      <c r="E2883" s="11" t="inlineStr">
        <is>
          <t>{3}</t>
        </is>
      </c>
      <c r="F2883" s="11" t="inlineStr">
        <is>
          <t>Incolor</t>
        </is>
      </c>
      <c r="G2883" s="8" t="n">
        <v>0.15</v>
      </c>
      <c r="H2883" s="11" t="inlineStr">
        <is>
          <t>Mirage (MIR)</t>
        </is>
      </c>
      <c r="I2883" s="11" t="inlineStr">
        <is>
          <t>Não</t>
        </is>
      </c>
      <c r="J2883" s="11" t="n">
        <v>1996</v>
      </c>
      <c r="L2883" s="11" t="n">
        <v>1</v>
      </c>
      <c r="M2883" s="8">
        <f>L2883*G2883</f>
        <v/>
      </c>
      <c r="P2883" s="9" t="n"/>
    </row>
    <row r="2884">
      <c r="A2884" s="11" t="inlineStr">
        <is>
          <t>The Lady of the Mountain</t>
        </is>
      </c>
      <c r="B2884" s="11" t="inlineStr">
        <is>
          <t>Summon Legend</t>
        </is>
      </c>
      <c r="C2884" s="11" t="inlineStr">
        <is>
          <t>Comum / Common</t>
        </is>
      </c>
      <c r="D2884" s="11" t="inlineStr">
        <is>
          <t>Her given name has been lost in the mists of time. Legend says that her silent vigil will one day be ended by the one who, pure of heart and spirit, calls out that name again.</t>
        </is>
      </c>
      <c r="E2884" s="11" t="inlineStr">
        <is>
          <t>{4}{G}{R}</t>
        </is>
      </c>
      <c r="F2884" s="11" t="inlineStr">
        <is>
          <t>Verde e Vermelho / Green and Red</t>
        </is>
      </c>
      <c r="G2884" s="8" t="n">
        <v>11.69</v>
      </c>
      <c r="H2884" s="11" t="inlineStr">
        <is>
          <t>Legends (LEG)</t>
        </is>
      </c>
      <c r="I2884" s="11" t="inlineStr">
        <is>
          <t>Não</t>
        </is>
      </c>
      <c r="J2884" s="11" t="n">
        <v>1994</v>
      </c>
      <c r="K2884" s="10" t="n">
        <v>46147</v>
      </c>
      <c r="L2884" s="11" t="n">
        <v>1</v>
      </c>
      <c r="M2884" s="8">
        <f>L2884*G2884</f>
        <v/>
      </c>
      <c r="N2884" s="11" t="inlineStr">
        <is>
          <t>Pasta</t>
        </is>
      </c>
      <c r="P2884" s="9" t="n"/>
    </row>
    <row r="2885">
      <c r="A2885" s="11" t="inlineStr">
        <is>
          <t>Tamiyo's Logbook / Livro de Registros de Tamiyo</t>
        </is>
      </c>
      <c r="B2885" s="11" t="inlineStr">
        <is>
          <t>Artifact — Book / Artefato</t>
        </is>
      </c>
      <c r="C2885" s="11" t="inlineStr">
        <is>
          <t>Uncommon / Incomum</t>
        </is>
      </c>
      <c r="D2885" s="11" t="inlineStr">
        <is>
          <t>{5}{U}, {T}: Draw a card. This ability costs {1} less to activate for each other artifact you control. / {5}{U}, {T}: Compre um card. Esta habilidade custa {1} a menos para ser ativada para cada outro artefato que você controla.</t>
        </is>
      </c>
      <c r="E2885" s="11" t="inlineStr">
        <is>
          <t>{2}{U}</t>
        </is>
      </c>
      <c r="F2885" s="11" t="inlineStr">
        <is>
          <t>Azul</t>
        </is>
      </c>
      <c r="G2885" s="8" t="n">
        <v>0.04</v>
      </c>
      <c r="H2885" s="11" t="inlineStr">
        <is>
          <t>Phyrexia: All Will Be One (ONE)</t>
        </is>
      </c>
      <c r="I2885" s="11" t="inlineStr">
        <is>
          <t>Não</t>
        </is>
      </c>
      <c r="J2885" s="11" t="n">
        <v>2023</v>
      </c>
      <c r="L2885" s="11" t="n">
        <v>1</v>
      </c>
      <c r="M2885" s="8">
        <f>L2885*G2885</f>
        <v/>
      </c>
      <c r="P2885" s="9" t="n"/>
    </row>
    <row r="2886">
      <c r="A2886" s="11" t="inlineStr">
        <is>
          <t>Drake Haven / Refúgio dos Dragonetes</t>
        </is>
      </c>
      <c r="B2886" s="11" t="inlineStr">
        <is>
          <t>Enchantment / Encantamento</t>
        </is>
      </c>
      <c r="C2886" s="11" t="inlineStr">
        <is>
          <t>Rare / Rara</t>
        </is>
      </c>
      <c r="D2886" s="11" t="inlineStr">
        <is>
          <t>Whenever you cycle or discard a card, you may pay {1}. If you do, create a 2/2 blue Drake creature token with flying. / Toda vez que recicla ou descarta um card, você pode pagar {1}. Se fizer isso, crie uma ficha de criatura azul 2/2 do tipo Dragonete com voar.</t>
        </is>
      </c>
      <c r="E2886" s="11" t="inlineStr">
        <is>
          <t>{2}{U}</t>
        </is>
      </c>
      <c r="F2886" s="11" t="inlineStr">
        <is>
          <t>Azul</t>
        </is>
      </c>
      <c r="G2886" s="8" t="n">
        <v>0.25</v>
      </c>
      <c r="H2886" s="11" t="inlineStr">
        <is>
          <t>Amonkhet (AKH)</t>
        </is>
      </c>
      <c r="I2886" s="11" t="inlineStr">
        <is>
          <t>Não</t>
        </is>
      </c>
      <c r="J2886" s="11" t="n">
        <v>2017</v>
      </c>
      <c r="L2886" s="11" t="n">
        <v>1</v>
      </c>
      <c r="M2886" s="8">
        <f>L2886*G2886</f>
        <v/>
      </c>
      <c r="P2886" s="9" t="n"/>
    </row>
    <row r="2887">
      <c r="A2887" s="11" t="inlineStr">
        <is>
          <t>New Perspectives / Novas Perspectivas</t>
        </is>
      </c>
      <c r="B2887" s="11" t="inlineStr">
        <is>
          <t>Enchantment / Encantamento</t>
        </is>
      </c>
      <c r="C2887" s="11" t="inlineStr">
        <is>
          <t>Rare / Rara</t>
        </is>
      </c>
      <c r="D2887" s="11" t="inlineStr">
        <is>
          <t>When this enchantment enters, draw three cards. As long as you have seven or more cards in hand, you may pay {0} rather than pay cycling costs. / Quando Novas Perspectivas entrar no campo de batalha, compre três cards. Enquanto tiver sete ou mais cards em sua mão, você pode pagar {0} em vez de pagar custos de reciclagem.</t>
        </is>
      </c>
      <c r="E2887" s="11" t="inlineStr">
        <is>
          <t>{5}{U}</t>
        </is>
      </c>
      <c r="F2887" s="11" t="inlineStr">
        <is>
          <t>Azul</t>
        </is>
      </c>
      <c r="G2887" s="8" t="n">
        <v>0.24</v>
      </c>
      <c r="H2887" s="11" t="inlineStr">
        <is>
          <t>Amonkhet (AKH)</t>
        </is>
      </c>
      <c r="I2887" s="11" t="inlineStr">
        <is>
          <t>Não</t>
        </is>
      </c>
      <c r="J2887" s="11" t="n">
        <v>2017</v>
      </c>
      <c r="L2887" s="11" t="n">
        <v>2</v>
      </c>
      <c r="M2887" s="8">
        <f>L2887*G2887</f>
        <v/>
      </c>
      <c r="P2887" s="9" t="n"/>
    </row>
    <row r="2888">
      <c r="A2888" s="11" t="inlineStr">
        <is>
          <t>Horseshoe Crab / Caranguejo Ferradura</t>
        </is>
      </c>
      <c r="B2888" s="11" t="inlineStr">
        <is>
          <t>Creature — Crab / Criatura — Caranguejo</t>
        </is>
      </c>
      <c r="C2888" s="11" t="inlineStr">
        <is>
          <t>Common / Comum</t>
        </is>
      </c>
      <c r="D2888" s="11" t="inlineStr">
        <is>
          <t>{U}: Untap this creature. / {U}: Desvire Caranguejo Ferradura.</t>
        </is>
      </c>
      <c r="E2888" s="11" t="inlineStr">
        <is>
          <t>{2}{U}</t>
        </is>
      </c>
      <c r="F2888" s="11" t="inlineStr">
        <is>
          <t>Azul</t>
        </is>
      </c>
      <c r="G2888" s="8" t="n">
        <v>0.09</v>
      </c>
      <c r="H2888" s="11" t="inlineStr">
        <is>
          <t>Dominaria Remastered (DMR)</t>
        </is>
      </c>
      <c r="I2888" s="11" t="inlineStr">
        <is>
          <t>Não</t>
        </is>
      </c>
      <c r="J2888" s="11" t="n">
        <v>2023</v>
      </c>
      <c r="K2888" s="10" t="n">
        <v>46082</v>
      </c>
      <c r="L2888" s="11" t="n">
        <v>1</v>
      </c>
      <c r="M2888" s="8">
        <f>L2888*G2888</f>
        <v/>
      </c>
      <c r="P2888" s="9" t="n"/>
    </row>
    <row r="2889">
      <c r="A2889" s="11" t="inlineStr">
        <is>
          <t>Roil Cartographer / Cartógrafa do Turbillhão</t>
        </is>
      </c>
      <c r="B2889" s="11" t="inlineStr">
        <is>
          <t>Creature — Merfolk Rogue / Criatura — Tritão Ladino</t>
        </is>
      </c>
      <c r="C2889" s="11" t="inlineStr">
        <is>
          <t>Uncommon / Incomum</t>
        </is>
      </c>
      <c r="D2889" s="11" t="inlineStr">
        <is>
          <t>Landfall — Whenever a land you control enters, you get {E} (an energy counter). {T}, Pay six {E}: Draw three cards. / Aterragem — Toda vez que um terreno entra no campo de batalha sob seu controle, você recebe {E} (um marcador de energia). {T}, pague seis {E}: Compre três cards.</t>
        </is>
      </c>
      <c r="E2889" s="11" t="inlineStr">
        <is>
          <t>{1}{U}</t>
        </is>
      </c>
      <c r="F2889" s="11" t="inlineStr">
        <is>
          <t>Azul</t>
        </is>
      </c>
      <c r="G2889" s="8" t="n">
        <v>0.1</v>
      </c>
      <c r="H2889" s="11" t="inlineStr">
        <is>
          <t>Modern Horizons 3 (MH3)</t>
        </is>
      </c>
      <c r="I2889" s="11" t="inlineStr">
        <is>
          <t>Sim</t>
        </is>
      </c>
      <c r="J2889" s="11" t="n">
        <v>2024</v>
      </c>
      <c r="K2889" s="10" t="n">
        <v>46082</v>
      </c>
      <c r="L2889" s="11" t="n">
        <v>1</v>
      </c>
      <c r="M2889" s="8">
        <f>L2889*G2889</f>
        <v/>
      </c>
      <c r="P2889" s="9" t="n"/>
    </row>
    <row r="2890">
      <c r="A2890" s="11" t="inlineStr">
        <is>
          <t>Aquamoeba / Aquameba</t>
        </is>
      </c>
      <c r="B2890" s="11" t="inlineStr">
        <is>
          <t>Creature — Elemental Beast / Criatura — Elemental Besta</t>
        </is>
      </c>
      <c r="C2890" s="11" t="inlineStr">
        <is>
          <t>Common / Comum</t>
        </is>
      </c>
      <c r="D2890" s="11" t="inlineStr">
        <is>
          <t>Discard a card: Switch this creature's power and toughness until end of turn. / Descarte um card: Permute o poder e a resistência de Aquameba até o final do turno.</t>
        </is>
      </c>
      <c r="E2890" s="11" t="inlineStr">
        <is>
          <t>{1}{U}</t>
        </is>
      </c>
      <c r="F2890" s="11" t="inlineStr">
        <is>
          <t>Azul</t>
        </is>
      </c>
      <c r="G2890" s="8" t="n">
        <v>0.14</v>
      </c>
      <c r="H2890" s="11" t="inlineStr">
        <is>
          <t>Dominaria Remastered (DMR)</t>
        </is>
      </c>
      <c r="I2890" s="11" t="inlineStr">
        <is>
          <t>Não</t>
        </is>
      </c>
      <c r="J2890" s="11" t="n">
        <v>2023</v>
      </c>
      <c r="K2890" s="10" t="n">
        <v>46082</v>
      </c>
      <c r="L2890" s="11" t="n">
        <v>1</v>
      </c>
      <c r="M2890" s="8">
        <f>L2890*G2890</f>
        <v/>
      </c>
      <c r="P2890" s="9" t="n"/>
    </row>
    <row r="2891">
      <c r="A2891" s="11" t="inlineStr">
        <is>
          <t>Unesh, Criosphinx Sovereign / Unesh, Soberano Crioesfinge</t>
        </is>
      </c>
      <c r="B2891" s="11" t="inlineStr">
        <is>
          <t>Legendary Creature — Sphinx / Criatura Lendária — Esfinge</t>
        </is>
      </c>
      <c r="C2891" s="11" t="inlineStr">
        <is>
          <t>Mythic / Mítica</t>
        </is>
      </c>
      <c r="D2891" s="11" t="inlineStr">
        <is>
          <t>Flying Sphinx spells you cast cost {2} less to cast. Whenever Unesh or another Sphinx you control enters, reveal the top four cards of your library. An opponent separates those cards into two piles. Put one pile into your hand and the other into your graveyard. / Voar As mágicas de Esfinge que você conjura custam {2} a menos para serem conjuradas. Toda vez que Unesh, Soberano Crioesfinge, ou outra Esfinge entrar no campo de batalha sob seu controle, revele os quatro cards do topo de seu grimório. Um oponente separa aqueles cards em dois montes. Coloque um monte na sua mão e o outro em seu cemitério.</t>
        </is>
      </c>
      <c r="E2891" s="11" t="inlineStr">
        <is>
          <t>{4}{U}{U}</t>
        </is>
      </c>
      <c r="F2891" s="11" t="inlineStr">
        <is>
          <t>Azul</t>
        </is>
      </c>
      <c r="G2891" s="8" t="n">
        <v>0.5</v>
      </c>
      <c r="H2891" s="11" t="inlineStr">
        <is>
          <t>Hour of Devastation (HOU)</t>
        </is>
      </c>
      <c r="I2891" s="11" t="inlineStr">
        <is>
          <t>Não</t>
        </is>
      </c>
      <c r="J2891" s="11" t="n">
        <v>2017</v>
      </c>
      <c r="K2891" s="10" t="n">
        <v>46116</v>
      </c>
      <c r="L2891" s="11" t="n">
        <v>1</v>
      </c>
      <c r="M2891" s="8">
        <f>L2891*G2891</f>
        <v/>
      </c>
      <c r="N2891" s="11" t="inlineStr">
        <is>
          <t>Pasta</t>
        </is>
      </c>
      <c r="P2891" s="9" t="n"/>
    </row>
    <row r="2892">
      <c r="A2892" s="11" t="inlineStr">
        <is>
          <t>Johann's Stopgap / Gambiarra de Johann</t>
        </is>
      </c>
      <c r="B2892" s="11" t="inlineStr">
        <is>
          <t>Sorcery / Feitiço</t>
        </is>
      </c>
      <c r="C2892" s="11" t="inlineStr">
        <is>
          <t>Common / Comum</t>
        </is>
      </c>
      <c r="D2892" s="11" t="inlineStr">
        <is>
          <t>Bargain (You may sacrifice an artifact, enchantment, or token as you cast this spell.) This spell costs {2} less to cast if it's bargained. Return target nonland permanent to its owner's hand. Draw a card. / Negociar (Você pode sacrificar um artefato, um encantamento ou uma ficha conforme conjura esta mágica.) Esta mágica custa {2} a menos para conjurar se tiver sido negociada. Devolva a permanente alvo não de terreno para a mão de seu dono. Compre um card.</t>
        </is>
      </c>
      <c r="E2892" s="11" t="inlineStr">
        <is>
          <t>{3}{U}</t>
        </is>
      </c>
      <c r="F2892" s="11" t="inlineStr">
        <is>
          <t>Azul</t>
        </is>
      </c>
      <c r="G2892" s="8" t="n">
        <v>0.04</v>
      </c>
      <c r="H2892" s="11" t="inlineStr">
        <is>
          <t>Wilds of Eldraine (WOE)</t>
        </is>
      </c>
      <c r="I2892" s="11" t="inlineStr">
        <is>
          <t>Não</t>
        </is>
      </c>
      <c r="J2892" s="11" t="n">
        <v>2023</v>
      </c>
      <c r="L2892" s="11" t="n">
        <v>1</v>
      </c>
      <c r="M2892" s="8">
        <f>L2892*G2892</f>
        <v/>
      </c>
      <c r="P2892" s="9" t="n"/>
    </row>
    <row r="2893">
      <c r="A2893" s="11" t="inlineStr">
        <is>
          <t>Sidequest: Card Collection // Magicked Card</t>
        </is>
      </c>
      <c r="B2893" s="11" t="inlineStr">
        <is>
          <t>Enchantment // Artifact — Vehicle</t>
        </is>
      </c>
      <c r="C2893" s="11" t="inlineStr">
        <is>
          <t>Uncommon / Incomum</t>
        </is>
      </c>
      <c r="D2893" s="11" t="inlineStr">
        <is>
          <t>Sidequest: Card Collection: When this enchantment enters, draw three cards, then discard two cards. At the beginning of your end step, if eight or more cards are in your graveyard, transform this enchantment. // Magicked Card: Flying Crew 1 (Tap any number of creatures you control with total power 1 or more: This Vehicle becomes an artifact creature until end of turn.)</t>
        </is>
      </c>
      <c r="E2893" s="11" t="inlineStr">
        <is>
          <t>{3}{U}</t>
        </is>
      </c>
      <c r="F2893" s="11" t="inlineStr">
        <is>
          <t>Azul</t>
        </is>
      </c>
      <c r="G2893" s="8" t="n">
        <v>0.15</v>
      </c>
      <c r="H2893" s="11" t="inlineStr">
        <is>
          <t>Final Fantasy (FIN)</t>
        </is>
      </c>
      <c r="I2893" s="11" t="inlineStr">
        <is>
          <t>Não</t>
        </is>
      </c>
      <c r="J2893" s="11" t="n">
        <v>2025</v>
      </c>
      <c r="K2893" s="10" t="n">
        <v>46116</v>
      </c>
      <c r="L2893" s="11" t="n">
        <v>1</v>
      </c>
      <c r="M2893" s="8">
        <f>L2893*G2893</f>
        <v/>
      </c>
      <c r="P2893" s="9" t="n"/>
    </row>
    <row r="2894">
      <c r="A2894" s="11" t="inlineStr">
        <is>
          <t>Agency Outfitter / Fornecedor da Agência</t>
        </is>
      </c>
      <c r="B2894" s="11" t="inlineStr">
        <is>
          <t>Creature — Sphinx Detective / Criatura — Esfinge Detetive</t>
        </is>
      </c>
      <c r="C2894" s="11" t="inlineStr">
        <is>
          <t>Uncommon / Incomum</t>
        </is>
      </c>
      <c r="D2894" s="11" t="inlineStr">
        <is>
          <t>Flying When this creature enters, you may search your graveyard, hand and/or library for a card named Magnifying Glass and/or a card named Thinking Cap and put them onto the battlefield. If you search your library this way, shuffle. / Voar Quando Fornecedor da Agência entra no campo de batalha, você pode procurar em seu cemitério, mão e/ou grimório um card com o nome Lente de Aumento e/ou um card com o nome Chapéu de Pensar e colocá-los no campo de batalha. Se você procurar em seu grimório dessa forma, embaralhe.</t>
        </is>
      </c>
      <c r="E2894" s="11" t="inlineStr">
        <is>
          <t>{4}{U}{U}</t>
        </is>
      </c>
      <c r="F2894" s="11" t="inlineStr">
        <is>
          <t>Azul</t>
        </is>
      </c>
      <c r="G2894" s="8" t="n">
        <v>0.06</v>
      </c>
      <c r="H2894" s="11" t="inlineStr">
        <is>
          <t>Murders at Karlov Manor (MKM)</t>
        </is>
      </c>
      <c r="I2894" s="11" t="inlineStr">
        <is>
          <t>Não</t>
        </is>
      </c>
      <c r="J2894" s="11" t="n">
        <v>2024</v>
      </c>
      <c r="K2894" s="10" t="n">
        <v>46085</v>
      </c>
      <c r="L2894" s="11" t="n">
        <v>1</v>
      </c>
      <c r="M2894" s="8">
        <f>L2894*G2894</f>
        <v/>
      </c>
      <c r="P2894" s="9" t="n"/>
    </row>
    <row r="2895">
      <c r="A2895" s="11" t="inlineStr">
        <is>
          <t>Gelar</t>
        </is>
      </c>
      <c r="B2895" s="11" t="inlineStr">
        <is>
          <t>Mágica Instantânea / Instant</t>
        </is>
      </c>
      <c r="C2895" s="11" t="inlineStr">
        <is>
          <t>Comum / Common</t>
        </is>
      </c>
      <c r="D2895" s="11" t="inlineStr">
        <is>
          <t>Negociar (Você pode sacrificar um artefato, um encantamento ou uma ficha conforme conjura esta mágica.) Esta mágica custa {1} a menos para conjurar se tiver sido negociada. Anule a mágica alvo.</t>
        </is>
      </c>
      <c r="E2895" s="11" t="inlineStr">
        <is>
          <t>{1}{U}{U}</t>
        </is>
      </c>
      <c r="F2895" s="11" t="inlineStr">
        <is>
          <t>Azul</t>
        </is>
      </c>
      <c r="G2895" s="8" t="n">
        <v>0.12</v>
      </c>
      <c r="H2895" s="11" t="inlineStr">
        <is>
          <t>Terras Selvagens de Eldraine (WOE)</t>
        </is>
      </c>
      <c r="I2895" s="11" t="inlineStr">
        <is>
          <t>Não</t>
        </is>
      </c>
      <c r="J2895" s="11" t="n">
        <v>2023</v>
      </c>
      <c r="L2895" s="11" t="n">
        <v>1</v>
      </c>
      <c r="M2895" s="8">
        <f>L2895*G2895</f>
        <v/>
      </c>
      <c r="P2895" s="9" t="n"/>
    </row>
    <row r="2896">
      <c r="A2896" s="11" t="inlineStr">
        <is>
          <t>Strix Lookout</t>
        </is>
      </c>
      <c r="B2896" s="11" t="inlineStr">
        <is>
          <t>Creature — Bird</t>
        </is>
      </c>
      <c r="C2896" s="11" t="inlineStr">
        <is>
          <t>Common / Comum</t>
        </is>
      </c>
      <c r="D2896" s="11" t="inlineStr">
        <is>
          <t>Flying, vigilance (Attacking doesn't cause this creature to tap.) {1}{U}, {T}: Draw a card, then discard a card.</t>
        </is>
      </c>
      <c r="E2896" s="11" t="inlineStr">
        <is>
          <t>{1}{U}</t>
        </is>
      </c>
      <c r="F2896" s="11" t="inlineStr">
        <is>
          <t>Azul</t>
        </is>
      </c>
      <c r="G2896" s="8" t="n">
        <v>0.05</v>
      </c>
      <c r="H2896" s="11" t="inlineStr">
        <is>
          <t>Foundations (FDN)</t>
        </is>
      </c>
      <c r="I2896" s="11" t="inlineStr">
        <is>
          <t>Não</t>
        </is>
      </c>
      <c r="J2896" s="11" t="n">
        <v>2026</v>
      </c>
      <c r="K2896" s="10" t="n">
        <v>46054</v>
      </c>
      <c r="L2896" s="11" t="n">
        <v>2</v>
      </c>
      <c r="M2896" s="8">
        <f>L2896*G2896</f>
        <v/>
      </c>
      <c r="P2896" s="9" t="n"/>
    </row>
    <row r="2897">
      <c r="A2897" s="11" t="inlineStr">
        <is>
          <t>Witness Protection / Proteção de Testemunhas</t>
        </is>
      </c>
      <c r="B2897" s="11" t="inlineStr">
        <is>
          <t>Enchantment — Aura / Encantamento — Aura</t>
        </is>
      </c>
      <c r="C2897" s="11" t="inlineStr">
        <is>
          <t>Common / Comum</t>
        </is>
      </c>
      <c r="D2897" s="11" t="inlineStr">
        <is>
          <t>Enchant creature Enchanted creature loses all abilities and is a green and white Citizen creature with base power and toughness 1/1 named Legitimate Businessperson. (It loses all other colors, card types, creature types, and names.) / Encantar criatura A criatura encantada perde todas as habilidades e é uma criatura Cidadão verde e branca com poder e resistência básicos 1/1 com o nome Comerciante Respeitável. (Ele perde todas as outras cores, tipos de card, tipos de criatura e nomes.)</t>
        </is>
      </c>
      <c r="E2897" s="11" t="inlineStr">
        <is>
          <t>{U}</t>
        </is>
      </c>
      <c r="F2897" s="11" t="inlineStr">
        <is>
          <t>Azul</t>
        </is>
      </c>
      <c r="G2897" s="8" t="n">
        <v>0.14</v>
      </c>
      <c r="H2897" s="11" t="inlineStr">
        <is>
          <t>Foundations (FDN)</t>
        </is>
      </c>
      <c r="I2897" s="11" t="inlineStr">
        <is>
          <t>Não</t>
        </is>
      </c>
      <c r="J2897" s="11" t="n">
        <v>2024</v>
      </c>
      <c r="L2897" s="11" t="n">
        <v>1</v>
      </c>
      <c r="M2897" s="8">
        <f>L2897*G2897</f>
        <v/>
      </c>
      <c r="P2897" s="9" t="n"/>
    </row>
    <row r="2898">
      <c r="A2898" s="11" t="inlineStr">
        <is>
          <t>Uncharted Voyage</t>
        </is>
      </c>
      <c r="B2898" s="11" t="inlineStr">
        <is>
          <t>Instant</t>
        </is>
      </c>
      <c r="C2898" s="11" t="inlineStr">
        <is>
          <t>Common / Comum</t>
        </is>
      </c>
      <c r="D2898" s="11" t="inlineStr">
        <is>
          <t>Target creature's owner puts it on their choice of the top or bottom of their library. Surveil 1. (Look at the top card of your library. You may put it into your graveyard.)</t>
        </is>
      </c>
      <c r="E2898" s="11" t="inlineStr">
        <is>
          <t>{3}{U}</t>
        </is>
      </c>
      <c r="F2898" s="11" t="inlineStr">
        <is>
          <t>Azul</t>
        </is>
      </c>
      <c r="G2898" s="8" t="n">
        <v>0.05</v>
      </c>
      <c r="H2898" s="11" t="inlineStr">
        <is>
          <t>Foundations (FDN)</t>
        </is>
      </c>
      <c r="I2898" s="11" t="inlineStr">
        <is>
          <t>Não</t>
        </is>
      </c>
      <c r="J2898" s="11" t="n">
        <v>2024</v>
      </c>
      <c r="L2898" s="11" t="n">
        <v>3</v>
      </c>
      <c r="M2898" s="8">
        <f>L2898*G2898</f>
        <v/>
      </c>
      <c r="P2898" s="9" t="n"/>
    </row>
    <row r="2899">
      <c r="A2899" s="11" t="inlineStr">
        <is>
          <t>Syncopate / Sincopar</t>
        </is>
      </c>
      <c r="B2899" s="11" t="inlineStr">
        <is>
          <t>Instant / Mágica Instantânea</t>
        </is>
      </c>
      <c r="C2899" s="11" t="inlineStr">
        <is>
          <t>Common / Comum</t>
        </is>
      </c>
      <c r="D2899" s="11" t="inlineStr">
        <is>
          <t>Counter target spell unless its controller pays {X}. If that spell is countered this way, exile it instead of putting it into its owner's graveyard. / Anule a mágica alvo, a menos que seu controlador pague {X}. Se aquela mágica for anulada dessa maneira, exile-a em vez de colocá-la no cemitério de seu dono.</t>
        </is>
      </c>
      <c r="E2899" s="11" t="inlineStr">
        <is>
          <t>{X}{U}</t>
        </is>
      </c>
      <c r="F2899" s="11" t="inlineStr">
        <is>
          <t>Azul</t>
        </is>
      </c>
      <c r="G2899" s="8" t="n">
        <v>0.05</v>
      </c>
      <c r="H2899" s="11" t="inlineStr">
        <is>
          <t>Dominaria (DOM)</t>
        </is>
      </c>
      <c r="I2899" s="11" t="inlineStr">
        <is>
          <t>Não</t>
        </is>
      </c>
      <c r="J2899" s="11" t="n">
        <v>2018</v>
      </c>
      <c r="L2899" s="11" t="n">
        <v>1</v>
      </c>
      <c r="M2899" s="8">
        <f>L2899*G2899</f>
        <v/>
      </c>
      <c r="P2899" s="9" t="n"/>
    </row>
    <row r="2900">
      <c r="A2900" s="11" t="inlineStr">
        <is>
          <t>Enter the Enigma</t>
        </is>
      </c>
      <c r="B2900" s="11" t="inlineStr">
        <is>
          <t>Sorcery</t>
        </is>
      </c>
      <c r="C2900" s="11" t="inlineStr">
        <is>
          <t>Common / Comum</t>
        </is>
      </c>
      <c r="D2900" s="11" t="inlineStr">
        <is>
          <t>Target creature can't be blocked this turn. Draw a card.</t>
        </is>
      </c>
      <c r="E2900" s="11" t="inlineStr">
        <is>
          <t>{U}</t>
        </is>
      </c>
      <c r="F2900" s="11" t="inlineStr">
        <is>
          <t>Azul</t>
        </is>
      </c>
      <c r="G2900" s="8" t="n">
        <v>0.19</v>
      </c>
      <c r="H2900" s="11" t="inlineStr">
        <is>
          <t>Duskmourn: House of Horror (DSK)</t>
        </is>
      </c>
      <c r="I2900" s="11" t="inlineStr">
        <is>
          <t>Não</t>
        </is>
      </c>
      <c r="J2900" s="11" t="n">
        <v>2024</v>
      </c>
      <c r="L2900" s="11" t="n">
        <v>1</v>
      </c>
      <c r="M2900" s="8">
        <f>L2900*G2900</f>
        <v/>
      </c>
      <c r="P2900" s="9" t="n"/>
    </row>
    <row r="2901">
      <c r="A2901" s="11" t="inlineStr">
        <is>
          <t>Tolarian Terror / Terror Tolariano</t>
        </is>
      </c>
      <c r="B2901" s="11" t="inlineStr">
        <is>
          <t>Creature — Serpent / Criatura — Serpente</t>
        </is>
      </c>
      <c r="C2901" s="11" t="inlineStr">
        <is>
          <t>Common / Comum</t>
        </is>
      </c>
      <c r="D2901" s="11" t="inlineStr">
        <is>
          <t>This spell costs {1} less to cast for each instant and sorcery card in your graveyard. Ward {2} (Whenever this creature becomes the target of a spell or ability an opponent controls, counter it unless that player pays {2}.) / Esta mágica custa {1} a menos para ser conjurada para cada card de mágica instantânea ou de feitiço em seu cemitério. Salvaguarda {2} (Toda vez que esta criatura se tornar alvo de uma mágica ou habilidade que um oponente controla, anule-a, a menos que aquele jogador pague {2}.)</t>
        </is>
      </c>
      <c r="E2901" s="11" t="inlineStr">
        <is>
          <t>{6}{U}</t>
        </is>
      </c>
      <c r="F2901" s="11" t="inlineStr">
        <is>
          <t>Azul</t>
        </is>
      </c>
      <c r="G2901" s="8" t="n">
        <v>0.1</v>
      </c>
      <c r="H2901" s="11" t="inlineStr">
        <is>
          <t>Foundations (FDN)</t>
        </is>
      </c>
      <c r="I2901" s="11" t="inlineStr">
        <is>
          <t>Não</t>
        </is>
      </c>
      <c r="J2901" s="11" t="n">
        <v>2024</v>
      </c>
      <c r="K2901" s="10" t="n">
        <v>46147</v>
      </c>
      <c r="L2901" s="11" t="n">
        <v>1</v>
      </c>
      <c r="M2901" s="8">
        <f>L2901*G2901</f>
        <v/>
      </c>
      <c r="P2901" s="9" t="n"/>
    </row>
    <row r="2902">
      <c r="A2902" s="11" t="inlineStr">
        <is>
          <t>Aegis Turtle / Tartaruga da Égide</t>
        </is>
      </c>
      <c r="B2902" s="11" t="inlineStr">
        <is>
          <t>Creature — Turtle / Criatura — Tartaruga</t>
        </is>
      </c>
      <c r="C2902" s="11" t="inlineStr">
        <is>
          <t>Common / Comum</t>
        </is>
      </c>
      <c r="E2902" s="11" t="inlineStr">
        <is>
          <t>{U}</t>
        </is>
      </c>
      <c r="F2902" s="11" t="inlineStr">
        <is>
          <t>Azul</t>
        </is>
      </c>
      <c r="G2902" s="8" t="n">
        <v>0.02</v>
      </c>
      <c r="H2902" s="11" t="inlineStr">
        <is>
          <t>Foundations (FDN)</t>
        </is>
      </c>
      <c r="I2902" s="11" t="inlineStr">
        <is>
          <t>Não</t>
        </is>
      </c>
      <c r="J2902" s="11" t="n">
        <v>2024</v>
      </c>
      <c r="K2902" s="11" t="inlineStr">
        <is>
          <t>0/5</t>
        </is>
      </c>
      <c r="L2902" s="11" t="n">
        <v>1</v>
      </c>
      <c r="M2902" s="8">
        <f>L2902*G2902</f>
        <v/>
      </c>
      <c r="P2902" s="9" t="n"/>
    </row>
    <row r="2903">
      <c r="A2903" s="11" t="inlineStr">
        <is>
          <t>Twist Reality</t>
        </is>
      </c>
      <c r="B2903" s="11" t="inlineStr">
        <is>
          <t>Instant</t>
        </is>
      </c>
      <c r="C2903" s="11" t="inlineStr">
        <is>
          <t>Common / Comum</t>
        </is>
      </c>
      <c r="D2903" s="11" t="inlineStr">
        <is>
          <t>Choose one — • Counter target spell. • Manifest dread. (Look at the top two cards of your library. Put one onto the battlefield face down as a 2/2 creature and the other into your graveyard. Turn it face up any time for its mana cost if it's a creature card.)</t>
        </is>
      </c>
      <c r="E2903" s="11" t="inlineStr">
        <is>
          <t>{1}{U}{U}</t>
        </is>
      </c>
      <c r="F2903" s="11" t="inlineStr">
        <is>
          <t>Azul</t>
        </is>
      </c>
      <c r="G2903" s="8" t="n">
        <v>0.05</v>
      </c>
      <c r="H2903" s="11" t="inlineStr">
        <is>
          <t>Duskmourn: House of Horror (DSK)</t>
        </is>
      </c>
      <c r="I2903" s="11" t="inlineStr">
        <is>
          <t>Não</t>
        </is>
      </c>
      <c r="J2903" s="11" t="n">
        <v>2024</v>
      </c>
      <c r="L2903" s="11" t="n">
        <v>2</v>
      </c>
      <c r="M2903" s="8">
        <f>L2903*G2903</f>
        <v/>
      </c>
      <c r="P2903" s="9" t="n"/>
    </row>
    <row r="2904">
      <c r="A2904" s="11" t="inlineStr">
        <is>
          <t>Vanish from Sight</t>
        </is>
      </c>
      <c r="B2904" s="11" t="inlineStr">
        <is>
          <t>Instant</t>
        </is>
      </c>
      <c r="C2904" s="11" t="inlineStr">
        <is>
          <t>Common / Comum</t>
        </is>
      </c>
      <c r="D2904" s="11" t="inlineStr">
        <is>
          <t>Target nonland permanent's owner puts it on their choice of the top or bottom of their library. Surveil 1. (Look at the top card of your library. You may put it into your graveyard.)</t>
        </is>
      </c>
      <c r="E2904" s="11" t="inlineStr">
        <is>
          <t>{3}{U}</t>
        </is>
      </c>
      <c r="F2904" s="11" t="inlineStr">
        <is>
          <t>Azul</t>
        </is>
      </c>
      <c r="G2904" s="8" t="n">
        <v>0.05</v>
      </c>
      <c r="H2904" s="11" t="inlineStr">
        <is>
          <t>Duskmourn: House of Horror (DSK)</t>
        </is>
      </c>
      <c r="I2904" s="11" t="inlineStr">
        <is>
          <t>Não</t>
        </is>
      </c>
      <c r="J2904" s="11" t="n">
        <v>2024</v>
      </c>
      <c r="L2904" s="11" t="n">
        <v>1</v>
      </c>
      <c r="M2904" s="8">
        <f>L2904*G2904</f>
        <v/>
      </c>
      <c r="P2904" s="9" t="n"/>
    </row>
    <row r="2905">
      <c r="A2905" s="11" t="inlineStr">
        <is>
          <t>Dramatic Accusation / Acusação Dramática</t>
        </is>
      </c>
      <c r="B2905" s="11" t="inlineStr">
        <is>
          <t>Enchantment — Aura / Encantamento — Aura</t>
        </is>
      </c>
      <c r="C2905" s="11" t="inlineStr">
        <is>
          <t>Common / Comum</t>
        </is>
      </c>
      <c r="D2905" s="11" t="inlineStr">
        <is>
          <t>Enchant creature When this Aura enters, tap enchanted creature. Enchanted creature doesn't untap during its controller's untap step. {U}{U}: Shuffle enchanted creature into its owner's library. / Encantar criatura Quando Acusação Dramática entrar no campo de batalha, vire a criatura encantada. A criatura encantada não desvira durante a etapa de desvirar de seu controlador. {U}{U}: Embaralhe a criatura encantada no grimório de seu dono.</t>
        </is>
      </c>
      <c r="E2905" s="11" t="inlineStr">
        <is>
          <t>{2}{U}</t>
        </is>
      </c>
      <c r="F2905" s="11" t="inlineStr">
        <is>
          <t>Azul</t>
        </is>
      </c>
      <c r="G2905" s="8" t="n">
        <v>0.05</v>
      </c>
      <c r="H2905" s="11" t="inlineStr">
        <is>
          <t>Murders at Karlov Manor (MKM)</t>
        </is>
      </c>
      <c r="I2905" s="11" t="inlineStr">
        <is>
          <t>Não</t>
        </is>
      </c>
      <c r="J2905" s="11" t="n">
        <v>2024</v>
      </c>
      <c r="L2905" s="11" t="n">
        <v>1</v>
      </c>
      <c r="M2905" s="8">
        <f>L2905*G2905</f>
        <v/>
      </c>
      <c r="P2905" s="9" t="n"/>
    </row>
    <row r="2906">
      <c r="A2906" s="11" t="inlineStr">
        <is>
          <t>Strategic Planning / Planejamento Estratégico</t>
        </is>
      </c>
      <c r="B2906" s="11" t="inlineStr">
        <is>
          <t>Sorcery / Feitiço</t>
        </is>
      </c>
      <c r="C2906" s="11" t="inlineStr">
        <is>
          <t>Common / Comum</t>
        </is>
      </c>
      <c r="D2906" s="11" t="inlineStr">
        <is>
          <t>Look at the top three cards of your library. Put one of them into your hand and the rest into your graveyard. / Olhe os três cards do topo de seu grimório. Coloque um deles em sua mão e o restante em seu cemitério.</t>
        </is>
      </c>
      <c r="E2906" s="11" t="inlineStr">
        <is>
          <t>{1}{U}</t>
        </is>
      </c>
      <c r="F2906" s="11" t="inlineStr">
        <is>
          <t>Azul</t>
        </is>
      </c>
      <c r="G2906" s="8" t="n">
        <v>0.06</v>
      </c>
      <c r="H2906" s="11" t="inlineStr">
        <is>
          <t>Kaldheim (KHM)</t>
        </is>
      </c>
      <c r="I2906" s="11" t="inlineStr">
        <is>
          <t>Não</t>
        </is>
      </c>
      <c r="J2906" s="11" t="n">
        <v>2021</v>
      </c>
      <c r="L2906" s="11" t="n">
        <v>1</v>
      </c>
      <c r="M2906" s="8">
        <f>L2906*G2906</f>
        <v/>
      </c>
      <c r="P2906" s="9" t="n"/>
    </row>
    <row r="2907">
      <c r="A2907" s="11" t="inlineStr">
        <is>
          <t>Augury Raven / Corvo do Augúrio</t>
        </is>
      </c>
      <c r="B2907" s="11" t="inlineStr">
        <is>
          <t>Creature — Bird / Criatura — Ave</t>
        </is>
      </c>
      <c r="C2907" s="11" t="inlineStr">
        <is>
          <t>Common / Comum</t>
        </is>
      </c>
      <c r="D2907" s="11" t="inlineStr">
        <is>
          <t>Flying Foretell {1}{U} (During your turn, you may pay {2} and exile this card from your hand face down. Cast it on a later turn for its foretell cost.) / Voar Profetizar {1}{U} (Durante o seu turno, você pode pagar {2} e exilar este card de sua mão voltado para baixo. Conjure-o em um turno posterior pagando seu custo de profetizar.)</t>
        </is>
      </c>
      <c r="E2907" s="11" t="inlineStr">
        <is>
          <t>{3}{U}</t>
        </is>
      </c>
      <c r="F2907" s="11" t="inlineStr">
        <is>
          <t>Azul</t>
        </is>
      </c>
      <c r="G2907" s="8" t="n">
        <v>0.05</v>
      </c>
      <c r="H2907" s="11" t="inlineStr">
        <is>
          <t>Kaldheim (KHM)</t>
        </is>
      </c>
      <c r="I2907" s="11" t="inlineStr">
        <is>
          <t>Não</t>
        </is>
      </c>
      <c r="J2907" s="11" t="n">
        <v>2021</v>
      </c>
      <c r="K2907" s="10" t="n">
        <v>46084</v>
      </c>
      <c r="L2907" s="11" t="n">
        <v>1</v>
      </c>
      <c r="M2907" s="8">
        <f>L2907*G2907</f>
        <v/>
      </c>
      <c r="P2907" s="9" t="n"/>
    </row>
    <row r="2908">
      <c r="A2908" s="11" t="inlineStr">
        <is>
          <t>Vedalken Mesmerist / Mesmerista Vedalkeano</t>
        </is>
      </c>
      <c r="B2908" s="11" t="inlineStr">
        <is>
          <t>Creature — Vedalken Wizard / Criatura — Vedalkeano Mago</t>
        </is>
      </c>
      <c r="C2908" s="11" t="inlineStr">
        <is>
          <t>Common / Comum</t>
        </is>
      </c>
      <c r="D2908" s="11" t="inlineStr">
        <is>
          <t>Whenever this creature attacks, target creature an opponent controls gets -2/-0 until end of turn. / Toda vez que Mesmerista Vedalkeano ataca, a criatura alvo que um oponente controla recebe -2/-0 até o final do turno.</t>
        </is>
      </c>
      <c r="E2908" s="11" t="inlineStr">
        <is>
          <t>{1}{U}</t>
        </is>
      </c>
      <c r="F2908" s="11" t="inlineStr">
        <is>
          <t>Azul</t>
        </is>
      </c>
      <c r="G2908" s="8" t="n">
        <v>0.1</v>
      </c>
      <c r="H2908" s="11" t="inlineStr">
        <is>
          <t>Ravnica Remastered (RVR)</t>
        </is>
      </c>
      <c r="I2908" s="11" t="inlineStr">
        <is>
          <t>Não</t>
        </is>
      </c>
      <c r="J2908" s="11" t="n">
        <v>2024</v>
      </c>
      <c r="K2908" s="10" t="n">
        <v>46024</v>
      </c>
      <c r="L2908" s="11" t="n">
        <v>1</v>
      </c>
      <c r="M2908" s="8">
        <f>L2908*G2908</f>
        <v/>
      </c>
      <c r="P2908" s="9" t="n"/>
    </row>
    <row r="2909">
      <c r="A2909" s="11" t="inlineStr">
        <is>
          <t>Erratic Apparition</t>
        </is>
      </c>
      <c r="B2909" s="11" t="inlineStr">
        <is>
          <t>Creature — Spirit</t>
        </is>
      </c>
      <c r="C2909" s="11" t="inlineStr">
        <is>
          <t>Common / Comum</t>
        </is>
      </c>
      <c r="D2909" s="11" t="inlineStr">
        <is>
          <t>Flying, vigilance Eerie — Whenever an enchantment you control enters and whenever you fully unlock a Room, this creature gets +1/+1 until end of turn.</t>
        </is>
      </c>
      <c r="E2909" s="11" t="inlineStr">
        <is>
          <t>{2}{U}</t>
        </is>
      </c>
      <c r="F2909" s="11" t="inlineStr">
        <is>
          <t>Azul</t>
        </is>
      </c>
      <c r="G2909" s="8" t="n">
        <v>0.05</v>
      </c>
      <c r="H2909" s="11" t="inlineStr">
        <is>
          <t>Duskmourn: House of Horror (DSK)</t>
        </is>
      </c>
      <c r="I2909" s="11" t="inlineStr">
        <is>
          <t>Não</t>
        </is>
      </c>
      <c r="J2909" s="11" t="n">
        <v>2024</v>
      </c>
      <c r="K2909" s="10" t="n">
        <v>46082</v>
      </c>
      <c r="L2909" s="11" t="n">
        <v>1</v>
      </c>
      <c r="M2909" s="8">
        <f>L2909*G2909</f>
        <v/>
      </c>
      <c r="P2909" s="9" t="n"/>
    </row>
    <row r="2910">
      <c r="A2910" s="11" t="inlineStr">
        <is>
          <t>Deem Inferior / Julgar Inferior</t>
        </is>
      </c>
      <c r="B2910" s="11" t="inlineStr">
        <is>
          <t>Sorcery / Feitiço</t>
        </is>
      </c>
      <c r="C2910" s="11" t="inlineStr">
        <is>
          <t>Common / Comum</t>
        </is>
      </c>
      <c r="D2910" s="11" t="inlineStr">
        <is>
          <t>This spell costs {1} less to cast for each card you've drawn this turn. The owner of target nonland permanent puts it into their library second from the top or on the bottom. / Esta mágica custa {1} a menos para ser conjurada por cada card que você comprou neste turno. O dono da permanente não de terreno alvo a coloca no próprio grimório na segunda posição ou no fundo.</t>
        </is>
      </c>
      <c r="E2910" s="11" t="inlineStr">
        <is>
          <t>{3}{U}</t>
        </is>
      </c>
      <c r="F2910" s="11" t="inlineStr">
        <is>
          <t>Azul</t>
        </is>
      </c>
      <c r="G2910" s="8" t="n">
        <v>0.08</v>
      </c>
      <c r="H2910" s="11" t="inlineStr">
        <is>
          <t>Modern Horizons 3 (MH3)</t>
        </is>
      </c>
      <c r="I2910" s="11" t="inlineStr">
        <is>
          <t>Não</t>
        </is>
      </c>
      <c r="J2910" s="11" t="n">
        <v>2024</v>
      </c>
      <c r="L2910" s="11" t="n">
        <v>1</v>
      </c>
      <c r="M2910" s="8">
        <f>L2910*G2910</f>
        <v/>
      </c>
      <c r="P2910" s="9" t="n"/>
    </row>
    <row r="2911">
      <c r="A2911" s="11" t="inlineStr">
        <is>
          <t>Persistent Petitioners / Peticionários Persistentes</t>
        </is>
      </c>
      <c r="B2911" s="11" t="inlineStr">
        <is>
          <t>Creature — Human Advisor / Criatura — Humano Conselheiro</t>
        </is>
      </c>
      <c r="C2911" s="11" t="inlineStr">
        <is>
          <t>Common / Comum</t>
        </is>
      </c>
      <c r="D2911" s="11" t="inlineStr">
        <is>
          <t>{1}, {T}: Target player mills a card. (They put the top card of their library into their graveyard.) Tap four untapped Advisors you control: Target player mills twelve cards. A deck can have any number of cards named Persistent Petitioners. / {1}, {T}: O jogador alvo coloca o card do topo do próprio grimório no próprio cemitério. Vire quatro Conselheiros desvirados que você controla: O jogador alvo coloca os doze cards do topo do próprio grimório no próprio cemitério. Um deck pode conter um número qualquer de cards com o nome Peticionários Persistentes.</t>
        </is>
      </c>
      <c r="E2911" s="11" t="inlineStr">
        <is>
          <t>{1}{U}</t>
        </is>
      </c>
      <c r="F2911" s="11" t="inlineStr">
        <is>
          <t>Azul</t>
        </is>
      </c>
      <c r="G2911" s="8" t="n">
        <v>0.57</v>
      </c>
      <c r="H2911" s="11" t="inlineStr">
        <is>
          <t>Ravnica Remastered (RVR)</t>
        </is>
      </c>
      <c r="I2911" s="11" t="inlineStr">
        <is>
          <t>Não</t>
        </is>
      </c>
      <c r="J2911" s="11" t="n">
        <v>2024</v>
      </c>
      <c r="K2911" s="10" t="n">
        <v>46082</v>
      </c>
      <c r="L2911" s="11" t="n">
        <v>1</v>
      </c>
      <c r="M2911" s="8">
        <f>L2911*G2911</f>
        <v/>
      </c>
      <c r="P2911" s="9" t="n"/>
    </row>
    <row r="2912">
      <c r="A2912" s="11" t="inlineStr">
        <is>
          <t>Combat Research / Pesquisa de Combate</t>
        </is>
      </c>
      <c r="B2912" s="11" t="inlineStr">
        <is>
          <t>Enchantment — Aura / Encantamento — Aura</t>
        </is>
      </c>
      <c r="C2912" s="11" t="inlineStr">
        <is>
          <t>Uncommon / Incomum</t>
        </is>
      </c>
      <c r="D2912" s="11" t="inlineStr">
        <is>
          <t>Enchant creature Enchanted creature has "Whenever this creature deals combat damage to a player, draw a card." As long as enchanted creature is legendary, it gets +1/+1 and has ward {1}. (Whenever enchanted creature becomes the target of a spell or ability an opponent controls, counter it unless that player pays {1}.) / Encantar criatura A criatura encantada tem "Toda vez que esta criatura causar dano de combate a um jogador, compre um card". Enquanto a criatura encantada for lendária, ela receberá +1/+1 e terá salvaguarda {1}. (Toda vez que a criatura encantada se tornar alvo de uma mágica ou habilidade que um oponente controla, anule-a, a menos que aquele jogador pague {1}.)</t>
        </is>
      </c>
      <c r="E2912" s="11" t="inlineStr">
        <is>
          <t>{U}</t>
        </is>
      </c>
      <c r="F2912" s="11" t="inlineStr">
        <is>
          <t>Azul</t>
        </is>
      </c>
      <c r="G2912" s="8" t="n">
        <v>2.9</v>
      </c>
      <c r="H2912" s="11" t="inlineStr">
        <is>
          <t>Dominaria United (DMU)</t>
        </is>
      </c>
      <c r="I2912" s="11" t="inlineStr">
        <is>
          <t>Não</t>
        </is>
      </c>
      <c r="J2912" s="11" t="n">
        <v>2022</v>
      </c>
      <c r="L2912" s="11" t="n">
        <v>1</v>
      </c>
      <c r="M2912" s="8">
        <f>L2912*G2912</f>
        <v/>
      </c>
      <c r="N2912" s="11" t="inlineStr">
        <is>
          <t>Pasta</t>
        </is>
      </c>
      <c r="P2912" s="9" t="n"/>
    </row>
    <row r="2913">
      <c r="A2913" s="11" t="inlineStr">
        <is>
          <t>Out Cold / Inconsciente</t>
        </is>
      </c>
      <c r="B2913" s="11" t="inlineStr">
        <is>
          <t>Instant / Mágica Instantânea</t>
        </is>
      </c>
      <c r="C2913" s="11" t="inlineStr">
        <is>
          <t>Common / Comum</t>
        </is>
      </c>
      <c r="D2913" s="11" t="inlineStr">
        <is>
          <t>This spell can't be countered. (This includes by the ward ability.) Tap up to two target creatures and put a stun counter on each of them. Investigate. (If a permanent with a stun counter would become untapped, remove one from it instead.) / Esta mágica não pode ser anulada. (Isto inclui a habilidade salvaguarda.) Vire até duas criaturas alvo e coloque um marcador de atordoamento em cada uma delas. Investigue. (Se uma permanente com um marcador de atordoamento se tornaria desvirada, em vez disso, remova um marcador de atordoamento dela.)</t>
        </is>
      </c>
      <c r="E2913" s="11" t="inlineStr">
        <is>
          <t>{3}{U}</t>
        </is>
      </c>
      <c r="F2913" s="11" t="inlineStr">
        <is>
          <t>Azul</t>
        </is>
      </c>
      <c r="G2913" s="8" t="n">
        <v>0.08</v>
      </c>
      <c r="H2913" s="11" t="inlineStr">
        <is>
          <t>Murders at Karlov Manor (MKM)</t>
        </is>
      </c>
      <c r="I2913" s="11" t="inlineStr">
        <is>
          <t>Não</t>
        </is>
      </c>
      <c r="J2913" s="11" t="n">
        <v>2024</v>
      </c>
      <c r="L2913" s="11" t="n">
        <v>1</v>
      </c>
      <c r="M2913" s="8">
        <f>L2913*G2913</f>
        <v/>
      </c>
      <c r="P2913" s="9" t="n"/>
    </row>
    <row r="2914">
      <c r="A2914" s="11" t="inlineStr">
        <is>
          <t>Vizier of Tumbling Sands / Vizir das Areias Correntes</t>
        </is>
      </c>
      <c r="B2914" s="11" t="inlineStr">
        <is>
          <t>Creature — Human Cleric / Criatura — Humano Clérigo</t>
        </is>
      </c>
      <c r="C2914" s="11" t="inlineStr">
        <is>
          <t>Common / Comum</t>
        </is>
      </c>
      <c r="D2914" s="11" t="inlineStr">
        <is>
          <t>{T}: Untap another target permanent. Cycling {1}{U} ({1}{U}, Discard this card: Draw a card.) When you cycle this card, untap target permanent. / {T}: Desvire outra permanente alvo. Reciclar {1}{U} ({1}{U}, Descarte este card: Compre um card.) Quando você reciclar Vizir das Areias Correntes, desvire a permanente alvo.</t>
        </is>
      </c>
      <c r="E2914" s="11" t="inlineStr">
        <is>
          <t>{2}{U}</t>
        </is>
      </c>
      <c r="F2914" s="11" t="inlineStr">
        <is>
          <t>Azul</t>
        </is>
      </c>
      <c r="G2914" s="8" t="n">
        <v>0.19</v>
      </c>
      <c r="H2914" s="11" t="inlineStr">
        <is>
          <t>Commander Masters (CMM)</t>
        </is>
      </c>
      <c r="I2914" s="11" t="inlineStr">
        <is>
          <t>Não</t>
        </is>
      </c>
      <c r="J2914" s="11" t="n">
        <v>2023</v>
      </c>
      <c r="K2914" s="10" t="n">
        <v>46082</v>
      </c>
      <c r="L2914" s="11" t="n">
        <v>1</v>
      </c>
      <c r="M2914" s="8">
        <f>L2914*G2914</f>
        <v/>
      </c>
      <c r="P2914" s="9" t="n"/>
    </row>
    <row r="2915">
      <c r="A2915" s="11" t="inlineStr">
        <is>
          <t>Tromokratis</t>
        </is>
      </c>
      <c r="B2915" s="11" t="inlineStr">
        <is>
          <t>Legendary Creature — Kraken / Criatura Lendária — Kraken</t>
        </is>
      </c>
      <c r="C2915" s="11" t="inlineStr">
        <is>
          <t>Uncommon / Incomum</t>
        </is>
      </c>
      <c r="D2915" s="11" t="inlineStr">
        <is>
          <t>Tromokratis has hexproof unless it's attacking or blocking. Tromokratis can't be blocked unless all creatures defending player controls block it. (If any creature that player controls doesn't block this creature, it can't be blocked.) / Tromokratis tem resistência a magia a menos que esteja atacando ou bloqueando. Tromokratis não pode ser bloqueado a menos que todas as criaturas que o jogador defensor controla o bloqueiem. (Se alguma das criaturas que aquele jogador controla não puder bloquear esta criatura, ela não poderá ser bloqueada.)</t>
        </is>
      </c>
      <c r="E2915" s="11" t="inlineStr">
        <is>
          <t>{5}{U}{U}</t>
        </is>
      </c>
      <c r="F2915" s="11" t="inlineStr">
        <is>
          <t>Azul</t>
        </is>
      </c>
      <c r="G2915" s="8" t="n">
        <v>0.29</v>
      </c>
      <c r="H2915" s="11" t="inlineStr">
        <is>
          <t>Commander Masters (CMM)</t>
        </is>
      </c>
      <c r="I2915" s="11" t="inlineStr">
        <is>
          <t>Não</t>
        </is>
      </c>
      <c r="J2915" s="11" t="n">
        <v>2023</v>
      </c>
      <c r="K2915" s="10" t="n">
        <v>46242</v>
      </c>
      <c r="L2915" s="11" t="n">
        <v>1</v>
      </c>
      <c r="M2915" s="8">
        <f>L2915*G2915</f>
        <v/>
      </c>
      <c r="P2915" s="9" t="n"/>
    </row>
    <row r="2916">
      <c r="A2916" s="11" t="inlineStr">
        <is>
          <t>Coveted Peacock / Pavão Cobiçado</t>
        </is>
      </c>
      <c r="B2916" s="11" t="inlineStr">
        <is>
          <t>Creature — Bird / Criatura — Ave</t>
        </is>
      </c>
      <c r="C2916" s="11" t="inlineStr">
        <is>
          <t>Uncommon / Incomum</t>
        </is>
      </c>
      <c r="D2916" s="11" t="inlineStr">
        <is>
          <t>Flying Whenever this creature attacks, you may goad target creature defending player controls. (Until your next turn, that creature attacks each combat if able and attacks a player other than you if able.) / Voar Toda vez que Pavão Cobiçado atacar, você poderá atiçar a criatura alvo que o jogador defensor controla. (Até seu próximo turno, aquela criatura ataca a cada combate, se estiver apta, e ataca um jogador que não seja você, se estiver apta.)</t>
        </is>
      </c>
      <c r="E2916" s="11" t="inlineStr">
        <is>
          <t>{3}{U}{U}</t>
        </is>
      </c>
      <c r="F2916" s="11" t="inlineStr">
        <is>
          <t>Azul</t>
        </is>
      </c>
      <c r="G2916" s="8" t="n">
        <v>0.23</v>
      </c>
      <c r="H2916" s="11" t="inlineStr">
        <is>
          <t>Commander Masters (CMM)</t>
        </is>
      </c>
      <c r="I2916" s="11" t="inlineStr">
        <is>
          <t>Não</t>
        </is>
      </c>
      <c r="J2916" s="11" t="n">
        <v>2023</v>
      </c>
      <c r="K2916" s="10" t="n">
        <v>46115</v>
      </c>
      <c r="L2916" s="11" t="n">
        <v>1</v>
      </c>
      <c r="M2916" s="8">
        <f>L2916*G2916</f>
        <v/>
      </c>
      <c r="P2916" s="9" t="n"/>
    </row>
    <row r="2917">
      <c r="A2917" s="11" t="inlineStr">
        <is>
          <t>Portal Mage / Maga do Portal</t>
        </is>
      </c>
      <c r="B2917" s="11" t="inlineStr">
        <is>
          <t>Creature — Human Wizard / Criatura — Humano Mago</t>
        </is>
      </c>
      <c r="C2917" s="11" t="inlineStr">
        <is>
          <t>Uncommon / Incomum</t>
        </is>
      </c>
      <c r="D2917" s="11" t="inlineStr">
        <is>
          <t>Flash When this creature enters during the declare attackers step, you may reselect which player or permanent target attacking creature is attacking. (It can't attack its controller or their permanents.) / Lampejo Quando Maga do Portal entra no campo de batalha durante a etapa de declaração de atacantes, você pode resselecionar qual jogador ou planeswalker a criatura atacante alvo está atacando. (Ela não pode atacar seu controlador nem os planeswalkers de seu controlador.)</t>
        </is>
      </c>
      <c r="E2917" s="11" t="inlineStr">
        <is>
          <t>{2}{U}</t>
        </is>
      </c>
      <c r="F2917" s="11" t="inlineStr">
        <is>
          <t>Azul</t>
        </is>
      </c>
      <c r="G2917" s="8" t="n">
        <v>0.17</v>
      </c>
      <c r="H2917" s="11" t="inlineStr">
        <is>
          <t>Commander Masters (CMM)</t>
        </is>
      </c>
      <c r="I2917" s="11" t="inlineStr">
        <is>
          <t>Não</t>
        </is>
      </c>
      <c r="J2917" s="11" t="n">
        <v>2023</v>
      </c>
      <c r="K2917" s="10" t="n">
        <v>46055</v>
      </c>
      <c r="L2917" s="11" t="n">
        <v>1</v>
      </c>
      <c r="M2917" s="8">
        <f>L2917*G2917</f>
        <v/>
      </c>
      <c r="P2917" s="9" t="n"/>
    </row>
    <row r="2918">
      <c r="A2918" s="11" t="inlineStr">
        <is>
          <t>Specimen Collector / Coletora de Espécimes</t>
        </is>
      </c>
      <c r="B2918" s="11" t="inlineStr">
        <is>
          <t>Creature — Vedalken Wizard / Criatura — Vedalkeano Mago</t>
        </is>
      </c>
      <c r="C2918" s="11" t="inlineStr">
        <is>
          <t>Uncommon / Incomum</t>
        </is>
      </c>
      <c r="D2918" s="11" t="inlineStr">
        <is>
          <t>When this creature enters, create a 1/1 green Squirrel creature token and a 0/3 blue Crab creature token. When this creature dies, create a token that's a copy of target token you control. / Quando Coletora de Espécimes entrar no campo de batalha, crie uma ficha de criatura Esquilo verde 1/1 e uma ficha de criatura Caranguejo azul 0/3. Quando Coletora de Espécimes morrer, crie uma ficha que seja uma cópia da ficha alvo que você controla.</t>
        </is>
      </c>
      <c r="E2918" s="11" t="inlineStr">
        <is>
          <t>{4}{U}</t>
        </is>
      </c>
      <c r="F2918" s="11" t="inlineStr">
        <is>
          <t>Azul</t>
        </is>
      </c>
      <c r="G2918" s="8" t="n">
        <v>0.04</v>
      </c>
      <c r="H2918" s="11" t="inlineStr">
        <is>
          <t>Modern Horizons 2 (MH2)</t>
        </is>
      </c>
      <c r="I2918" s="11" t="inlineStr">
        <is>
          <t>Não</t>
        </is>
      </c>
      <c r="J2918" s="11" t="n">
        <v>2021</v>
      </c>
      <c r="K2918" s="10" t="n">
        <v>46024</v>
      </c>
      <c r="L2918" s="11" t="n">
        <v>1</v>
      </c>
      <c r="M2918" s="8">
        <f>L2918*G2918</f>
        <v/>
      </c>
      <c r="P2918" s="9" t="n"/>
    </row>
    <row r="2919">
      <c r="A2919" s="11" t="inlineStr">
        <is>
          <t>Utter Insignificance / Insignificância Mor</t>
        </is>
      </c>
      <c r="B2919" s="11" t="inlineStr">
        <is>
          <t>Enchantment — Aura / Encantamento — Aura</t>
        </is>
      </c>
      <c r="C2919" s="11" t="inlineStr">
        <is>
          <t>Common / Comum</t>
        </is>
      </c>
      <c r="D2919" s="11" t="inlineStr">
        <is>
          <t>Flash Enchant creature Enchanted creature loses all abilities and has base power and toughness 1/1. {2}{C}: Exile enchanted creature. / Lampejo Encantar criatura A criatura encantada perde todas as habilidades e tem poder e resistência básicos 1/1. {2}{C}: Exile a criatura encantada.</t>
        </is>
      </c>
      <c r="E2919" s="11" t="inlineStr">
        <is>
          <t>{1}{U}</t>
        </is>
      </c>
      <c r="F2919" s="11" t="inlineStr">
        <is>
          <t>Azul</t>
        </is>
      </c>
      <c r="G2919" s="8" t="n">
        <v>0.09</v>
      </c>
      <c r="H2919" s="11" t="inlineStr">
        <is>
          <t>Modern Horizons 3 (MH3)</t>
        </is>
      </c>
      <c r="I2919" s="11" t="inlineStr">
        <is>
          <t>Não</t>
        </is>
      </c>
      <c r="J2919" s="11" t="n">
        <v>2024</v>
      </c>
      <c r="L2919" s="11" t="n">
        <v>1</v>
      </c>
      <c r="M2919" s="8">
        <f>L2919*G2919</f>
        <v/>
      </c>
      <c r="P2919" s="9" t="n"/>
    </row>
    <row r="2920">
      <c r="A2920" s="11" t="inlineStr">
        <is>
          <t>Eaten by Piranhas / Devorado por Piranhas</t>
        </is>
      </c>
      <c r="B2920" s="11" t="inlineStr">
        <is>
          <t>Enchantment — Aura / Encantamento — Aura</t>
        </is>
      </c>
      <c r="C2920" s="11" t="inlineStr">
        <is>
          <t>Uncommon / Incomum</t>
        </is>
      </c>
      <c r="D2920" s="11" t="inlineStr">
        <is>
          <t>Flash (You may cast this spell any time you could cast an instant.) Enchant creature Enchanted creature loses all abilities and is a black Skeleton creature with base power and toughness 1/1. (It loses all other colors, card types, and creature types.) / Lampejo Encantar criatura A criatura encantada perde todas as habilidades e é uma criatura Esqueleto preta com poder e resistência básicos 1/1. (Ela perde todos os outros tipos de card e criatura.)</t>
        </is>
      </c>
      <c r="E2920" s="11" t="inlineStr">
        <is>
          <t>{1}{U}</t>
        </is>
      </c>
      <c r="F2920" s="11" t="inlineStr">
        <is>
          <t>Azul</t>
        </is>
      </c>
      <c r="G2920" s="8" t="n">
        <v>0.25</v>
      </c>
      <c r="H2920" s="11" t="inlineStr">
        <is>
          <t>The Lost Caverns of Ixalan (LCI)</t>
        </is>
      </c>
      <c r="I2920" s="11" t="inlineStr">
        <is>
          <t>Não</t>
        </is>
      </c>
      <c r="J2920" s="11" t="n">
        <v>2023</v>
      </c>
      <c r="L2920" s="11" t="n">
        <v>1</v>
      </c>
      <c r="M2920" s="8">
        <f>L2920*G2920</f>
        <v/>
      </c>
      <c r="P2920" s="9" t="n"/>
    </row>
    <row r="2921">
      <c r="A2921" s="11" t="inlineStr">
        <is>
          <t>Machine Over Matter / Máquina Sobre Matéria</t>
        </is>
      </c>
      <c r="B2921" s="11" t="inlineStr">
        <is>
          <t>Instant / Mágica Instantânea</t>
        </is>
      </c>
      <c r="C2921" s="11" t="inlineStr">
        <is>
          <t>Common / Comum</t>
        </is>
      </c>
      <c r="D2921" s="11" t="inlineStr">
        <is>
          <t>This spell costs {1} less to cast if you control an artifact creature. Return target nonland permanent to its owner's hand. / Esta mágica custa {1} a menos para ser conjurada se você controla uma criatura artefato. Devolva a permanente alvo não de terreno para a mão de seu dono.</t>
        </is>
      </c>
      <c r="E2921" s="11" t="inlineStr">
        <is>
          <t>{1}{U}</t>
        </is>
      </c>
      <c r="F2921" s="11" t="inlineStr">
        <is>
          <t>Azul</t>
        </is>
      </c>
      <c r="G2921" s="8" t="n">
        <v>0.05</v>
      </c>
      <c r="H2921" s="11" t="inlineStr">
        <is>
          <t>The Brothers' War (BRO)</t>
        </is>
      </c>
      <c r="I2921" s="11" t="inlineStr">
        <is>
          <t>Não</t>
        </is>
      </c>
      <c r="J2921" s="11" t="n">
        <v>2022</v>
      </c>
      <c r="L2921" s="11" t="n">
        <v>1</v>
      </c>
      <c r="M2921" s="8">
        <f>L2921*G2921</f>
        <v/>
      </c>
      <c r="P2921" s="9" t="n"/>
    </row>
    <row r="2922">
      <c r="A2922" s="11" t="inlineStr">
        <is>
          <t>Supreme Will / Vontade Suprema</t>
        </is>
      </c>
      <c r="B2922" s="11" t="inlineStr">
        <is>
          <t>Instant / Mágica Instantânea</t>
        </is>
      </c>
      <c r="C2922" s="11" t="inlineStr">
        <is>
          <t>Uncommon / Incomum</t>
        </is>
      </c>
      <c r="D2922" s="11" t="inlineStr">
        <is>
          <t>Choose one — • Counter target spell unless its controller pays {3}. • Look at the top four cards of your library. Put one of them into your hand and the rest on the bottom of your library in any order. / Escolha um — • Anule a mágica alvo, a menos que seu controlador pague {3}. • Olhe os quatro cards do topo do seu grimório. Coloque um deles na sua mão e os restantes no fundo do seu grimório em qualquer ordem.</t>
        </is>
      </c>
      <c r="E2922" s="11" t="inlineStr">
        <is>
          <t>{2}{U}</t>
        </is>
      </c>
      <c r="F2922" s="11" t="inlineStr">
        <is>
          <t>Azul</t>
        </is>
      </c>
      <c r="G2922" s="8" t="n">
        <v>0.13</v>
      </c>
      <c r="H2922" s="11" t="inlineStr">
        <is>
          <t>Hour of Devastation (HOU)</t>
        </is>
      </c>
      <c r="I2922" s="11" t="inlineStr">
        <is>
          <t>Não</t>
        </is>
      </c>
      <c r="J2922" s="11" t="n">
        <v>2017</v>
      </c>
      <c r="L2922" s="11" t="n">
        <v>1</v>
      </c>
      <c r="M2922" s="8">
        <f>L2922*G2922</f>
        <v/>
      </c>
      <c r="P2922" s="9" t="n"/>
    </row>
    <row r="2923">
      <c r="A2923" s="11" t="inlineStr">
        <is>
          <t>Battleground Geist / Geist do Campo de Batalha</t>
        </is>
      </c>
      <c r="B2923" s="11" t="inlineStr">
        <is>
          <t>Creature — Spirit / Criatura — Espírito</t>
        </is>
      </c>
      <c r="C2923" s="11" t="inlineStr">
        <is>
          <t>Common / Comum</t>
        </is>
      </c>
      <c r="D2923" s="11" t="inlineStr">
        <is>
          <t>Flying Other Spirit creatures you control get +1/+0. / Voar As outras criaturas do tipo Espírito que você controla recebem +1/+0.</t>
        </is>
      </c>
      <c r="E2923" s="11" t="inlineStr">
        <is>
          <t>{4}{U}</t>
        </is>
      </c>
      <c r="F2923" s="11" t="inlineStr">
        <is>
          <t>Azul</t>
        </is>
      </c>
      <c r="G2923" s="8" t="n">
        <v>0.1</v>
      </c>
      <c r="H2923" s="11" t="inlineStr">
        <is>
          <t>Innistrad Remastered (INR)</t>
        </is>
      </c>
      <c r="I2923" s="11" t="inlineStr">
        <is>
          <t>Não</t>
        </is>
      </c>
      <c r="J2923" s="11" t="n">
        <v>2025</v>
      </c>
      <c r="K2923" s="10" t="n">
        <v>46084</v>
      </c>
      <c r="L2923" s="11" t="n">
        <v>1</v>
      </c>
      <c r="M2923" s="8">
        <f>L2923*G2923</f>
        <v/>
      </c>
      <c r="P2923" s="9" t="n"/>
    </row>
    <row r="2924">
      <c r="A2924" s="11" t="inlineStr">
        <is>
          <t>Ivory Cup / Cálice de Marfim</t>
        </is>
      </c>
      <c r="B2924" s="11" t="inlineStr">
        <is>
          <t>Artifact / Artefato</t>
        </is>
      </c>
      <c r="C2924" s="11" t="inlineStr">
        <is>
          <t>Uncommon / Incomum</t>
        </is>
      </c>
      <c r="D2924" s="11" t="inlineStr">
        <is>
          <t>Whenever a player casts a white spell, you may pay {1}. If you do, you gain 1 life. / Toda vez que um jogador jogar uma mágica branca, você pode pagar {1}. Se o fizer, você ganha 1 ponto de vida.</t>
        </is>
      </c>
      <c r="E2924" s="11" t="inlineStr">
        <is>
          <t>{1}</t>
        </is>
      </c>
      <c r="F2924" s="11" t="inlineStr">
        <is>
          <t>Incolor</t>
        </is>
      </c>
      <c r="G2924" s="8" t="n">
        <v>0.43</v>
      </c>
      <c r="H2924" s="11" t="inlineStr">
        <is>
          <t>Fourth Edition (BB)</t>
        </is>
      </c>
      <c r="I2924" s="11" t="inlineStr">
        <is>
          <t>Não</t>
        </is>
      </c>
      <c r="J2924" s="11" t="n">
        <v>1995</v>
      </c>
      <c r="L2924" s="11" t="n">
        <v>2</v>
      </c>
      <c r="M2924" s="8">
        <f>L2924*G2924</f>
        <v/>
      </c>
      <c r="P2924" s="9" t="n"/>
    </row>
    <row r="2925">
      <c r="A2925" s="11" t="inlineStr">
        <is>
          <t>Ivory Cup / Cálice de Marfim</t>
        </is>
      </c>
      <c r="B2925" s="11" t="inlineStr">
        <is>
          <t>Artifact / Artefato</t>
        </is>
      </c>
      <c r="C2925" s="11" t="inlineStr">
        <is>
          <t>Uncommon / Incomum</t>
        </is>
      </c>
      <c r="D2925" s="11" t="inlineStr">
        <is>
          <t>Whenever a player casts a white spell, you may pay {1}. If you do, you gain 1 life. / Toda vez que um jogador jogar uma mágica branca, você pode pagar {1}. Se o fizer, você ganha 1 ponto de vida.</t>
        </is>
      </c>
      <c r="E2925" s="11" t="inlineStr">
        <is>
          <t>{1}</t>
        </is>
      </c>
      <c r="F2925" s="11" t="inlineStr">
        <is>
          <t>Incolor</t>
        </is>
      </c>
      <c r="G2925" s="8" t="n">
        <v>0.09</v>
      </c>
      <c r="H2925" s="11" t="inlineStr">
        <is>
          <t>Fourth Edition</t>
        </is>
      </c>
      <c r="I2925" s="11" t="inlineStr">
        <is>
          <t>Não</t>
        </is>
      </c>
      <c r="J2925" s="11" t="n">
        <v>1995</v>
      </c>
      <c r="L2925" s="11" t="n">
        <v>3</v>
      </c>
      <c r="M2925" s="8">
        <f>L2925*G2925</f>
        <v/>
      </c>
      <c r="P2925" s="9" t="n"/>
    </row>
    <row r="2926">
      <c r="A2926" s="11" t="inlineStr">
        <is>
          <t>Ebony Horse / Cavalo de Ébano</t>
        </is>
      </c>
      <c r="B2926" s="11" t="inlineStr">
        <is>
          <t>Artifact</t>
        </is>
      </c>
      <c r="C2926" s="11" t="inlineStr">
        <is>
          <t>Rare / Rara</t>
        </is>
      </c>
      <c r="D2926" s="11" t="inlineStr">
        <is>
          <t>{2}, {T}: Untap target attacking creature you control. Prevent all combat damage that would be dealt to and dealt by that creature this turn.</t>
        </is>
      </c>
      <c r="E2926" s="11" t="inlineStr">
        <is>
          <t>{3}</t>
        </is>
      </c>
      <c r="F2926" s="11" t="inlineStr">
        <is>
          <t>Incolor</t>
        </is>
      </c>
      <c r="G2926" s="8" t="n">
        <v>1.75</v>
      </c>
      <c r="H2926" s="11" t="inlineStr">
        <is>
          <t>Arabian Nights (ARN)</t>
        </is>
      </c>
      <c r="I2926" s="11" t="inlineStr">
        <is>
          <t>Não</t>
        </is>
      </c>
      <c r="J2926" s="11" t="n">
        <v>1995</v>
      </c>
      <c r="L2926" s="11" t="n">
        <v>2</v>
      </c>
      <c r="M2926" s="8">
        <f>L2926*G2926</f>
        <v/>
      </c>
      <c r="N2926" s="11" t="inlineStr">
        <is>
          <t>Pasta</t>
        </is>
      </c>
      <c r="P2926" s="9" t="n"/>
    </row>
    <row r="2927">
      <c r="A2927" s="11" t="inlineStr">
        <is>
          <t>Celestial Prism / Prisma Celestial</t>
        </is>
      </c>
      <c r="B2927" s="11" t="inlineStr">
        <is>
          <t>Artifact</t>
        </is>
      </c>
      <c r="C2927" s="11" t="inlineStr">
        <is>
          <t>Uncommon / Incomum</t>
        </is>
      </c>
      <c r="D2927" s="11" t="inlineStr">
        <is>
          <t>{2}, {T}: Add one mana of any color.</t>
        </is>
      </c>
      <c r="E2927" s="11" t="inlineStr">
        <is>
          <t>{3}</t>
        </is>
      </c>
      <c r="F2927" s="11" t="inlineStr">
        <is>
          <t>Incolor</t>
        </is>
      </c>
      <c r="G2927" s="8" t="n">
        <v>0.5</v>
      </c>
      <c r="H2927" s="11" t="inlineStr">
        <is>
          <t>Fourth Edition (BB)</t>
        </is>
      </c>
      <c r="I2927" s="11" t="inlineStr">
        <is>
          <t>Não</t>
        </is>
      </c>
      <c r="J2927" s="11" t="n">
        <v>1995</v>
      </c>
      <c r="L2927" s="11" t="n">
        <v>1</v>
      </c>
      <c r="M2927" s="8">
        <f>L2927*G2927</f>
        <v/>
      </c>
      <c r="P2927" s="9" t="n"/>
    </row>
    <row r="2928">
      <c r="A2928" s="11" t="inlineStr">
        <is>
          <t>Celestial Prism / Prisma Celestial</t>
        </is>
      </c>
      <c r="B2928" s="11" t="inlineStr">
        <is>
          <t>Artifact</t>
        </is>
      </c>
      <c r="C2928" s="11" t="inlineStr">
        <is>
          <t>Uncommon / Incomum</t>
        </is>
      </c>
      <c r="D2928" s="11" t="inlineStr">
        <is>
          <t>{2}, {T}: Add one mana of any color.</t>
        </is>
      </c>
      <c r="E2928" s="11" t="inlineStr">
        <is>
          <t>{3}</t>
        </is>
      </c>
      <c r="F2928" s="11" t="inlineStr">
        <is>
          <t>Incolor</t>
        </is>
      </c>
      <c r="G2928" s="8" t="n">
        <v>0.15</v>
      </c>
      <c r="H2928" s="11" t="inlineStr">
        <is>
          <t>Fourth Edition</t>
        </is>
      </c>
      <c r="I2928" s="11" t="inlineStr">
        <is>
          <t>Não</t>
        </is>
      </c>
      <c r="J2928" s="11" t="n">
        <v>1995</v>
      </c>
      <c r="L2928" s="11" t="n">
        <v>1</v>
      </c>
      <c r="M2928" s="8">
        <f>L2928*G2928</f>
        <v/>
      </c>
      <c r="P2928" s="9" t="n"/>
    </row>
    <row r="2929">
      <c r="A2929" s="11" t="inlineStr">
        <is>
          <t>Iron Star / Estrela de Ferro</t>
        </is>
      </c>
      <c r="B2929" s="11" t="inlineStr">
        <is>
          <t>Artifact / Artefato</t>
        </is>
      </c>
      <c r="C2929" s="11" t="inlineStr">
        <is>
          <t>Uncommon / Incomum</t>
        </is>
      </c>
      <c r="D2929" s="11" t="inlineStr">
        <is>
          <t>Whenever a player casts a red spell, you may pay {1}. If you do, you gain 1 life. / Toda vez que um jogador jogar uma mágica vermelha, você pode pagar {1}. Se o fizer, você ganha 1 ponto de vida.</t>
        </is>
      </c>
      <c r="E2929" s="11" t="inlineStr">
        <is>
          <t>{1}</t>
        </is>
      </c>
      <c r="F2929" s="11" t="inlineStr">
        <is>
          <t>Incolor</t>
        </is>
      </c>
      <c r="G2929" s="8" t="n">
        <v>0.21</v>
      </c>
      <c r="H2929" s="11" t="inlineStr">
        <is>
          <t>Fourth Edition (BB)</t>
        </is>
      </c>
      <c r="I2929" s="11" t="inlineStr">
        <is>
          <t>Não</t>
        </is>
      </c>
      <c r="J2929" s="11" t="n">
        <v>1995</v>
      </c>
      <c r="L2929" s="11" t="n">
        <v>2</v>
      </c>
      <c r="M2929" s="8">
        <f>L2929*G2929</f>
        <v/>
      </c>
      <c r="P2929" s="9" t="n"/>
    </row>
    <row r="2930">
      <c r="A2930" s="11" t="inlineStr">
        <is>
          <t>Iron Star / Estrela de Ferro</t>
        </is>
      </c>
      <c r="B2930" s="11" t="inlineStr">
        <is>
          <t>Artifact / Artefato</t>
        </is>
      </c>
      <c r="C2930" s="11" t="inlineStr">
        <is>
          <t>Uncommon / Incomum</t>
        </is>
      </c>
      <c r="D2930" s="11" t="inlineStr">
        <is>
          <t>Whenever a player casts a red spell, you may pay {1}. If you do, you gain 1 life. / Toda vez que um jogador jogar uma mágica vermelha, você pode pagar {1}. Se o fizer, você ganha 1 ponto de vida.</t>
        </is>
      </c>
      <c r="E2930" s="11" t="inlineStr">
        <is>
          <t>{1}</t>
        </is>
      </c>
      <c r="F2930" s="11" t="inlineStr">
        <is>
          <t>Incolor</t>
        </is>
      </c>
      <c r="G2930" s="8" t="n">
        <v>0.09</v>
      </c>
      <c r="H2930" s="11" t="inlineStr">
        <is>
          <t>Fourth Edition</t>
        </is>
      </c>
      <c r="I2930" s="11" t="inlineStr">
        <is>
          <t>Não</t>
        </is>
      </c>
      <c r="J2930" s="11" t="n">
        <v>1995</v>
      </c>
      <c r="L2930" s="11" t="n">
        <v>1</v>
      </c>
      <c r="M2930" s="8">
        <f>L2930*G2930</f>
        <v/>
      </c>
      <c r="P2930" s="9" t="n"/>
    </row>
    <row r="2931">
      <c r="A2931" s="11" t="inlineStr">
        <is>
          <t>Grapeshot Catapult / Catapulta de Metralha</t>
        </is>
      </c>
      <c r="B2931" s="11" t="inlineStr">
        <is>
          <t>Artifact Creature — Construct</t>
        </is>
      </c>
      <c r="C2931" s="11" t="inlineStr">
        <is>
          <t>Common / Comum</t>
        </is>
      </c>
      <c r="D2931" s="11" t="inlineStr">
        <is>
          <t>{T}: This creature deals 1 damage to target creature with flying.</t>
        </is>
      </c>
      <c r="E2931" s="11" t="inlineStr">
        <is>
          <t>{4}</t>
        </is>
      </c>
      <c r="F2931" s="11" t="inlineStr">
        <is>
          <t>Incolor</t>
        </is>
      </c>
      <c r="G2931" s="8" t="n">
        <v>0.1</v>
      </c>
      <c r="H2931" s="11" t="inlineStr">
        <is>
          <t>Fourth Edition (BB)</t>
        </is>
      </c>
      <c r="I2931" s="11" t="inlineStr">
        <is>
          <t>Não</t>
        </is>
      </c>
      <c r="J2931" s="11" t="n">
        <v>1995</v>
      </c>
      <c r="K2931" s="10" t="n">
        <v>46083</v>
      </c>
      <c r="L2931" s="11" t="n">
        <v>6</v>
      </c>
      <c r="M2931" s="8">
        <f>L2931*G2931</f>
        <v/>
      </c>
      <c r="P2931" s="9" t="n"/>
    </row>
    <row r="2932">
      <c r="A2932" s="11" t="inlineStr">
        <is>
          <t>Grapeshot Catapult / Catapulta de Metralha</t>
        </is>
      </c>
      <c r="B2932" s="11" t="inlineStr">
        <is>
          <t>Artifact Creature — Construct</t>
        </is>
      </c>
      <c r="C2932" s="11" t="inlineStr">
        <is>
          <t>Common / Comum</t>
        </is>
      </c>
      <c r="D2932" s="11" t="inlineStr">
        <is>
          <t>{T}: This creature deals 1 damage to target creature with flying.</t>
        </is>
      </c>
      <c r="E2932" s="11" t="inlineStr">
        <is>
          <t>{4}</t>
        </is>
      </c>
      <c r="F2932" s="11" t="inlineStr">
        <is>
          <t>Incolor</t>
        </is>
      </c>
      <c r="G2932" s="8" t="n">
        <v>0.05</v>
      </c>
      <c r="H2932" s="11" t="inlineStr">
        <is>
          <t>Fourth Edition</t>
        </is>
      </c>
      <c r="I2932" s="11" t="inlineStr">
        <is>
          <t>Não</t>
        </is>
      </c>
      <c r="J2932" s="11" t="n">
        <v>1995</v>
      </c>
      <c r="K2932" s="10" t="n">
        <v>46083</v>
      </c>
      <c r="L2932" s="11" t="n">
        <v>3</v>
      </c>
      <c r="M2932" s="8">
        <f>L2932*G2932</f>
        <v/>
      </c>
      <c r="P2932" s="9" t="n"/>
    </row>
    <row r="2933">
      <c r="A2933" s="11" t="inlineStr">
        <is>
          <t>Wall of Spears / Barreira de Lanças</t>
        </is>
      </c>
      <c r="B2933" s="11" t="inlineStr">
        <is>
          <t>Artifact Creature — Wall / Criatura Artefato — Barreira</t>
        </is>
      </c>
      <c r="C2933" s="11" t="inlineStr">
        <is>
          <t>Uncommon / Incomum</t>
        </is>
      </c>
      <c r="D2933" s="11" t="inlineStr">
        <is>
          <t>Defender (This creature can't attack.) First strike / (As Barreiras não podem atacar.) Iniciativa (Esta criatura causa dano de combate antes de criaturas sem a habilidade de iniciativa.)</t>
        </is>
      </c>
      <c r="E2933" s="11" t="inlineStr">
        <is>
          <t>{3}</t>
        </is>
      </c>
      <c r="F2933" s="11" t="inlineStr">
        <is>
          <t>Incolor</t>
        </is>
      </c>
      <c r="G2933" s="8" t="n">
        <v>0.15</v>
      </c>
      <c r="H2933" s="11" t="inlineStr">
        <is>
          <t>Fourth Edition (BB)</t>
        </is>
      </c>
      <c r="I2933" s="11" t="inlineStr">
        <is>
          <t>Não</t>
        </is>
      </c>
      <c r="J2933" s="11" t="n">
        <v>1995</v>
      </c>
      <c r="K2933" s="10" t="n">
        <v>46083</v>
      </c>
      <c r="L2933" s="11" t="n">
        <v>4</v>
      </c>
      <c r="M2933" s="8">
        <f>L2933*G2933</f>
        <v/>
      </c>
      <c r="P2933" s="9" t="n"/>
    </row>
    <row r="2934">
      <c r="A2934" s="11" t="inlineStr">
        <is>
          <t>Wall of Spears / Barreira de Lanças</t>
        </is>
      </c>
      <c r="B2934" s="11" t="inlineStr">
        <is>
          <t>Artifact Creature — Wall / Criatura Artefato — Barreira</t>
        </is>
      </c>
      <c r="C2934" s="11" t="inlineStr">
        <is>
          <t>Uncommon / Incomum</t>
        </is>
      </c>
      <c r="D2934" s="11" t="inlineStr">
        <is>
          <t>Defender (This creature can't attack.) First strike / (As Barreiras não podem atacar.) Iniciativa (Esta criatura causa dano de combate antes de criaturas sem a habilidade de iniciativa.)</t>
        </is>
      </c>
      <c r="E2934" s="11" t="inlineStr">
        <is>
          <t>{3}</t>
        </is>
      </c>
      <c r="F2934" s="11" t="inlineStr">
        <is>
          <t>Incolor</t>
        </is>
      </c>
      <c r="G2934" s="8" t="n">
        <v>0.09</v>
      </c>
      <c r="H2934" s="11" t="inlineStr">
        <is>
          <t>Fourth Edition</t>
        </is>
      </c>
      <c r="I2934" s="11" t="inlineStr">
        <is>
          <t>Não</t>
        </is>
      </c>
      <c r="J2934" s="11" t="n">
        <v>1995</v>
      </c>
      <c r="K2934" s="10" t="n">
        <v>46083</v>
      </c>
      <c r="L2934" s="11" t="n">
        <v>5</v>
      </c>
      <c r="M2934" s="8">
        <f>L2934*G2934</f>
        <v/>
      </c>
      <c r="P2934" s="9" t="n"/>
    </row>
    <row r="2935">
      <c r="A2935" s="11" t="inlineStr">
        <is>
          <t>Tawnos's Wand / Cetro de Tawnos</t>
        </is>
      </c>
      <c r="B2935" s="11" t="inlineStr">
        <is>
          <t>Artifact</t>
        </is>
      </c>
      <c r="C2935" s="11" t="inlineStr">
        <is>
          <t>Uncommon / Incomum</t>
        </is>
      </c>
      <c r="D2935" s="11" t="inlineStr">
        <is>
          <t>{2}, {T}: Target creature with power 2 or less can't be blocked this turn.</t>
        </is>
      </c>
      <c r="E2935" s="11" t="inlineStr">
        <is>
          <t>{4}</t>
        </is>
      </c>
      <c r="F2935" s="11" t="inlineStr">
        <is>
          <t>Incolor</t>
        </is>
      </c>
      <c r="G2935" s="8" t="n">
        <v>0.35</v>
      </c>
      <c r="H2935" s="11" t="inlineStr">
        <is>
          <t>Fourth Edition (BB)</t>
        </is>
      </c>
      <c r="I2935" s="11" t="inlineStr">
        <is>
          <t>Não</t>
        </is>
      </c>
      <c r="J2935" s="11" t="n">
        <v>1995</v>
      </c>
      <c r="L2935" s="11" t="n">
        <v>1</v>
      </c>
      <c r="M2935" s="8">
        <f>L2935*G2935</f>
        <v/>
      </c>
      <c r="P2935" s="9" t="n"/>
    </row>
    <row r="2936">
      <c r="A2936" s="11" t="inlineStr">
        <is>
          <t>Tawnos's Wand / Cetro de Tawnos</t>
        </is>
      </c>
      <c r="B2936" s="11" t="inlineStr">
        <is>
          <t>Artifact</t>
        </is>
      </c>
      <c r="C2936" s="11" t="inlineStr">
        <is>
          <t>Uncommon / Incomum</t>
        </is>
      </c>
      <c r="D2936" s="11" t="inlineStr">
        <is>
          <t>{2}, {T}: Target creature with power 2 or less can't be blocked this turn.</t>
        </is>
      </c>
      <c r="E2936" s="11" t="inlineStr">
        <is>
          <t>{4}</t>
        </is>
      </c>
      <c r="F2936" s="11" t="inlineStr">
        <is>
          <t>Incolor</t>
        </is>
      </c>
      <c r="G2936" s="8" t="n">
        <v>0.15</v>
      </c>
      <c r="H2936" s="11" t="inlineStr">
        <is>
          <t>Fourth Edition</t>
        </is>
      </c>
      <c r="I2936" s="11" t="inlineStr">
        <is>
          <t>Não</t>
        </is>
      </c>
      <c r="J2936" s="11" t="n">
        <v>1995</v>
      </c>
      <c r="L2936" s="11" t="n">
        <v>1</v>
      </c>
      <c r="M2936" s="8">
        <f>L2936*G2936</f>
        <v/>
      </c>
      <c r="P2936" s="9" t="n"/>
    </row>
    <row r="2937">
      <c r="A2937" s="11" t="inlineStr">
        <is>
          <t>Diabolic Machine / Máquina Diabólica</t>
        </is>
      </c>
      <c r="B2937" s="11" t="inlineStr">
        <is>
          <t>Artifact Creature — Construct</t>
        </is>
      </c>
      <c r="C2937" s="11" t="inlineStr">
        <is>
          <t>Uncommon / Incomum</t>
        </is>
      </c>
      <c r="D2937" s="11" t="inlineStr">
        <is>
          <t>{3}: Regenerate this creature.</t>
        </is>
      </c>
      <c r="E2937" s="11" t="inlineStr">
        <is>
          <t>{7}</t>
        </is>
      </c>
      <c r="F2937" s="11" t="inlineStr">
        <is>
          <t>Incolor</t>
        </is>
      </c>
      <c r="G2937" s="8" t="n">
        <v>0.2</v>
      </c>
      <c r="H2937" s="11" t="inlineStr">
        <is>
          <t>Fourth Edition (BB)</t>
        </is>
      </c>
      <c r="I2937" s="11" t="inlineStr">
        <is>
          <t>Não</t>
        </is>
      </c>
      <c r="J2937" s="11" t="n">
        <v>1995</v>
      </c>
      <c r="K2937" s="10" t="n">
        <v>46116</v>
      </c>
      <c r="L2937" s="11" t="n">
        <v>1</v>
      </c>
      <c r="M2937" s="8">
        <f>L2937*G2937</f>
        <v/>
      </c>
      <c r="P2937" s="9" t="n"/>
    </row>
    <row r="2938">
      <c r="A2938" s="11" t="inlineStr">
        <is>
          <t>Diabolic Machine / Máquina Diabólica</t>
        </is>
      </c>
      <c r="B2938" s="11" t="inlineStr">
        <is>
          <t>Artifact Creature — Construct</t>
        </is>
      </c>
      <c r="C2938" s="11" t="inlineStr">
        <is>
          <t>Uncommon / Incomum</t>
        </is>
      </c>
      <c r="D2938" s="11" t="inlineStr">
        <is>
          <t>{3}: Regenerate this creature.</t>
        </is>
      </c>
      <c r="E2938" s="11" t="inlineStr">
        <is>
          <t>{7}</t>
        </is>
      </c>
      <c r="F2938" s="11" t="inlineStr">
        <is>
          <t>Incolor</t>
        </is>
      </c>
      <c r="G2938" s="8" t="n">
        <v>0.09</v>
      </c>
      <c r="H2938" s="11" t="inlineStr">
        <is>
          <t>Fourth Edition</t>
        </is>
      </c>
      <c r="I2938" s="11" t="inlineStr">
        <is>
          <t>Não</t>
        </is>
      </c>
      <c r="J2938" s="11" t="n">
        <v>1995</v>
      </c>
      <c r="K2938" s="10" t="n">
        <v>46116</v>
      </c>
      <c r="L2938" s="11" t="n">
        <v>1</v>
      </c>
      <c r="M2938" s="8">
        <f>L2938*G2938</f>
        <v/>
      </c>
      <c r="P2938" s="9" t="n"/>
    </row>
    <row r="2939">
      <c r="A2939" s="11" t="inlineStr">
        <is>
          <t>Clay Statue / Ídolo de Barro</t>
        </is>
      </c>
      <c r="B2939" s="11" t="inlineStr">
        <is>
          <t>Artifact Creature — Golem</t>
        </is>
      </c>
      <c r="C2939" s="11" t="inlineStr">
        <is>
          <t>Common / Comum</t>
        </is>
      </c>
      <c r="D2939" s="11" t="inlineStr">
        <is>
          <t>{2}: Regenerate this creature.</t>
        </is>
      </c>
      <c r="E2939" s="11" t="inlineStr">
        <is>
          <t>{4}</t>
        </is>
      </c>
      <c r="F2939" s="11" t="inlineStr">
        <is>
          <t>Incolor</t>
        </is>
      </c>
      <c r="G2939" s="8" t="n">
        <v>0.1</v>
      </c>
      <c r="H2939" s="11" t="inlineStr">
        <is>
          <t>Fourth Edition (BB)</t>
        </is>
      </c>
      <c r="I2939" s="11" t="inlineStr">
        <is>
          <t>Não</t>
        </is>
      </c>
      <c r="J2939" s="11" t="n">
        <v>1995</v>
      </c>
      <c r="K2939" s="10" t="n">
        <v>46025</v>
      </c>
      <c r="L2939" s="11" t="n">
        <v>4</v>
      </c>
      <c r="M2939" s="8">
        <f>L2939*G2939</f>
        <v/>
      </c>
      <c r="P2939" s="9" t="n"/>
    </row>
    <row r="2940">
      <c r="A2940" s="11" t="inlineStr">
        <is>
          <t>Clay Statue / Ídolo de Barro</t>
        </is>
      </c>
      <c r="B2940" s="11" t="inlineStr">
        <is>
          <t>Artifact Creature — Golem</t>
        </is>
      </c>
      <c r="C2940" s="11" t="inlineStr">
        <is>
          <t>Common / Comum</t>
        </is>
      </c>
      <c r="D2940" s="11" t="inlineStr">
        <is>
          <t>{2}: Regenerate this creature.</t>
        </is>
      </c>
      <c r="E2940" s="11" t="inlineStr">
        <is>
          <t>{4}</t>
        </is>
      </c>
      <c r="F2940" s="11" t="inlineStr">
        <is>
          <t>Incolor</t>
        </is>
      </c>
      <c r="G2940" s="8" t="n">
        <v>0.05</v>
      </c>
      <c r="H2940" s="11" t="inlineStr">
        <is>
          <t>Fourth Edition</t>
        </is>
      </c>
      <c r="I2940" s="11" t="inlineStr">
        <is>
          <t>Não</t>
        </is>
      </c>
      <c r="J2940" s="11" t="n">
        <v>1995</v>
      </c>
      <c r="K2940" s="10" t="n">
        <v>46025</v>
      </c>
      <c r="L2940" s="11" t="n">
        <v>3</v>
      </c>
      <c r="M2940" s="8">
        <f>L2940*G2940</f>
        <v/>
      </c>
      <c r="P2940" s="9" t="n"/>
    </row>
    <row r="2941">
      <c r="A2941" s="11" t="inlineStr">
        <is>
          <t>Aríete / Battering Ram</t>
        </is>
      </c>
      <c r="B2941" s="11" t="inlineStr">
        <is>
          <t>Criatura Artefato / Artifact Creature</t>
        </is>
      </c>
      <c r="C2941" s="11" t="inlineStr">
        <is>
          <t>Comum / Common</t>
        </is>
      </c>
      <c r="D2941" s="11" t="inlineStr">
        <is>
          <t>Forma Bando quando ataca. No fim do combate, destrói qualquer barreira que esteja bloqueando um Aríete. / Bands with artifacts when attacking. At end of combat, destroy all Walls blocking Battering Ram.</t>
        </is>
      </c>
      <c r="E2941" s="11" t="inlineStr">
        <is>
          <t>{2}</t>
        </is>
      </c>
      <c r="F2941" s="11" t="inlineStr">
        <is>
          <t>Incolor</t>
        </is>
      </c>
      <c r="G2941" s="8" t="n">
        <v>0.08</v>
      </c>
      <c r="H2941" s="11" t="inlineStr">
        <is>
          <t>Fourth Edition (BB)</t>
        </is>
      </c>
      <c r="I2941" s="11" t="inlineStr">
        <is>
          <t>Não</t>
        </is>
      </c>
      <c r="J2941" s="11" t="n">
        <v>1995</v>
      </c>
      <c r="K2941" s="10" t="n">
        <v>46023</v>
      </c>
      <c r="L2941" s="11" t="n">
        <v>6</v>
      </c>
      <c r="M2941" s="8">
        <f>L2941*G2941</f>
        <v/>
      </c>
      <c r="P2941" s="9" t="n"/>
    </row>
    <row r="2942">
      <c r="A2942" s="11" t="inlineStr">
        <is>
          <t>Aríete / Battering Ram</t>
        </is>
      </c>
      <c r="B2942" s="11" t="inlineStr">
        <is>
          <t>Criatura Artefato / Artifact Creature</t>
        </is>
      </c>
      <c r="C2942" s="11" t="inlineStr">
        <is>
          <t>Comum / Common</t>
        </is>
      </c>
      <c r="D2942" s="11" t="inlineStr">
        <is>
          <t>Forma Bando quando ataca. No fim do combate, destrói qualquer barreira que esteja bloqueando um Aríete. / Bands with artifacts when attacking. At end of combat, destroy all Walls blocking Battering Ram.</t>
        </is>
      </c>
      <c r="E2942" s="11" t="inlineStr">
        <is>
          <t>{2}</t>
        </is>
      </c>
      <c r="F2942" s="11" t="inlineStr">
        <is>
          <t>Incolor</t>
        </is>
      </c>
      <c r="G2942" s="8" t="n">
        <v>0.05</v>
      </c>
      <c r="H2942" s="11" t="inlineStr">
        <is>
          <t>Fourth Edition</t>
        </is>
      </c>
      <c r="I2942" s="11" t="inlineStr">
        <is>
          <t>Não</t>
        </is>
      </c>
      <c r="J2942" s="11" t="n">
        <v>1995</v>
      </c>
      <c r="K2942" s="10" t="n">
        <v>46023</v>
      </c>
      <c r="L2942" s="11" t="n">
        <v>5</v>
      </c>
      <c r="M2942" s="8">
        <f>L2942*G2942</f>
        <v/>
      </c>
      <c r="P2942" s="9" t="n"/>
    </row>
    <row r="2943">
      <c r="A2943" s="11" t="inlineStr">
        <is>
          <t>Pristine Talisman / Talismã Imaculado</t>
        </is>
      </c>
      <c r="B2943" s="11" t="inlineStr">
        <is>
          <t>Artifact</t>
        </is>
      </c>
      <c r="C2943" s="11" t="inlineStr">
        <is>
          <t>Uncommon / Incomum</t>
        </is>
      </c>
      <c r="D2943" s="11" t="inlineStr">
        <is>
          <t>{T}: Add {C}. You gain 1 life. / {T}: Adicione {1} à sua reserva de mana. Você ganha 1 ponto de vida.</t>
        </is>
      </c>
      <c r="E2943" s="11" t="inlineStr">
        <is>
          <t>{3}</t>
        </is>
      </c>
      <c r="F2943" s="11" t="inlineStr">
        <is>
          <t>Incolor</t>
        </is>
      </c>
      <c r="G2943" s="8" t="n">
        <v>0.48</v>
      </c>
      <c r="H2943" s="11" t="inlineStr">
        <is>
          <t>The Brothers' War Retro Artifacts (BRR)</t>
        </is>
      </c>
      <c r="I2943" s="11" t="inlineStr">
        <is>
          <t>Não</t>
        </is>
      </c>
      <c r="J2943" s="11" t="n">
        <v>2022</v>
      </c>
      <c r="L2943" s="11" t="n">
        <v>4</v>
      </c>
      <c r="M2943" s="8">
        <f>L2943*G2943</f>
        <v/>
      </c>
      <c r="P2943" s="9" t="n"/>
    </row>
    <row r="2944">
      <c r="A2944" s="11" t="inlineStr">
        <is>
          <t>Jandor's Saddlebags / Alforjes de Jandor</t>
        </is>
      </c>
      <c r="B2944" s="11" t="inlineStr">
        <is>
          <t>Artifact</t>
        </is>
      </c>
      <c r="C2944" s="11" t="inlineStr">
        <is>
          <t>Rare / Rara</t>
        </is>
      </c>
      <c r="D2944" s="11" t="inlineStr">
        <is>
          <t>{3}, {T}: Untap target creature.</t>
        </is>
      </c>
      <c r="E2944" s="11" t="inlineStr">
        <is>
          <t>{2}</t>
        </is>
      </c>
      <c r="F2944" s="11" t="inlineStr">
        <is>
          <t>Incolor</t>
        </is>
      </c>
      <c r="G2944" s="8" t="n">
        <v>2.5</v>
      </c>
      <c r="H2944" s="11" t="inlineStr">
        <is>
          <t>Fourth Edition</t>
        </is>
      </c>
      <c r="I2944" s="11" t="inlineStr">
        <is>
          <t>Não</t>
        </is>
      </c>
      <c r="J2944" s="11" t="n">
        <v>1995</v>
      </c>
      <c r="L2944" s="11" t="n">
        <v>2</v>
      </c>
      <c r="M2944" s="8">
        <f>L2944*G2944</f>
        <v/>
      </c>
      <c r="N2944" s="11" t="inlineStr">
        <is>
          <t>Pasta</t>
        </is>
      </c>
      <c r="P2944" s="9" t="n"/>
    </row>
    <row r="2945">
      <c r="A2945" s="11" t="inlineStr">
        <is>
          <t>Glasses of Urza / Óculos de Urza</t>
        </is>
      </c>
      <c r="B2945" s="11" t="inlineStr">
        <is>
          <t>Artifact</t>
        </is>
      </c>
      <c r="C2945" s="11" t="inlineStr">
        <is>
          <t>Comum / Common</t>
        </is>
      </c>
      <c r="D2945" s="11" t="inlineStr">
        <is>
          <t>{T}: Regardez la main de votre adversaire. / {T}: Look at your opponent's hand.</t>
        </is>
      </c>
      <c r="E2945" s="11" t="inlineStr">
        <is>
          <t>{1}</t>
        </is>
      </c>
      <c r="F2945" s="11" t="inlineStr">
        <is>
          <t>Incolor</t>
        </is>
      </c>
      <c r="G2945" s="8" t="n">
        <v>0.65</v>
      </c>
      <c r="H2945" s="11" t="inlineStr">
        <is>
          <t>Fourth Edition</t>
        </is>
      </c>
      <c r="I2945" s="11" t="inlineStr">
        <is>
          <t>Não</t>
        </is>
      </c>
      <c r="J2945" s="11" t="n">
        <v>1995</v>
      </c>
      <c r="L2945" s="11" t="n">
        <v>1</v>
      </c>
      <c r="M2945" s="8">
        <f>L2945*G2945</f>
        <v/>
      </c>
      <c r="P2945" s="9" t="n"/>
    </row>
    <row r="2946">
      <c r="A2946" s="11" t="inlineStr">
        <is>
          <t>Rod of Ruin / Bastão da Ruína</t>
        </is>
      </c>
      <c r="B2946" s="11" t="inlineStr">
        <is>
          <t>Artifact</t>
        </is>
      </c>
      <c r="C2946" s="11" t="inlineStr">
        <is>
          <t>Incomum / Uncommon</t>
        </is>
      </c>
      <c r="D2946" s="11" t="inlineStr">
        <is>
          <t>{3}, {T}: Rod of Ruin deals 1 damage to target creature or player.</t>
        </is>
      </c>
      <c r="E2946" s="11" t="inlineStr">
        <is>
          <t>{4}</t>
        </is>
      </c>
      <c r="F2946" s="11" t="inlineStr">
        <is>
          <t>Incolor</t>
        </is>
      </c>
      <c r="G2946" s="8" t="n">
        <v>0.49</v>
      </c>
      <c r="H2946" s="11" t="inlineStr">
        <is>
          <t>Fourth Edition (BB)</t>
        </is>
      </c>
      <c r="I2946" s="11" t="inlineStr">
        <is>
          <t>Não</t>
        </is>
      </c>
      <c r="J2946" s="11" t="n">
        <v>1995</v>
      </c>
      <c r="L2946" s="11" t="n">
        <v>2</v>
      </c>
      <c r="M2946" s="8">
        <f>L2946*G2946</f>
        <v/>
      </c>
      <c r="P2946" s="9" t="n"/>
    </row>
    <row r="2947">
      <c r="A2947" s="11" t="inlineStr">
        <is>
          <t>Rod of Ruin / Bastão da Ruína</t>
        </is>
      </c>
      <c r="B2947" s="11" t="inlineStr">
        <is>
          <t>Artifact</t>
        </is>
      </c>
      <c r="C2947" s="11" t="inlineStr">
        <is>
          <t>Incomum / Uncommon</t>
        </is>
      </c>
      <c r="D2947" s="11" t="inlineStr">
        <is>
          <t>{3}, {T}: Rod of Ruin deals 1 damage to target creature or player.</t>
        </is>
      </c>
      <c r="E2947" s="11" t="inlineStr">
        <is>
          <t>{4}</t>
        </is>
      </c>
      <c r="F2947" s="11" t="inlineStr">
        <is>
          <t>Incolor</t>
        </is>
      </c>
      <c r="G2947" s="8" t="n">
        <v>0.08</v>
      </c>
      <c r="H2947" s="11" t="inlineStr">
        <is>
          <t>Fourth Edition</t>
        </is>
      </c>
      <c r="I2947" s="11" t="inlineStr">
        <is>
          <t>Não</t>
        </is>
      </c>
      <c r="J2947" s="11" t="n">
        <v>1995</v>
      </c>
      <c r="L2947" s="11" t="n">
        <v>1</v>
      </c>
      <c r="M2947" s="8">
        <f>L2947*G2947</f>
        <v/>
      </c>
      <c r="P2947" s="9" t="n"/>
    </row>
    <row r="2948">
      <c r="A2948" s="11" t="inlineStr">
        <is>
          <t>Brass Man / Homem de Bronze</t>
        </is>
      </c>
      <c r="B2948" s="11" t="inlineStr">
        <is>
          <t>Artifact Creature — Construct</t>
        </is>
      </c>
      <c r="C2948" s="11" t="inlineStr">
        <is>
          <t>Uncommon / Incomum</t>
        </is>
      </c>
      <c r="D2948" s="11" t="inlineStr">
        <is>
          <t>This creature doesn't untap during your untap step. At the beginning of your upkeep, you may pay {1}. If you do, untap this creature.</t>
        </is>
      </c>
      <c r="E2948" s="11" t="inlineStr">
        <is>
          <t>{1}</t>
        </is>
      </c>
      <c r="F2948" s="11" t="inlineStr">
        <is>
          <t>Incolor</t>
        </is>
      </c>
      <c r="G2948" s="8" t="n">
        <v>0.49</v>
      </c>
      <c r="H2948" s="11" t="inlineStr">
        <is>
          <t>Fourth Edition (BB)</t>
        </is>
      </c>
      <c r="I2948" s="11" t="inlineStr">
        <is>
          <t>Não</t>
        </is>
      </c>
      <c r="J2948" s="11" t="n">
        <v>1995</v>
      </c>
      <c r="K2948" s="10" t="n">
        <v>46082</v>
      </c>
      <c r="L2948" s="11" t="n">
        <v>1</v>
      </c>
      <c r="M2948" s="8">
        <f>L2948*G2948</f>
        <v/>
      </c>
      <c r="P2948" s="9" t="n"/>
    </row>
    <row r="2949">
      <c r="A2949" s="11" t="inlineStr">
        <is>
          <t>Brass Man / Homem de Bronze</t>
        </is>
      </c>
      <c r="B2949" s="11" t="inlineStr">
        <is>
          <t>Artifact Creature — Construct</t>
        </is>
      </c>
      <c r="C2949" s="11" t="inlineStr">
        <is>
          <t>Uncommon / Incomum</t>
        </is>
      </c>
      <c r="D2949" s="11" t="inlineStr">
        <is>
          <t>This creature doesn't untap during your untap step. At the beginning of your upkeep, you may pay {1}. If you do, untap this creature.</t>
        </is>
      </c>
      <c r="E2949" s="11" t="inlineStr">
        <is>
          <t>{1}</t>
        </is>
      </c>
      <c r="F2949" s="11" t="inlineStr">
        <is>
          <t>Incolor</t>
        </is>
      </c>
      <c r="G2949" s="8" t="n">
        <v>0.14</v>
      </c>
      <c r="H2949" s="11" t="inlineStr">
        <is>
          <t>Fourth Edition</t>
        </is>
      </c>
      <c r="I2949" s="11" t="inlineStr">
        <is>
          <t>Não</t>
        </is>
      </c>
      <c r="J2949" s="11" t="n">
        <v>1995</v>
      </c>
      <c r="K2949" s="10" t="n">
        <v>46082</v>
      </c>
      <c r="L2949" s="11" t="n">
        <v>2</v>
      </c>
      <c r="M2949" s="8">
        <f>L2949*G2949</f>
        <v/>
      </c>
      <c r="P2949" s="9" t="n"/>
    </row>
    <row r="2950">
      <c r="A2950" s="11" t="inlineStr">
        <is>
          <t>Ashnod's Battle Gear / Armadura de Ashnod</t>
        </is>
      </c>
      <c r="B2950" s="11" t="inlineStr">
        <is>
          <t>Artifact</t>
        </is>
      </c>
      <c r="C2950" s="11" t="inlineStr">
        <is>
          <t>Uncommon / Incomum</t>
        </is>
      </c>
      <c r="D2950" s="11" t="inlineStr">
        <is>
          <t>You may choose not to untap this artifact during your untap step. {2}, {T}: Target creature you control gets +2/-2 for as long as this artifact remains tapped.</t>
        </is>
      </c>
      <c r="E2950" s="11" t="inlineStr">
        <is>
          <t>{2}</t>
        </is>
      </c>
      <c r="F2950" s="11" t="inlineStr">
        <is>
          <t>Incolor</t>
        </is>
      </c>
      <c r="G2950" s="8" t="n">
        <v>0.64</v>
      </c>
      <c r="H2950" s="11" t="inlineStr">
        <is>
          <t>Fourth Edition (BB)</t>
        </is>
      </c>
      <c r="I2950" s="11" t="inlineStr">
        <is>
          <t>Não</t>
        </is>
      </c>
      <c r="J2950" s="11" t="n">
        <v>1995</v>
      </c>
      <c r="L2950" s="11" t="n">
        <v>1</v>
      </c>
      <c r="M2950" s="8">
        <f>L2950*G2950</f>
        <v/>
      </c>
      <c r="P2950" s="9" t="n"/>
    </row>
    <row r="2951">
      <c r="A2951" s="11" t="inlineStr">
        <is>
          <t>Ashnod's Battle Gear / Armadura de Ashnod</t>
        </is>
      </c>
      <c r="B2951" s="11" t="inlineStr">
        <is>
          <t>Artifact</t>
        </is>
      </c>
      <c r="C2951" s="11" t="inlineStr">
        <is>
          <t>Uncommon / Incomum</t>
        </is>
      </c>
      <c r="D2951" s="11" t="inlineStr">
        <is>
          <t>You may choose not to untap this artifact during your untap step. {2}, {T}: Target creature you control gets +2/-2 for as long as this artifact remains tapped.</t>
        </is>
      </c>
      <c r="E2951" s="11" t="inlineStr">
        <is>
          <t>{2}</t>
        </is>
      </c>
      <c r="F2951" s="11" t="inlineStr">
        <is>
          <t>Incolor</t>
        </is>
      </c>
      <c r="G2951" s="8" t="n">
        <v>0.1</v>
      </c>
      <c r="H2951" s="11" t="inlineStr">
        <is>
          <t>Fourth Edition</t>
        </is>
      </c>
      <c r="I2951" s="11" t="inlineStr">
        <is>
          <t>Não</t>
        </is>
      </c>
      <c r="J2951" s="11" t="n">
        <v>1995</v>
      </c>
      <c r="L2951" s="11" t="n">
        <v>1</v>
      </c>
      <c r="M2951" s="8">
        <f>L2951*G2951</f>
        <v/>
      </c>
      <c r="P2951" s="9" t="n"/>
    </row>
    <row r="2952">
      <c r="A2952" s="11" t="inlineStr">
        <is>
          <t>Obsianus Golem / Golem Obsianus</t>
        </is>
      </c>
      <c r="B2952" s="11" t="inlineStr">
        <is>
          <t>Artifact Creature — Golem</t>
        </is>
      </c>
      <c r="C2952" s="11" t="inlineStr">
        <is>
          <t>Uncommon / Incomum</t>
        </is>
      </c>
      <c r="E2952" s="11" t="inlineStr">
        <is>
          <t>{6}</t>
        </is>
      </c>
      <c r="F2952" s="11" t="inlineStr">
        <is>
          <t>Incolor</t>
        </is>
      </c>
      <c r="G2952" s="8" t="n">
        <v>0.4</v>
      </c>
      <c r="H2952" s="11" t="inlineStr">
        <is>
          <t>Fourth Edition (BB)</t>
        </is>
      </c>
      <c r="I2952" s="11" t="inlineStr">
        <is>
          <t>Não</t>
        </is>
      </c>
      <c r="J2952" s="11" t="n">
        <v>1995</v>
      </c>
      <c r="K2952" s="10" t="n">
        <v>46177</v>
      </c>
      <c r="L2952" s="11" t="n">
        <v>2</v>
      </c>
      <c r="M2952" s="8">
        <f>L2952*G2952</f>
        <v/>
      </c>
      <c r="P2952" s="9" t="n"/>
    </row>
    <row r="2953">
      <c r="A2953" s="11" t="inlineStr">
        <is>
          <t>Obsianus Golem / Golem Obsianus</t>
        </is>
      </c>
      <c r="B2953" s="11" t="inlineStr">
        <is>
          <t>Artifact Creature — Golem</t>
        </is>
      </c>
      <c r="C2953" s="11" t="inlineStr">
        <is>
          <t>Uncommon / Incomum</t>
        </is>
      </c>
      <c r="E2953" s="11" t="inlineStr">
        <is>
          <t>{6}</t>
        </is>
      </c>
      <c r="F2953" s="11" t="inlineStr">
        <is>
          <t>Incolor</t>
        </is>
      </c>
      <c r="G2953" s="8" t="n">
        <v>0.09</v>
      </c>
      <c r="H2953" s="11" t="inlineStr">
        <is>
          <t>Fourth Edition</t>
        </is>
      </c>
      <c r="I2953" s="11" t="inlineStr">
        <is>
          <t>Não</t>
        </is>
      </c>
      <c r="J2953" s="11" t="n">
        <v>1995</v>
      </c>
      <c r="K2953" s="10" t="n">
        <v>46177</v>
      </c>
      <c r="L2953" s="11" t="n">
        <v>1</v>
      </c>
      <c r="M2953" s="8">
        <f>L2953*G2953</f>
        <v/>
      </c>
      <c r="P2953" s="9" t="n"/>
    </row>
    <row r="2954">
      <c r="A2954" s="11" t="inlineStr">
        <is>
          <t>Yotian Soldier / Soldado Yotiano</t>
        </is>
      </c>
      <c r="B2954" s="11" t="inlineStr">
        <is>
          <t>Artifact Creature — Soldier / Criatura Artefato — Soldado</t>
        </is>
      </c>
      <c r="C2954" s="11" t="inlineStr">
        <is>
          <t>Common / Comum</t>
        </is>
      </c>
      <c r="D2954" s="11" t="inlineStr">
        <is>
          <t>Vigilance / Soldado Yotiano não é virado para atacar.</t>
        </is>
      </c>
      <c r="E2954" s="11" t="inlineStr">
        <is>
          <t>{3}</t>
        </is>
      </c>
      <c r="F2954" s="11" t="inlineStr">
        <is>
          <t>Incolor</t>
        </is>
      </c>
      <c r="G2954" s="8" t="n">
        <v>0.08</v>
      </c>
      <c r="H2954" s="11" t="inlineStr">
        <is>
          <t>Fourth Edition (BB)</t>
        </is>
      </c>
      <c r="I2954" s="11" t="inlineStr">
        <is>
          <t>Não</t>
        </is>
      </c>
      <c r="J2954" s="11" t="n">
        <v>1995</v>
      </c>
      <c r="K2954" s="10" t="n">
        <v>46113</v>
      </c>
      <c r="L2954" s="11" t="n">
        <v>3</v>
      </c>
      <c r="M2954" s="8">
        <f>L2954*G2954</f>
        <v/>
      </c>
      <c r="P2954" s="9" t="n"/>
    </row>
    <row r="2955">
      <c r="A2955" s="11" t="inlineStr">
        <is>
          <t>Yotian Soldier / Soldado Yotiano</t>
        </is>
      </c>
      <c r="B2955" s="11" t="inlineStr">
        <is>
          <t>Artifact Creature — Soldier / Criatura Artefato — Soldado</t>
        </is>
      </c>
      <c r="C2955" s="11" t="inlineStr">
        <is>
          <t>Common / Comum</t>
        </is>
      </c>
      <c r="D2955" s="11" t="inlineStr">
        <is>
          <t>Vigilance / Soldado Yotiano não é virado para atacar.</t>
        </is>
      </c>
      <c r="E2955" s="11" t="inlineStr">
        <is>
          <t>{3}</t>
        </is>
      </c>
      <c r="F2955" s="11" t="inlineStr">
        <is>
          <t>Incolor</t>
        </is>
      </c>
      <c r="G2955" s="8" t="n">
        <v>0.05</v>
      </c>
      <c r="H2955" s="11" t="inlineStr">
        <is>
          <t>Fourth Edition</t>
        </is>
      </c>
      <c r="I2955" s="11" t="inlineStr">
        <is>
          <t>Não</t>
        </is>
      </c>
      <c r="J2955" s="11" t="n">
        <v>1995</v>
      </c>
      <c r="K2955" s="10" t="n">
        <v>46113</v>
      </c>
      <c r="L2955" s="11" t="n">
        <v>2</v>
      </c>
      <c r="M2955" s="8">
        <f>L2955*G2955</f>
        <v/>
      </c>
      <c r="P2955" s="9" t="n"/>
    </row>
    <row r="2956">
      <c r="A2956" s="11" t="inlineStr">
        <is>
          <t>Clockwork Gnomes / Gnomos Mecânicos</t>
        </is>
      </c>
      <c r="B2956" s="11" t="inlineStr">
        <is>
          <t>Artifact Creature — Gnome</t>
        </is>
      </c>
      <c r="C2956" s="11" t="inlineStr">
        <is>
          <t>Common / Comum</t>
        </is>
      </c>
      <c r="D2956" s="11" t="inlineStr">
        <is>
          <t>{3}, {T}: Regenerate target artifact creature.</t>
        </is>
      </c>
      <c r="E2956" s="11" t="inlineStr">
        <is>
          <t>{4}</t>
        </is>
      </c>
      <c r="F2956" s="11" t="inlineStr">
        <is>
          <t>Incolor</t>
        </is>
      </c>
      <c r="G2956" s="8" t="n">
        <v>0.1</v>
      </c>
      <c r="H2956" s="11" t="inlineStr">
        <is>
          <t>Homelands (HML)</t>
        </is>
      </c>
      <c r="I2956" s="11" t="inlineStr">
        <is>
          <t>Não</t>
        </is>
      </c>
      <c r="J2956" s="11" t="n">
        <v>1995</v>
      </c>
      <c r="K2956" s="10" t="n">
        <v>46055</v>
      </c>
      <c r="L2956" s="11" t="n">
        <v>2</v>
      </c>
      <c r="M2956" s="8">
        <f>L2956*G2956</f>
        <v/>
      </c>
      <c r="P2956" s="9" t="n"/>
    </row>
    <row r="2957">
      <c r="A2957" s="11" t="inlineStr">
        <is>
          <t>Amulet of Kroog / Amuleto de Kroog</t>
        </is>
      </c>
      <c r="B2957" s="11" t="inlineStr">
        <is>
          <t>Artifact</t>
        </is>
      </c>
      <c r="C2957" s="11" t="inlineStr">
        <is>
          <t>Common / Comum</t>
        </is>
      </c>
      <c r="D2957" s="11" t="inlineStr">
        <is>
          <t>{2}, {T}: Prevent the next 1 damage that would be dealt to any target this turn.</t>
        </is>
      </c>
      <c r="E2957" s="11" t="inlineStr">
        <is>
          <t>{2}</t>
        </is>
      </c>
      <c r="F2957" s="11" t="inlineStr">
        <is>
          <t>Incolor</t>
        </is>
      </c>
      <c r="G2957" s="8" t="n">
        <v>0.18</v>
      </c>
      <c r="H2957" s="11" t="inlineStr">
        <is>
          <t>Fourth Edition (BB)</t>
        </is>
      </c>
      <c r="I2957" s="11" t="inlineStr">
        <is>
          <t>Não</t>
        </is>
      </c>
      <c r="J2957" s="11" t="n">
        <v>1995</v>
      </c>
      <c r="L2957" s="11" t="n">
        <v>3</v>
      </c>
      <c r="M2957" s="8">
        <f>L2957*G2957</f>
        <v/>
      </c>
      <c r="P2957" s="9" t="n"/>
    </row>
    <row r="2958">
      <c r="A2958" s="11" t="inlineStr">
        <is>
          <t>Amulet of Kroog / Amuleto de Kroog</t>
        </is>
      </c>
      <c r="B2958" s="11" t="inlineStr">
        <is>
          <t>Artifact</t>
        </is>
      </c>
      <c r="C2958" s="11" t="inlineStr">
        <is>
          <t>Common / Comum</t>
        </is>
      </c>
      <c r="D2958" s="11" t="inlineStr">
        <is>
          <t>{2}, {T}: Prevent the next 1 damage that would be dealt to any target this turn.</t>
        </is>
      </c>
      <c r="E2958" s="11" t="inlineStr">
        <is>
          <t>{2}</t>
        </is>
      </c>
      <c r="F2958" s="11" t="inlineStr">
        <is>
          <t>Incolor</t>
        </is>
      </c>
      <c r="G2958" s="8" t="n">
        <v>0.05</v>
      </c>
      <c r="H2958" s="11" t="inlineStr">
        <is>
          <t>Fourth Edition</t>
        </is>
      </c>
      <c r="I2958" s="11" t="inlineStr">
        <is>
          <t>Não</t>
        </is>
      </c>
      <c r="J2958" s="11" t="n">
        <v>1995</v>
      </c>
      <c r="L2958" s="11" t="n">
        <v>2</v>
      </c>
      <c r="M2958" s="8">
        <f>L2958*G2958</f>
        <v/>
      </c>
      <c r="P2958" s="9" t="n"/>
    </row>
    <row r="2959">
      <c r="A2959" s="11" t="inlineStr">
        <is>
          <t>Barbed Sextant / Sextante Farpado</t>
        </is>
      </c>
      <c r="B2959" s="11" t="inlineStr">
        <is>
          <t>Artifact</t>
        </is>
      </c>
      <c r="C2959" s="11" t="inlineStr">
        <is>
          <t>Common / Comum</t>
        </is>
      </c>
      <c r="D2959" s="11" t="inlineStr">
        <is>
          <t>{1}, {T}, Sacrifice this artifact: Add one mana of any color. Draw a card at the beginning of the next turn's upkeep.</t>
        </is>
      </c>
      <c r="E2959" s="11" t="inlineStr">
        <is>
          <t>{1}</t>
        </is>
      </c>
      <c r="F2959" s="11" t="inlineStr">
        <is>
          <t>Incolor</t>
        </is>
      </c>
      <c r="G2959" s="8" t="n">
        <v>0.12</v>
      </c>
      <c r="H2959" s="11" t="inlineStr">
        <is>
          <t>Ice Age (ICE)</t>
        </is>
      </c>
      <c r="I2959" s="11" t="inlineStr">
        <is>
          <t>Não</t>
        </is>
      </c>
      <c r="J2959" s="11" t="n">
        <v>1995</v>
      </c>
      <c r="L2959" s="11" t="n">
        <v>4</v>
      </c>
      <c r="M2959" s="8">
        <f>L2959*G2959</f>
        <v/>
      </c>
      <c r="P2959" s="9" t="n"/>
    </row>
    <row r="2960">
      <c r="A2960" s="11" t="inlineStr">
        <is>
          <t>Root Out / Arrancar pela Raiz</t>
        </is>
      </c>
      <c r="B2960" s="11" t="inlineStr">
        <is>
          <t>Sorcery / Feitiço</t>
        </is>
      </c>
      <c r="C2960" s="11" t="inlineStr">
        <is>
          <t>Common / Comum</t>
        </is>
      </c>
      <c r="D2960" s="11" t="inlineStr">
        <is>
          <t>Destroy target artifact or enchantment. Investigate. (Create a Clue token. It's an artifact with "{2}, Sacrifice this token: Draw a card.") / Destrua o artefato ou encantamento alvo. Investigue. (Coloque no campo de batalha uma ficha de artefato incolor do tipo Pista com "{2}, Sacrifique este artefato: Compre um card.")</t>
        </is>
      </c>
      <c r="E2960" s="11" t="inlineStr">
        <is>
          <t>{2}{G}</t>
        </is>
      </c>
      <c r="F2960" s="11" t="inlineStr">
        <is>
          <t>Verde</t>
        </is>
      </c>
      <c r="G2960" s="8" t="n">
        <v>0.06</v>
      </c>
      <c r="H2960" s="11" t="inlineStr">
        <is>
          <t>Shadows over Innistrad (SOI)</t>
        </is>
      </c>
      <c r="I2960" s="11" t="inlineStr">
        <is>
          <t>Não</t>
        </is>
      </c>
      <c r="J2960" s="11" t="n">
        <v>2016</v>
      </c>
      <c r="L2960" s="11" t="n">
        <v>1</v>
      </c>
      <c r="M2960" s="8">
        <f>L2960*G2960</f>
        <v/>
      </c>
      <c r="P2960" s="9" t="n"/>
    </row>
    <row r="2961">
      <c r="A2961" s="11" t="inlineStr">
        <is>
          <t>Haze of Pollen / Bruma de Pólen</t>
        </is>
      </c>
      <c r="B2961" s="11" t="inlineStr">
        <is>
          <t>Instant / Mágica Instantânea</t>
        </is>
      </c>
      <c r="C2961" s="11" t="inlineStr">
        <is>
          <t>Common / Comum</t>
        </is>
      </c>
      <c r="D2961" s="11" t="inlineStr">
        <is>
          <t>Prevent all combat damage that would be dealt this turn. Cycling {3} ({3}, Discard this card: Draw a card.) / Previna todo o dano de combate que seria causado neste turno. Reciclar {3} ({3}, Descarte este card: Compre um card.)</t>
        </is>
      </c>
      <c r="E2961" s="11" t="inlineStr">
        <is>
          <t>{1}{G}</t>
        </is>
      </c>
      <c r="F2961" s="11" t="inlineStr">
        <is>
          <t>Verde</t>
        </is>
      </c>
      <c r="G2961" s="8" t="n">
        <v>0.06</v>
      </c>
      <c r="H2961" s="11" t="inlineStr">
        <is>
          <t>Amonkhet (AKH)</t>
        </is>
      </c>
      <c r="I2961" s="11" t="inlineStr">
        <is>
          <t>Não</t>
        </is>
      </c>
      <c r="J2961" s="11" t="n">
        <v>2017</v>
      </c>
      <c r="L2961" s="11" t="n">
        <v>1</v>
      </c>
      <c r="M2961" s="8">
        <f>L2961*G2961</f>
        <v/>
      </c>
      <c r="P2961" s="9" t="n"/>
    </row>
    <row r="2962">
      <c r="A2962" s="11" t="inlineStr">
        <is>
          <t>Hardy Veteran / Veterana Calejada</t>
        </is>
      </c>
      <c r="B2962" s="11" t="inlineStr">
        <is>
          <t>Creature — Human Warrior / Criatura — Humano Guerreiro</t>
        </is>
      </c>
      <c r="C2962" s="11" t="inlineStr">
        <is>
          <t>Common / Comum</t>
        </is>
      </c>
      <c r="D2962" s="11" t="inlineStr">
        <is>
          <t>During your turn, this creature gets +0/+2. / Enquanto for o seu turno, Veterana Calejada receberá +0/+2.</t>
        </is>
      </c>
      <c r="E2962" s="11" t="inlineStr">
        <is>
          <t>{1}{G}</t>
        </is>
      </c>
      <c r="F2962" s="11" t="inlineStr">
        <is>
          <t>Verde</t>
        </is>
      </c>
      <c r="G2962" s="8" t="n">
        <v>0.03</v>
      </c>
      <c r="H2962" s="11" t="inlineStr">
        <is>
          <t>Rivals of Ixalan (RIX)</t>
        </is>
      </c>
      <c r="I2962" s="11" t="inlineStr">
        <is>
          <t>Não</t>
        </is>
      </c>
      <c r="J2962" s="11" t="n">
        <v>2018</v>
      </c>
      <c r="K2962" s="10" t="n">
        <v>46055</v>
      </c>
      <c r="L2962" s="11" t="n">
        <v>1</v>
      </c>
      <c r="M2962" s="8">
        <f>L2962*G2962</f>
        <v/>
      </c>
      <c r="P2962" s="9" t="n"/>
    </row>
    <row r="2963">
      <c r="A2963" s="11" t="inlineStr">
        <is>
          <t>Jadecraft Artisan / Artesão Jadeiro</t>
        </is>
      </c>
      <c r="B2963" s="11" t="inlineStr">
        <is>
          <t>Creature — Merfolk Shaman / Criatura — Tritão Xamã</t>
        </is>
      </c>
      <c r="C2963" s="11" t="inlineStr">
        <is>
          <t>Common / Comum</t>
        </is>
      </c>
      <c r="D2963" s="11" t="inlineStr">
        <is>
          <t>When this creature enters, target creature gets +2/+2 until end of turn. / Quando Artesão Jadeiro entra no campo de batalha, a criatura alvo recebe +2/+2 até o final do turno.</t>
        </is>
      </c>
      <c r="E2963" s="11" t="inlineStr">
        <is>
          <t>{3}{G}</t>
        </is>
      </c>
      <c r="F2963" s="11" t="inlineStr">
        <is>
          <t>Verde</t>
        </is>
      </c>
      <c r="G2963" s="8" t="n">
        <v>0.03</v>
      </c>
      <c r="H2963" s="11" t="inlineStr">
        <is>
          <t>Rivals of Ixalan (RIX)</t>
        </is>
      </c>
      <c r="I2963" s="11" t="inlineStr">
        <is>
          <t>Não</t>
        </is>
      </c>
      <c r="J2963" s="11" t="n">
        <v>2018</v>
      </c>
      <c r="K2963" s="10" t="n">
        <v>46084</v>
      </c>
      <c r="L2963" s="11" t="n">
        <v>2</v>
      </c>
      <c r="M2963" s="8">
        <f>L2963*G2963</f>
        <v/>
      </c>
      <c r="P2963" s="9" t="n"/>
    </row>
    <row r="2964">
      <c r="A2964" s="11" t="inlineStr">
        <is>
          <t>Orazca Frillback / Dorso-frisado de Orazca</t>
        </is>
      </c>
      <c r="B2964" s="11" t="inlineStr">
        <is>
          <t>Creature — Dinosaur / Criatura — Dinossauro</t>
        </is>
      </c>
      <c r="C2964" s="11" t="inlineStr">
        <is>
          <t>Common / Comum</t>
        </is>
      </c>
      <c r="E2964" s="11" t="inlineStr">
        <is>
          <t>{2}{G}</t>
        </is>
      </c>
      <c r="F2964" s="11" t="inlineStr">
        <is>
          <t>Verde</t>
        </is>
      </c>
      <c r="G2964" s="8" t="n">
        <v>0.03</v>
      </c>
      <c r="H2964" s="11" t="inlineStr">
        <is>
          <t>Rivals of Ixalan (RIX)</t>
        </is>
      </c>
      <c r="I2964" s="11" t="inlineStr">
        <is>
          <t>Não</t>
        </is>
      </c>
      <c r="J2964" s="11" t="n">
        <v>2018</v>
      </c>
      <c r="K2964" s="10" t="n">
        <v>46057</v>
      </c>
      <c r="L2964" s="11" t="n">
        <v>1</v>
      </c>
      <c r="M2964" s="8">
        <f>L2964*G2964</f>
        <v/>
      </c>
      <c r="P2964" s="9" t="n"/>
    </row>
    <row r="2965">
      <c r="A2965" s="11" t="inlineStr">
        <is>
          <t>Sedge Scorpion / Escorpião de Grama</t>
        </is>
      </c>
      <c r="B2965" s="11" t="inlineStr">
        <is>
          <t>Creature — Scorpion / Criatura — Escorpião</t>
        </is>
      </c>
      <c r="C2965" s="11" t="inlineStr">
        <is>
          <t>Common / Comum</t>
        </is>
      </c>
      <c r="D2965" s="11" t="inlineStr">
        <is>
          <t>Deathtouch (Any amount of damage this deals to a creature is enough to destroy it.) / Toque mortífero (Qualquer quantidade de dano que esta criatura cause a uma criatura é suficiente para destruí-la.)</t>
        </is>
      </c>
      <c r="E2965" s="11" t="inlineStr">
        <is>
          <t>{G}</t>
        </is>
      </c>
      <c r="F2965" s="11" t="inlineStr">
        <is>
          <t>Verde</t>
        </is>
      </c>
      <c r="G2965" s="8" t="n">
        <v>0.06</v>
      </c>
      <c r="H2965" s="11" t="inlineStr">
        <is>
          <t>Theros (THS)</t>
        </is>
      </c>
      <c r="I2965" s="11" t="inlineStr">
        <is>
          <t>Não</t>
        </is>
      </c>
      <c r="J2965" s="11" t="n">
        <v>2013</v>
      </c>
      <c r="K2965" s="10" t="n">
        <v>46023</v>
      </c>
      <c r="L2965" s="11" t="n">
        <v>1</v>
      </c>
      <c r="M2965" s="8">
        <f>L2965*G2965</f>
        <v/>
      </c>
      <c r="P2965" s="9" t="n"/>
    </row>
    <row r="2966">
      <c r="A2966" s="11" t="inlineStr">
        <is>
          <t>Colossal Dreadmaw / Bocarra Sinistra Colossal</t>
        </is>
      </c>
      <c r="B2966" s="11" t="inlineStr">
        <is>
          <t>Creature — Dinosaur / Criatura — Dinossauro</t>
        </is>
      </c>
      <c r="C2966" s="11" t="inlineStr">
        <is>
          <t>Common / Comum</t>
        </is>
      </c>
      <c r="D2966" s="11" t="inlineStr">
        <is>
          <t>Trample (This creature can deal excess combat damage to the player or planeswalker it's attacking.) / Atropelar</t>
        </is>
      </c>
      <c r="E2966" s="11" t="inlineStr">
        <is>
          <t>{4}{G}{G}</t>
        </is>
      </c>
      <c r="F2966" s="11" t="inlineStr">
        <is>
          <t>Verde</t>
        </is>
      </c>
      <c r="G2966" s="8" t="n">
        <v>0.05</v>
      </c>
      <c r="H2966" s="11" t="inlineStr">
        <is>
          <t>Rivals of Ixalan (RIX)</t>
        </is>
      </c>
      <c r="I2966" s="11" t="inlineStr">
        <is>
          <t>Não</t>
        </is>
      </c>
      <c r="J2966" s="11" t="n">
        <v>2018</v>
      </c>
      <c r="K2966" s="10" t="n">
        <v>46179</v>
      </c>
      <c r="L2966" s="11" t="n">
        <v>1</v>
      </c>
      <c r="M2966" s="8">
        <f>L2966*G2966</f>
        <v/>
      </c>
      <c r="P2966" s="9" t="n"/>
    </row>
    <row r="2967">
      <c r="A2967" s="11" t="inlineStr">
        <is>
          <t>Joyous Respite / Adiamento Jubiloso</t>
        </is>
      </c>
      <c r="B2967" s="11" t="inlineStr">
        <is>
          <t>Sorcery — Arcane / Feitiço - Arcana</t>
        </is>
      </c>
      <c r="C2967" s="11" t="inlineStr">
        <is>
          <t>Common / Comum</t>
        </is>
      </c>
      <c r="D2967" s="11" t="inlineStr">
        <is>
          <t>You gain 1 life for each land you control. / Você ganha 1 ponto de vida para cada terreno que controla.</t>
        </is>
      </c>
      <c r="E2967" s="11" t="inlineStr">
        <is>
          <t>{3}{G}</t>
        </is>
      </c>
      <c r="F2967" s="11" t="inlineStr">
        <is>
          <t>Verde</t>
        </is>
      </c>
      <c r="G2967" s="8" t="n">
        <v>0.09</v>
      </c>
      <c r="H2967" s="11" t="inlineStr">
        <is>
          <t>Champions of Kamigawa (CHK)</t>
        </is>
      </c>
      <c r="I2967" s="11" t="inlineStr">
        <is>
          <t>Não</t>
        </is>
      </c>
      <c r="J2967" s="11" t="n">
        <v>2004</v>
      </c>
      <c r="L2967" s="11" t="n">
        <v>1</v>
      </c>
      <c r="M2967" s="8">
        <f>L2967*G2967</f>
        <v/>
      </c>
      <c r="P2967" s="9" t="n"/>
    </row>
    <row r="2968">
      <c r="A2968" s="11" t="inlineStr">
        <is>
          <t>Dosan's Oldest Chant / O Canto Mais Antigo de Dosan</t>
        </is>
      </c>
      <c r="B2968" s="11" t="inlineStr">
        <is>
          <t>Sorcery / Feitiço</t>
        </is>
      </c>
      <c r="C2968" s="11" t="inlineStr">
        <is>
          <t>Common / Comum</t>
        </is>
      </c>
      <c r="D2968" s="11" t="inlineStr">
        <is>
          <t>You gain 6 life. Draw a card. / Você ganha 6 pontos de vida. Compre um card.</t>
        </is>
      </c>
      <c r="E2968" s="11" t="inlineStr">
        <is>
          <t>{4}{G}</t>
        </is>
      </c>
      <c r="F2968" s="11" t="inlineStr">
        <is>
          <t>Verde</t>
        </is>
      </c>
      <c r="G2968" s="8" t="n">
        <v>0.09</v>
      </c>
      <c r="H2968" s="11" t="inlineStr">
        <is>
          <t>Saviors of Kamigawa (SOK)</t>
        </is>
      </c>
      <c r="I2968" s="11" t="inlineStr">
        <is>
          <t>Não</t>
        </is>
      </c>
      <c r="J2968" s="11" t="n">
        <v>2005</v>
      </c>
      <c r="L2968" s="11" t="n">
        <v>1</v>
      </c>
      <c r="M2968" s="8">
        <f>L2968*G2968</f>
        <v/>
      </c>
      <c r="P2968" s="9" t="n"/>
    </row>
    <row r="2969">
      <c r="A2969" s="11" t="inlineStr">
        <is>
          <t>Wartime Protestors</t>
        </is>
      </c>
      <c r="B2969" s="11" t="inlineStr">
        <is>
          <t>Creature — Human Rebel Ally</t>
        </is>
      </c>
      <c r="C2969" s="11" t="inlineStr">
        <is>
          <t>Rare / Rara</t>
        </is>
      </c>
      <c r="D2969" s="11" t="inlineStr">
        <is>
          <t>Haste Whenever another Ally you control enters, put a +1/+1 counter on that creature and it gains haste until end of turn.</t>
        </is>
      </c>
      <c r="E2969" s="11" t="inlineStr">
        <is>
          <t>{3}{R}</t>
        </is>
      </c>
      <c r="F2969" s="11" t="inlineStr">
        <is>
          <t>Vermelho</t>
        </is>
      </c>
      <c r="G2969" s="8" t="n">
        <v>0.32</v>
      </c>
      <c r="H2969" s="11" t="inlineStr">
        <is>
          <t>Avatar: The Last Airbender (TLA)</t>
        </is>
      </c>
      <c r="I2969" s="11" t="inlineStr">
        <is>
          <t>Não</t>
        </is>
      </c>
      <c r="J2969" s="11" t="n">
        <v>2025</v>
      </c>
      <c r="K2969" s="10" t="n">
        <v>46116</v>
      </c>
      <c r="L2969" s="11" t="n">
        <v>1</v>
      </c>
      <c r="M2969" s="8">
        <f>L2969*G2969</f>
        <v/>
      </c>
      <c r="P2969" s="9" t="n"/>
    </row>
    <row r="2970">
      <c r="A2970" s="11" t="inlineStr">
        <is>
          <t>Farhaven Elf / Elfo Porto-longínquo</t>
        </is>
      </c>
      <c r="B2970" s="11" t="inlineStr">
        <is>
          <t>Creature — Elf Druid / Criatura — Elfo Druida</t>
        </is>
      </c>
      <c r="C2970" s="11" t="inlineStr">
        <is>
          <t>Rare / Rara</t>
        </is>
      </c>
      <c r="D2970" s="11" t="inlineStr">
        <is>
          <t>When this creature enters, you may search your library for a basic land card, put it onto the battlefield tapped, then shuffle. / Quando Elfo Porto-longínquo entra no campo de batalha, você pode procurar um card de terreno básico em seu grimório, colocá-lo no campo de batalha virado e depois embaralhar seu grimório.</t>
        </is>
      </c>
      <c r="E2970" s="11" t="inlineStr">
        <is>
          <t>{2}{G}</t>
        </is>
      </c>
      <c r="F2970" s="11" t="inlineStr">
        <is>
          <t>Verde</t>
        </is>
      </c>
      <c r="G2970" s="8" t="n">
        <v>1</v>
      </c>
      <c r="H2970" s="11" t="inlineStr">
        <is>
          <t>Wizards Play Network 2026 (PW26)</t>
        </is>
      </c>
      <c r="I2970" s="11" t="inlineStr">
        <is>
          <t>Não</t>
        </is>
      </c>
      <c r="J2970" s="11" t="n">
        <v>2026</v>
      </c>
      <c r="K2970" s="10" t="n">
        <v>46023</v>
      </c>
      <c r="L2970" s="11" t="n">
        <v>1</v>
      </c>
      <c r="M2970" s="8">
        <f>L2970*G2970</f>
        <v/>
      </c>
      <c r="N2970" s="11" t="inlineStr">
        <is>
          <t>Pasta</t>
        </is>
      </c>
      <c r="P2970" s="9" t="n"/>
    </row>
    <row r="2971">
      <c r="A2971" s="11" t="inlineStr">
        <is>
          <t>Popular Entertainer / Artista Popular</t>
        </is>
      </c>
      <c r="B2971" s="11" t="inlineStr">
        <is>
          <t>Legendary Enchantment — Background / Encantamento Lendário — Antecedente</t>
        </is>
      </c>
      <c r="C2971" s="11" t="inlineStr">
        <is>
          <t>Rare / Rara</t>
        </is>
      </c>
      <c r="D2971" s="11" t="inlineStr">
        <is>
          <t>Commander creatures you own have "Whenever one or more creatures you control deal combat damage to a player, goad target creature that player controls." (Until your next turn, that creature attacks each combat if able and attacks a player other than you if able.) / As criaturas comandantes que você possui têm "Toda vez que uma ou mais criaturas que você controla causarem dano de combate a um jogador, atice a criatura alvo que aquele jogador controla". (Até seu próximo turno, aquela criatura ataca a cada combate, se estiver apta, e ataca um jogador que não seja você, se estiver apta.)</t>
        </is>
      </c>
      <c r="E2971" s="11" t="inlineStr">
        <is>
          <t>{1}{R}</t>
        </is>
      </c>
      <c r="F2971" s="11" t="inlineStr">
        <is>
          <t>Vermelho</t>
        </is>
      </c>
      <c r="G2971" s="8" t="n">
        <v>0.21</v>
      </c>
      <c r="H2971" s="11" t="inlineStr">
        <is>
          <t>Commander Legends: Battle for Baldur's Gate (CLB)</t>
        </is>
      </c>
      <c r="I2971" s="11" t="inlineStr">
        <is>
          <t>Não</t>
        </is>
      </c>
      <c r="J2971" s="11" t="n">
        <v>2022</v>
      </c>
      <c r="L2971" s="11" t="n">
        <v>1</v>
      </c>
      <c r="M2971" s="8">
        <f>L2971*G2971</f>
        <v/>
      </c>
      <c r="P2971" s="9" t="n"/>
    </row>
    <row r="2972">
      <c r="A2972" s="11" t="inlineStr">
        <is>
          <t>Courier of Comestibles</t>
        </is>
      </c>
      <c r="B2972" s="11" t="inlineStr">
        <is>
          <t>Creature — Human Citizen</t>
        </is>
      </c>
      <c r="C2972" s="11" t="inlineStr">
        <is>
          <t>Rare / Rara</t>
        </is>
      </c>
      <c r="D2972" s="11" t="inlineStr">
        <is>
          <t>When this creature enters, you may search your library for a Food card, reveal it, put it into your hand, then shuffle. If you don't put a card into your hand this way, create a Food token. (It's an artifact with "{2}, {T}, Sacrifice this token: You gain 3 life.")</t>
        </is>
      </c>
      <c r="E2972" s="11" t="inlineStr">
        <is>
          <t>{1}{G}</t>
        </is>
      </c>
      <c r="F2972" s="11" t="inlineStr">
        <is>
          <t>Verde</t>
        </is>
      </c>
      <c r="G2972" s="8" t="n">
        <v>2</v>
      </c>
      <c r="H2972" s="11" t="inlineStr">
        <is>
          <t xml:space="preserve">Teenage Mutant Ninja Turtles (Promos) </t>
        </is>
      </c>
      <c r="I2972" s="11" t="inlineStr">
        <is>
          <t>Não</t>
        </is>
      </c>
      <c r="J2972" s="11" t="n">
        <v>2026</v>
      </c>
      <c r="K2972" s="10" t="n">
        <v>46054</v>
      </c>
      <c r="L2972" s="11" t="n">
        <v>1</v>
      </c>
      <c r="M2972" s="8">
        <f>L2972*G2972</f>
        <v/>
      </c>
      <c r="N2972" s="11" t="inlineStr">
        <is>
          <t>Pasta</t>
        </is>
      </c>
      <c r="P2972" s="9" t="n"/>
    </row>
    <row r="2973">
      <c r="A2973" s="11" t="inlineStr">
        <is>
          <t>The Scorpion God / O Deus Escorpião</t>
        </is>
      </c>
      <c r="B2973" s="11" t="inlineStr">
        <is>
          <t>Legendary Creature — God / Criatura Lendária — Deus</t>
        </is>
      </c>
      <c r="C2973" s="11" t="inlineStr">
        <is>
          <t>Mythic / Mítica</t>
        </is>
      </c>
      <c r="D2973" s="11" t="inlineStr">
        <is>
          <t>Whenever a creature with a -1/-1 counter on it dies, draw a card. {1}{B}{R}: Put a -1/-1 counter on another target creature. When The Scorpion God dies, return it to its owner's hand at the beginning of the next end step. / Toda vez que uma criatura com um marcador -1/-1 morrer, compre um card. {1}{B}{R}: Coloque um marcador -1/-1 em outra criatura alvo. Quando O Deus Escorpião morrer, devolva-o para a mão de seu dono no início da próxima etapa final.</t>
        </is>
      </c>
      <c r="E2973" s="11" t="inlineStr">
        <is>
          <t>{3}{B}{R}</t>
        </is>
      </c>
      <c r="F2973" s="11" t="inlineStr">
        <is>
          <t>Preto, Vermelho</t>
        </is>
      </c>
      <c r="G2973" s="8" t="n">
        <v>1</v>
      </c>
      <c r="H2973" s="11" t="inlineStr">
        <is>
          <t>Hour of Devastation (HOU)</t>
        </is>
      </c>
      <c r="I2973" s="11" t="inlineStr">
        <is>
          <t>Não</t>
        </is>
      </c>
      <c r="J2973" s="11" t="n">
        <v>2017</v>
      </c>
      <c r="K2973" s="10" t="n">
        <v>46148</v>
      </c>
      <c r="L2973" s="11" t="n">
        <v>1</v>
      </c>
      <c r="M2973" s="8">
        <f>L2973*G2973</f>
        <v/>
      </c>
      <c r="N2973" s="11" t="inlineStr">
        <is>
          <t>Pasta</t>
        </is>
      </c>
      <c r="P2973" s="9" t="n"/>
    </row>
    <row r="2974">
      <c r="A2974" s="11" t="inlineStr">
        <is>
          <t>Wild Beastmaster / Mestra de Feras Selvagem</t>
        </is>
      </c>
      <c r="B2974" s="11" t="inlineStr">
        <is>
          <t>Creature — Human Shaman / Criatura — Humano Xamã</t>
        </is>
      </c>
      <c r="C2974" s="11" t="inlineStr">
        <is>
          <t>Rare / Rara</t>
        </is>
      </c>
      <c r="D2974" s="11" t="inlineStr">
        <is>
          <t>Whenever this creature attacks, each other creature you control gets +X/+X until end of turn, where X is this creature's power. / Quando Mestra de Feras Selvagem ataca, cada outra criatura que você controla recebe +X/+X até o final do turno, sendo X igual ao poder de Mestra de Feras Selvagem.</t>
        </is>
      </c>
      <c r="E2974" s="11" t="inlineStr">
        <is>
          <t>{2}{G}</t>
        </is>
      </c>
      <c r="F2974" s="11" t="inlineStr">
        <is>
          <t>Verde</t>
        </is>
      </c>
      <c r="G2974" s="8" t="n">
        <v>0.25</v>
      </c>
      <c r="H2974" s="11" t="inlineStr">
        <is>
          <t>Commander 2016 (C16)</t>
        </is>
      </c>
      <c r="I2974" s="11" t="inlineStr">
        <is>
          <t>Não</t>
        </is>
      </c>
      <c r="J2974" s="11" t="n">
        <v>2016</v>
      </c>
      <c r="K2974" s="10" t="n">
        <v>46023</v>
      </c>
      <c r="L2974" s="11" t="n">
        <v>1</v>
      </c>
      <c r="M2974" s="8">
        <f>L2974*G2974</f>
        <v/>
      </c>
      <c r="P2974" s="9" t="n"/>
    </row>
    <row r="2975">
      <c r="A2975" s="11" t="inlineStr">
        <is>
          <t>Imodane, the Pyrohammer / Imodane, a Piromartelo</t>
        </is>
      </c>
      <c r="B2975" s="11" t="inlineStr">
        <is>
          <t>Legendary Creature — Human Knight / Criatura Lendária — Humano Cavaleiro</t>
        </is>
      </c>
      <c r="C2975" s="11" t="inlineStr">
        <is>
          <t>Rare / Rara</t>
        </is>
      </c>
      <c r="D2975" s="11" t="inlineStr">
        <is>
          <t>Whenever an instant or sorcery spell you control that targets only a single creature deals damage to that creature, Imodane deals that much damage to each opponent. / Toda vez que uma mágica instantânea ou um feitiço que você controla que tenha como alvo uma única criatura causar dano àquela criatura, Imodane causará aquela quantidade de dano a cada oponente.</t>
        </is>
      </c>
      <c r="E2975" s="11" t="inlineStr">
        <is>
          <t>{2}{R}{R}</t>
        </is>
      </c>
      <c r="F2975" s="11" t="inlineStr">
        <is>
          <t>Vermelho</t>
        </is>
      </c>
      <c r="G2975" s="8" t="n">
        <v>0.75</v>
      </c>
      <c r="H2975" s="11" t="inlineStr">
        <is>
          <t>Wilds of Eldraine (WOE)</t>
        </is>
      </c>
      <c r="I2975" s="11" t="inlineStr">
        <is>
          <t>Não</t>
        </is>
      </c>
      <c r="J2975" s="11" t="n">
        <v>2023</v>
      </c>
      <c r="K2975" s="10" t="n">
        <v>46116</v>
      </c>
      <c r="L2975" s="11" t="n">
        <v>1</v>
      </c>
      <c r="M2975" s="8">
        <f>L2975*G2975</f>
        <v/>
      </c>
      <c r="P2975" s="9" t="n"/>
    </row>
    <row r="2976">
      <c r="A2976" s="11" t="inlineStr">
        <is>
          <t>Ashroot Animist</t>
        </is>
      </c>
      <c r="B2976" s="11" t="inlineStr">
        <is>
          <t>Creature — Lizard Druid</t>
        </is>
      </c>
      <c r="C2976" s="11" t="inlineStr">
        <is>
          <t>Rare / Rara</t>
        </is>
      </c>
      <c r="D2976" s="11" t="inlineStr">
        <is>
          <t>Trample Whenever this creature attacks, another target creature you control gains trample and gets +X/+X until end of turn, where X is this creature's power.</t>
        </is>
      </c>
      <c r="E2976" s="11" t="inlineStr">
        <is>
          <t>{2}{R}{G}</t>
        </is>
      </c>
      <c r="F2976" s="11" t="inlineStr">
        <is>
          <t>Verde, Vermelho</t>
        </is>
      </c>
      <c r="G2976" s="8" t="n">
        <v>0.33</v>
      </c>
      <c r="H2976" s="11" t="inlineStr">
        <is>
          <t>Foundations (FDN)</t>
        </is>
      </c>
      <c r="I2976" s="11" t="inlineStr">
        <is>
          <t>Não</t>
        </is>
      </c>
      <c r="J2976" s="11" t="n">
        <v>2024</v>
      </c>
      <c r="K2976" s="10" t="n">
        <v>46116</v>
      </c>
      <c r="L2976" s="11" t="n">
        <v>1</v>
      </c>
      <c r="M2976" s="8">
        <f>L2976*G2976</f>
        <v/>
      </c>
      <c r="P2976" s="9" t="n"/>
    </row>
    <row r="2977">
      <c r="A2977" s="11" t="inlineStr">
        <is>
          <t>Ruins of Oran-Rief / Ruínas de Oran-Rief</t>
        </is>
      </c>
      <c r="B2977" s="11" t="inlineStr">
        <is>
          <t>Land / Terreno</t>
        </is>
      </c>
      <c r="C2977" s="11" t="inlineStr">
        <is>
          <t>Rare / Rara</t>
        </is>
      </c>
      <c r="D2977" s="11" t="inlineStr">
        <is>
          <t>This land enters tapped. {T}: Add {C}. ({C} represents colorless mana.) {T}: Put a +1/+1 counter on target colorless creature that entered this turn. / Ruínas de Oran-Rief entra no campo de batalha virada. {T}: Adicione {C} à sua reserva de mana. ({C} representa mana incolor.) {T}: Coloque um marcador +1/+1 na criatura incolor alvo que entrou no campo de batalha neste turno.</t>
        </is>
      </c>
      <c r="F2977" s="11" t="inlineStr">
        <is>
          <t>Incolor</t>
        </is>
      </c>
      <c r="G2977" s="8" t="n">
        <v>0.17</v>
      </c>
      <c r="H2977" s="11" t="inlineStr">
        <is>
          <t>Oath of the Gatewatch (OGW)</t>
        </is>
      </c>
      <c r="I2977" s="11" t="inlineStr">
        <is>
          <t>Não</t>
        </is>
      </c>
      <c r="J2977" s="11" t="n">
        <v>2016</v>
      </c>
      <c r="L2977" s="11" t="n">
        <v>1</v>
      </c>
      <c r="M2977" s="8">
        <f>L2977*G2977</f>
        <v/>
      </c>
      <c r="P2977" s="9" t="n"/>
    </row>
    <row r="2978">
      <c r="A2978" s="11" t="inlineStr">
        <is>
          <t>Shadow Urchin</t>
        </is>
      </c>
      <c r="B2978" s="11" t="inlineStr">
        <is>
          <t>Creature — Ouphe</t>
        </is>
      </c>
      <c r="C2978" s="11" t="inlineStr">
        <is>
          <t>Rare / Rara</t>
        </is>
      </c>
      <c r="D2978" s="11" t="inlineStr">
        <is>
          <t>Whenever this creature attacks, blight 1. (Put a -1/-1 counter on a creature you control.) Whenever a creature you control with one or more counters on it dies, exile that many cards from the top of your library. Until your next end step, you may play those cards.</t>
        </is>
      </c>
      <c r="E2978" s="11" t="inlineStr">
        <is>
          <t>{2}{B/R}</t>
        </is>
      </c>
      <c r="F2978" s="11" t="inlineStr">
        <is>
          <t>Preto, Vermelho</t>
        </is>
      </c>
      <c r="G2978" s="8" t="n">
        <v>0.25</v>
      </c>
      <c r="H2978" s="11" t="inlineStr">
        <is>
          <t>Lorwyn Eclipsed (ECL)</t>
        </is>
      </c>
      <c r="I2978" s="11" t="inlineStr">
        <is>
          <t>Não</t>
        </is>
      </c>
      <c r="J2978" s="11" t="n">
        <v>2026</v>
      </c>
      <c r="K2978" s="10" t="n">
        <v>46115</v>
      </c>
      <c r="L2978" s="11" t="n">
        <v>1</v>
      </c>
      <c r="M2978" s="8">
        <f>L2978*G2978</f>
        <v/>
      </c>
      <c r="P2978" s="9" t="n"/>
    </row>
    <row r="2979">
      <c r="A2979" s="11" t="inlineStr">
        <is>
          <t>Divine Offering</t>
        </is>
      </c>
      <c r="B2979" s="11" t="inlineStr">
        <is>
          <t>Mágica Instantânea / Instant</t>
        </is>
      </c>
      <c r="C2979" s="11" t="inlineStr">
        <is>
          <t>Comum / Common</t>
        </is>
      </c>
      <c r="D2979" s="11" t="inlineStr">
        <is>
          <t>Destroy target artifact. Gain life equal to the artifact's casting cost.</t>
        </is>
      </c>
      <c r="E2979" s="11" t="inlineStr">
        <is>
          <t>{1}{W}</t>
        </is>
      </c>
      <c r="F2979" s="11" t="inlineStr">
        <is>
          <t>Branco</t>
        </is>
      </c>
      <c r="G2979" s="8" t="n">
        <v>0.08</v>
      </c>
      <c r="H2979" s="11" t="inlineStr">
        <is>
          <t>Chronicles (CHR)</t>
        </is>
      </c>
      <c r="I2979" s="11" t="inlineStr">
        <is>
          <t>Não</t>
        </is>
      </c>
      <c r="J2979" s="11" t="n">
        <v>1995</v>
      </c>
      <c r="L2979" s="11" t="n">
        <v>3</v>
      </c>
      <c r="M2979" s="8">
        <f>L2979*G2979</f>
        <v/>
      </c>
      <c r="P2979" s="9" t="n"/>
    </row>
    <row r="2980">
      <c r="A2980" s="11" t="inlineStr">
        <is>
          <t>Seeker / Explorador</t>
        </is>
      </c>
      <c r="B2980" s="11" t="inlineStr">
        <is>
          <t>Enchantment — Aura</t>
        </is>
      </c>
      <c r="C2980" s="11" t="inlineStr">
        <is>
          <t>Common / Comum</t>
        </is>
      </c>
      <c r="D2980" s="11" t="inlineStr">
        <is>
          <t>Enchant creature Enchanted creature can't be blocked except by artifact creatures and/or white creatures.</t>
        </is>
      </c>
      <c r="E2980" s="11" t="inlineStr">
        <is>
          <t>{2}{W}{W}</t>
        </is>
      </c>
      <c r="F2980" s="11" t="inlineStr">
        <is>
          <t>Branco</t>
        </is>
      </c>
      <c r="G2980" s="8" t="n">
        <v>0.15</v>
      </c>
      <c r="H2980" s="11" t="inlineStr">
        <is>
          <t>Fourth Edition (BB)</t>
        </is>
      </c>
      <c r="I2980" s="11" t="inlineStr">
        <is>
          <t>Não</t>
        </is>
      </c>
      <c r="J2980" s="11" t="n">
        <v>1995</v>
      </c>
      <c r="L2980" s="11" t="n">
        <v>3</v>
      </c>
      <c r="M2980" s="8">
        <f>L2980*G2980</f>
        <v/>
      </c>
      <c r="P2980" s="9" t="n"/>
    </row>
    <row r="2981">
      <c r="A2981" s="11" t="inlineStr">
        <is>
          <t>Seeker / Explorador</t>
        </is>
      </c>
      <c r="B2981" s="11" t="inlineStr">
        <is>
          <t>Enchantment — Aura</t>
        </is>
      </c>
      <c r="C2981" s="11" t="inlineStr">
        <is>
          <t>Common / Comum</t>
        </is>
      </c>
      <c r="D2981" s="11" t="inlineStr">
        <is>
          <t>Enchant creature Enchanted creature can't be blocked except by artifact creatures and/or white creatures.</t>
        </is>
      </c>
      <c r="E2981" s="11" t="inlineStr">
        <is>
          <t>{2}{W}{W}</t>
        </is>
      </c>
      <c r="F2981" s="11" t="inlineStr">
        <is>
          <t>Branco</t>
        </is>
      </c>
      <c r="G2981" s="8" t="n">
        <v>0.05</v>
      </c>
      <c r="H2981" s="11" t="inlineStr">
        <is>
          <t>Fourth Edition</t>
        </is>
      </c>
      <c r="I2981" s="11" t="inlineStr">
        <is>
          <t>Não</t>
        </is>
      </c>
      <c r="J2981" s="11" t="n">
        <v>1995</v>
      </c>
      <c r="L2981" s="11" t="n">
        <v>2</v>
      </c>
      <c r="M2981" s="8">
        <f>L2981*G2981</f>
        <v/>
      </c>
      <c r="P2981" s="9" t="n"/>
    </row>
    <row r="2982">
      <c r="A2982" s="11" t="inlineStr">
        <is>
          <t>Círculo de Proteção: Preto / Circle of Protection: Black</t>
        </is>
      </c>
      <c r="B2982" s="11" t="inlineStr">
        <is>
          <t>Encantamento / Enchantment</t>
        </is>
      </c>
      <c r="C2982" s="11" t="inlineStr">
        <is>
          <t>Comum / Common</t>
        </is>
      </c>
      <c r="D2982"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2" s="11" t="inlineStr">
        <is>
          <t>{1}{W}</t>
        </is>
      </c>
      <c r="F2982" s="11" t="inlineStr">
        <is>
          <t>Branco</t>
        </is>
      </c>
      <c r="G2982" s="8" t="n">
        <v>0.36</v>
      </c>
      <c r="H2982" s="11" t="inlineStr">
        <is>
          <t>Fourth Edition (BB)</t>
        </is>
      </c>
      <c r="I2982" s="11" t="inlineStr">
        <is>
          <t>Não</t>
        </is>
      </c>
      <c r="J2982" s="11" t="n">
        <v>1995</v>
      </c>
      <c r="L2982" s="11" t="n">
        <v>2</v>
      </c>
      <c r="M2982" s="8">
        <f>L2982*G2982</f>
        <v/>
      </c>
      <c r="P2982" s="9" t="n"/>
    </row>
    <row r="2983">
      <c r="A2983" s="11" t="inlineStr">
        <is>
          <t>Círculo de Proteção: Preto / Circle of Protection: Black</t>
        </is>
      </c>
      <c r="B2983" s="11" t="inlineStr">
        <is>
          <t>Encantamento / Enchantment</t>
        </is>
      </c>
      <c r="C2983" s="11" t="inlineStr">
        <is>
          <t>Comum / Common</t>
        </is>
      </c>
      <c r="D2983"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3" s="11" t="inlineStr">
        <is>
          <t>{1}{W}</t>
        </is>
      </c>
      <c r="F2983" s="11" t="inlineStr">
        <is>
          <t>Branco</t>
        </is>
      </c>
      <c r="G2983" s="8" t="n">
        <v>0.15</v>
      </c>
      <c r="H2983" s="11" t="inlineStr">
        <is>
          <t>Fourth Edition</t>
        </is>
      </c>
      <c r="I2983" s="11" t="inlineStr">
        <is>
          <t>Não</t>
        </is>
      </c>
      <c r="J2983" s="11" t="n">
        <v>1995</v>
      </c>
      <c r="L2983" s="11" t="n">
        <v>3</v>
      </c>
      <c r="M2983" s="8">
        <f>L2983*G2983</f>
        <v/>
      </c>
      <c r="P2983" s="9" t="n"/>
    </row>
    <row r="2984">
      <c r="A2984" s="11" t="inlineStr">
        <is>
          <t>Círculo de Proteção: Preto / Circle of Protection: Black</t>
        </is>
      </c>
      <c r="B2984" s="11" t="inlineStr">
        <is>
          <t>Encantamento / Enchantment</t>
        </is>
      </c>
      <c r="C2984" s="11" t="inlineStr">
        <is>
          <t>Comum / Common</t>
        </is>
      </c>
      <c r="D2984"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4" s="11" t="inlineStr">
        <is>
          <t>{1}{W}</t>
        </is>
      </c>
      <c r="F2984" s="11" t="inlineStr">
        <is>
          <t>Branco</t>
        </is>
      </c>
      <c r="G2984" s="8" t="n">
        <v>0.3</v>
      </c>
      <c r="H2984" s="11" t="inlineStr">
        <is>
          <t>Revised Edition</t>
        </is>
      </c>
      <c r="I2984" s="11" t="inlineStr">
        <is>
          <t>Não</t>
        </is>
      </c>
      <c r="J2984" s="11" t="n">
        <v>1994</v>
      </c>
      <c r="L2984" s="11" t="n">
        <v>1</v>
      </c>
      <c r="M2984" s="8">
        <f>L2984*G2984</f>
        <v/>
      </c>
      <c r="P2984" s="9" t="n"/>
    </row>
    <row r="2985">
      <c r="A2985" s="11" t="inlineStr">
        <is>
          <t>Círculo de Proteção: Preto / Circle of Protection: Black</t>
        </is>
      </c>
      <c r="B2985" s="11" t="inlineStr">
        <is>
          <t>Encantamento / Enchantment</t>
        </is>
      </c>
      <c r="C2985" s="11" t="inlineStr">
        <is>
          <t>Comum / Common</t>
        </is>
      </c>
      <c r="D2985" s="11" t="inlineStr">
        <is>
          <t>{1}: Evita qualquer dano de uma única origem preta contra você. Se esta fonte lhe causar dano mais de uma vez num mesmo turno, você poderá pagar {1} em cada uma das vezes para evitar o dano. / {1}: Prevent all damage that would be dealt to you by a black source this turn. If a source deals damage to you more than once in the same turn, you may pay {1} for each time you want to prevent that damage.</t>
        </is>
      </c>
      <c r="E2985" s="11" t="inlineStr">
        <is>
          <t>{1}{W}</t>
        </is>
      </c>
      <c r="F2985" s="11" t="inlineStr">
        <is>
          <t>Branco</t>
        </is>
      </c>
      <c r="G2985" s="8" t="n">
        <v>0.3</v>
      </c>
      <c r="H2985" s="11" t="inlineStr">
        <is>
          <t>Ice Age (ICE)</t>
        </is>
      </c>
      <c r="I2985" s="11" t="inlineStr">
        <is>
          <t>Não</t>
        </is>
      </c>
      <c r="J2985" s="11" t="n">
        <v>1995</v>
      </c>
      <c r="L2985" s="11" t="n">
        <v>3</v>
      </c>
      <c r="M2985" s="8">
        <f>L2985*G2985</f>
        <v/>
      </c>
      <c r="P2985" s="9" t="n"/>
    </row>
    <row r="2986">
      <c r="A2986" s="11" t="inlineStr">
        <is>
          <t>Piedade / Piety</t>
        </is>
      </c>
      <c r="B2986" s="11" t="inlineStr">
        <is>
          <t>Mágica Instantânea / Instant</t>
        </is>
      </c>
      <c r="C2986" s="11" t="inlineStr">
        <is>
          <t>Comum / Common</t>
        </is>
      </c>
      <c r="D2986" s="11" t="inlineStr">
        <is>
          <t>Todas as criaturas que estiverem bloqueando ganharão +0/+3 até o final do turno. / All creatures currently blocking get +0/+3 until end of turn.</t>
        </is>
      </c>
      <c r="E2986" s="11" t="inlineStr">
        <is>
          <t>{2}{W}</t>
        </is>
      </c>
      <c r="F2986" s="11" t="inlineStr">
        <is>
          <t>Branco</t>
        </is>
      </c>
      <c r="G2986" s="8" t="n">
        <v>0.14</v>
      </c>
      <c r="H2986" s="11" t="inlineStr">
        <is>
          <t>Fourth Edition (BB)</t>
        </is>
      </c>
      <c r="I2986" s="11" t="inlineStr">
        <is>
          <t>Não</t>
        </is>
      </c>
      <c r="J2986" s="11" t="n">
        <v>1995</v>
      </c>
      <c r="L2986" s="11" t="n">
        <v>3</v>
      </c>
      <c r="M2986" s="8">
        <f>L2986*G2986</f>
        <v/>
      </c>
      <c r="P2986" s="9" t="n"/>
    </row>
    <row r="2987">
      <c r="A2987" s="11" t="inlineStr">
        <is>
          <t>Piedade / Piety</t>
        </is>
      </c>
      <c r="B2987" s="11" t="inlineStr">
        <is>
          <t>Mágica Instantânea / Instant</t>
        </is>
      </c>
      <c r="C2987" s="11" t="inlineStr">
        <is>
          <t>Comum / Common</t>
        </is>
      </c>
      <c r="D2987" s="11" t="inlineStr">
        <is>
          <t>Todas as criaturas que estiverem bloqueando ganharão +0/+3 até o final do turno. / All creatures currently blocking get +0/+3 until end of turn.</t>
        </is>
      </c>
      <c r="E2987" s="11" t="inlineStr">
        <is>
          <t>{2}{W}</t>
        </is>
      </c>
      <c r="F2987" s="11" t="inlineStr">
        <is>
          <t>Branco</t>
        </is>
      </c>
      <c r="G2987" s="8" t="n">
        <v>0.09</v>
      </c>
      <c r="H2987" s="11" t="inlineStr">
        <is>
          <t>Fourth Edition</t>
        </is>
      </c>
      <c r="I2987" s="11" t="inlineStr">
        <is>
          <t>Não</t>
        </is>
      </c>
      <c r="J2987" s="11" t="n">
        <v>1995</v>
      </c>
      <c r="L2987" s="11" t="n">
        <v>3</v>
      </c>
      <c r="M2987" s="8">
        <f>L2987*G2987</f>
        <v/>
      </c>
      <c r="P2987" s="9" t="n"/>
    </row>
    <row r="2988">
      <c r="A2988" s="11" t="inlineStr">
        <is>
          <t>Blessed Wine / Vinho Abençoado</t>
        </is>
      </c>
      <c r="B2988" s="11" t="inlineStr">
        <is>
          <t>Instant</t>
        </is>
      </c>
      <c r="C2988" s="11" t="inlineStr">
        <is>
          <t>Common / Comum</t>
        </is>
      </c>
      <c r="D2988" s="11" t="inlineStr">
        <is>
          <t>You gain 1 life. Draw a card at the beginning of the next turn's upkeep.</t>
        </is>
      </c>
      <c r="E2988" s="11" t="inlineStr">
        <is>
          <t>{1}{W}</t>
        </is>
      </c>
      <c r="F2988" s="11" t="inlineStr">
        <is>
          <t>Branco</t>
        </is>
      </c>
      <c r="G2988" s="8" t="n">
        <v>0.08</v>
      </c>
      <c r="H2988" s="11" t="inlineStr">
        <is>
          <t>Ice Age (ICE)</t>
        </is>
      </c>
      <c r="I2988" s="11" t="inlineStr">
        <is>
          <t>Não</t>
        </is>
      </c>
      <c r="J2988" s="11" t="n">
        <v>1995</v>
      </c>
      <c r="L2988" s="11" t="n">
        <v>2</v>
      </c>
      <c r="M2988" s="8">
        <f>L2988*G2988</f>
        <v/>
      </c>
      <c r="P2988" s="9" t="n"/>
    </row>
    <row r="2989">
      <c r="A2989" s="11" t="inlineStr">
        <is>
          <t>Moment of Silence / Momento de Silêncio</t>
        </is>
      </c>
      <c r="B2989" s="11" t="inlineStr">
        <is>
          <t>Instant</t>
        </is>
      </c>
      <c r="C2989" s="11" t="inlineStr">
        <is>
          <t>Common / Comum</t>
        </is>
      </c>
      <c r="D2989" s="11" t="inlineStr">
        <is>
          <t>Target player skips their next combat phase this turn.</t>
        </is>
      </c>
      <c r="E2989" s="11" t="inlineStr">
        <is>
          <t>{W}</t>
        </is>
      </c>
      <c r="F2989" s="11" t="inlineStr">
        <is>
          <t>Branco</t>
        </is>
      </c>
      <c r="G2989" s="8" t="n">
        <v>0.35</v>
      </c>
      <c r="H2989" s="11" t="inlineStr">
        <is>
          <t>Mercadian Masques (MMQ)</t>
        </is>
      </c>
      <c r="I2989" s="11" t="inlineStr">
        <is>
          <t>Não</t>
        </is>
      </c>
      <c r="J2989" s="11" t="n">
        <v>1999</v>
      </c>
      <c r="L2989" s="11" t="n">
        <v>2</v>
      </c>
      <c r="M2989" s="8">
        <f>L2989*G2989</f>
        <v/>
      </c>
      <c r="P2989" s="9" t="n"/>
    </row>
    <row r="2990">
      <c r="A2990" s="11" t="inlineStr">
        <is>
          <t>Cease-Fire / Cessar-Fogo</t>
        </is>
      </c>
      <c r="B2990" s="11" t="inlineStr">
        <is>
          <t>Instant / Mágica Instantânea</t>
        </is>
      </c>
      <c r="C2990" s="11" t="inlineStr">
        <is>
          <t>Common / Comum</t>
        </is>
      </c>
      <c r="D2990" s="11" t="inlineStr">
        <is>
          <t>Target player can't cast creature spells this turn. Draw a card. / O jogador alvo não pode baixar mágicas de criatura neste turno. Compre um card.</t>
        </is>
      </c>
      <c r="E2990" s="11" t="inlineStr">
        <is>
          <t>{2}{W}</t>
        </is>
      </c>
      <c r="F2990" s="11" t="inlineStr">
        <is>
          <t>Branco</t>
        </is>
      </c>
      <c r="G2990" s="8" t="n">
        <v>0.15</v>
      </c>
      <c r="H2990" s="11" t="inlineStr">
        <is>
          <t>Odyssey (ODY)</t>
        </is>
      </c>
      <c r="I2990" s="11" t="inlineStr">
        <is>
          <t>Não</t>
        </is>
      </c>
      <c r="J2990" s="11" t="n">
        <v>2001</v>
      </c>
      <c r="L2990" s="11" t="n">
        <v>4</v>
      </c>
      <c r="M2990" s="8">
        <f>L2990*G2990</f>
        <v/>
      </c>
      <c r="P2990" s="9" t="n"/>
    </row>
    <row r="2991">
      <c r="A2991" s="11" t="inlineStr">
        <is>
          <t>Transformação Divina / Divine Transformation</t>
        </is>
      </c>
      <c r="B2991" s="11" t="inlineStr">
        <is>
          <t>Encantar Criatura / Enchant Creature</t>
        </is>
      </c>
      <c r="C2991" s="11" t="inlineStr">
        <is>
          <t>Comum / Common</t>
        </is>
      </c>
      <c r="D2991" s="11" t="inlineStr">
        <is>
          <t>A criatura-alvo ganha +3/+3. / Target creature gets +3/+3.</t>
        </is>
      </c>
      <c r="E2991" s="11" t="inlineStr">
        <is>
          <t>{2}{W}{W}</t>
        </is>
      </c>
      <c r="F2991" s="11" t="inlineStr">
        <is>
          <t>Branco</t>
        </is>
      </c>
      <c r="G2991" s="8" t="n">
        <v>0.4</v>
      </c>
      <c r="H2991" s="11" t="inlineStr">
        <is>
          <t>Fourth Edition (BB)</t>
        </is>
      </c>
      <c r="I2991" s="11" t="inlineStr">
        <is>
          <t>Não</t>
        </is>
      </c>
      <c r="J2991" s="11" t="n">
        <v>1995</v>
      </c>
      <c r="L2991" s="11" t="n">
        <v>2</v>
      </c>
      <c r="M2991" s="8">
        <f>L2991*G2991</f>
        <v/>
      </c>
      <c r="P2991" s="9" t="n"/>
    </row>
    <row r="2992">
      <c r="A2992" s="11" t="inlineStr">
        <is>
          <t>Transformação Divina / Divine Transformation</t>
        </is>
      </c>
      <c r="B2992" s="11" t="inlineStr">
        <is>
          <t>Encantar Criatura / Enchant Creature</t>
        </is>
      </c>
      <c r="C2992" s="11" t="inlineStr">
        <is>
          <t>Comum / Common</t>
        </is>
      </c>
      <c r="D2992" s="11" t="inlineStr">
        <is>
          <t>A criatura-alvo ganha +3/+3. / Target creature gets +3/+3.</t>
        </is>
      </c>
      <c r="E2992" s="11" t="inlineStr">
        <is>
          <t>{2}{W}{W}</t>
        </is>
      </c>
      <c r="F2992" s="11" t="inlineStr">
        <is>
          <t>Branco</t>
        </is>
      </c>
      <c r="G2992" s="8" t="n">
        <v>0.14</v>
      </c>
      <c r="H2992" s="11" t="inlineStr">
        <is>
          <t>Fourth Edition</t>
        </is>
      </c>
      <c r="I2992" s="11" t="inlineStr">
        <is>
          <t>Não</t>
        </is>
      </c>
      <c r="J2992" s="11" t="n">
        <v>1995</v>
      </c>
      <c r="L2992" s="11" t="n">
        <v>2</v>
      </c>
      <c r="M2992" s="8">
        <f>L2992*G2992</f>
        <v/>
      </c>
      <c r="P2992" s="9" t="n"/>
    </row>
    <row r="2993">
      <c r="A2993" s="11" t="inlineStr">
        <is>
          <t>Circle of Protection: Green</t>
        </is>
      </c>
      <c r="B2993" s="11" t="inlineStr">
        <is>
          <t>Encantamento / Enchantment</t>
        </is>
      </c>
      <c r="C2993" s="11" t="inlineStr">
        <is>
          <t>Comum / Common</t>
        </is>
      </c>
      <c r="D2993" s="11" t="inlineStr">
        <is>
          <t>{1}: Prevent all damage against you from one green source. If a source deals damage to you more than once in a turn, you may pay {1} each time to prevent the damage.</t>
        </is>
      </c>
      <c r="E2993" s="11" t="inlineStr">
        <is>
          <t>{1}{W}</t>
        </is>
      </c>
      <c r="F2993" s="11" t="inlineStr">
        <is>
          <t>Branco</t>
        </is>
      </c>
      <c r="G2993" s="8" t="n">
        <v>0.02</v>
      </c>
      <c r="H2993" s="11" t="inlineStr">
        <is>
          <t>Chronicles (CHR)</t>
        </is>
      </c>
      <c r="I2993" s="11" t="inlineStr">
        <is>
          <t>Não</t>
        </is>
      </c>
      <c r="J2993" s="11" t="n">
        <v>1995</v>
      </c>
      <c r="L2993" s="11" t="n">
        <v>4</v>
      </c>
      <c r="M2993" s="8">
        <f>L2993*G2993</f>
        <v/>
      </c>
      <c r="P2993" s="9" t="n"/>
    </row>
    <row r="2994">
      <c r="A2994" s="11" t="inlineStr">
        <is>
          <t>Circle of Protection: Green</t>
        </is>
      </c>
      <c r="B2994" s="11" t="inlineStr">
        <is>
          <t>Encantamento / Enchantment</t>
        </is>
      </c>
      <c r="C2994" s="11" t="inlineStr">
        <is>
          <t>Comum / Common</t>
        </is>
      </c>
      <c r="D2994" s="11" t="inlineStr">
        <is>
          <t>{1}: Prevent all damage against you from one green source. If a source deals damage to you more than once in a turn, you may pay {1} each time to prevent the damage.</t>
        </is>
      </c>
      <c r="E2994" s="11" t="inlineStr">
        <is>
          <t>{1}{W}</t>
        </is>
      </c>
      <c r="F2994" s="11" t="inlineStr">
        <is>
          <t>Branco</t>
        </is>
      </c>
      <c r="G2994" s="8" t="n">
        <v>0.1</v>
      </c>
      <c r="H2994" s="11" t="inlineStr">
        <is>
          <t>Fourth Edition</t>
        </is>
      </c>
      <c r="I2994" s="11" t="inlineStr">
        <is>
          <t>Não</t>
        </is>
      </c>
      <c r="J2994" s="11" t="n">
        <v>1995</v>
      </c>
      <c r="L2994" s="11" t="n">
        <v>1</v>
      </c>
      <c r="M2994" s="8">
        <f>L2994*G2994</f>
        <v/>
      </c>
      <c r="P2994" s="9" t="n"/>
    </row>
    <row r="2995">
      <c r="A2995" s="11" t="inlineStr">
        <is>
          <t>Morale / Moral</t>
        </is>
      </c>
      <c r="B2995" s="11" t="inlineStr">
        <is>
          <t>Instant</t>
        </is>
      </c>
      <c r="C2995" s="11" t="inlineStr">
        <is>
          <t>Common / Comum</t>
        </is>
      </c>
      <c r="D2995" s="11" t="inlineStr">
        <is>
          <t>Attacking creatures get +1/+1 until end of turn.</t>
        </is>
      </c>
      <c r="E2995" s="11" t="inlineStr">
        <is>
          <t>{1}{W}{W}</t>
        </is>
      </c>
      <c r="F2995" s="11" t="inlineStr">
        <is>
          <t>Branco</t>
        </is>
      </c>
      <c r="G2995" s="8" t="n">
        <v>0.12</v>
      </c>
      <c r="H2995" s="11" t="inlineStr">
        <is>
          <t>Fourth Edition (BB)</t>
        </is>
      </c>
      <c r="I2995" s="11" t="inlineStr">
        <is>
          <t>Não</t>
        </is>
      </c>
      <c r="J2995" s="11" t="n">
        <v>1995</v>
      </c>
      <c r="L2995" s="11" t="n">
        <v>3</v>
      </c>
      <c r="M2995" s="8">
        <f>L2995*G2995</f>
        <v/>
      </c>
      <c r="P2995" s="9" t="n"/>
    </row>
    <row r="2996">
      <c r="A2996" s="11" t="inlineStr">
        <is>
          <t>Morale / Moral</t>
        </is>
      </c>
      <c r="B2996" s="11" t="inlineStr">
        <is>
          <t>Instant</t>
        </is>
      </c>
      <c r="C2996" s="11" t="inlineStr">
        <is>
          <t>Common / Comum</t>
        </is>
      </c>
      <c r="D2996" s="11" t="inlineStr">
        <is>
          <t>Attacking creatures get +1/+1 until end of turn.</t>
        </is>
      </c>
      <c r="E2996" s="11" t="inlineStr">
        <is>
          <t>{1}{W}{W}</t>
        </is>
      </c>
      <c r="F2996" s="11" t="inlineStr">
        <is>
          <t>Branco</t>
        </is>
      </c>
      <c r="G2996" s="8" t="n">
        <v>0.05</v>
      </c>
      <c r="H2996" s="11" t="inlineStr">
        <is>
          <t>Fourth Edition</t>
        </is>
      </c>
      <c r="I2996" s="11" t="inlineStr">
        <is>
          <t>Não</t>
        </is>
      </c>
      <c r="J2996" s="11" t="n">
        <v>1995</v>
      </c>
      <c r="L2996" s="11" t="n">
        <v>3</v>
      </c>
      <c r="M2996" s="8">
        <f>L2996*G2996</f>
        <v/>
      </c>
      <c r="P2996" s="9" t="n"/>
    </row>
    <row r="2997">
      <c r="A2997" s="11" t="inlineStr">
        <is>
          <t>Warrior's Charge</t>
        </is>
      </c>
      <c r="B2997" s="11" t="inlineStr">
        <is>
          <t>Feitiço / Sorcery</t>
        </is>
      </c>
      <c r="C2997" s="11" t="inlineStr">
        <is>
          <t>Comum / Common</t>
        </is>
      </c>
      <c r="D2997" s="11" t="inlineStr">
        <is>
          <t>All your creatures get +1/+1 until the end of the turn.</t>
        </is>
      </c>
      <c r="E2997" s="11" t="inlineStr">
        <is>
          <t>{2}{W}</t>
        </is>
      </c>
      <c r="F2997" s="11" t="inlineStr">
        <is>
          <t>Branco</t>
        </is>
      </c>
      <c r="G2997" s="8" t="n">
        <v>0.49</v>
      </c>
      <c r="H2997" s="11" t="inlineStr">
        <is>
          <t>Weatherlight (WTH)</t>
        </is>
      </c>
      <c r="I2997" s="11" t="inlineStr">
        <is>
          <t>Não</t>
        </is>
      </c>
      <c r="J2997" s="11" t="n">
        <v>1997</v>
      </c>
      <c r="L2997" s="11" t="n">
        <v>1</v>
      </c>
      <c r="M2997" s="8">
        <f>L2997*G2997</f>
        <v/>
      </c>
      <c r="P2997" s="9" t="n"/>
    </row>
    <row r="2998">
      <c r="A2998" s="11" t="inlineStr">
        <is>
          <t>Orim's Cure / Cura de Orim</t>
        </is>
      </c>
      <c r="B2998" s="11" t="inlineStr">
        <is>
          <t>Instant</t>
        </is>
      </c>
      <c r="C2998" s="11" t="inlineStr">
        <is>
          <t>Common / Comum</t>
        </is>
      </c>
      <c r="D2998" s="11" t="inlineStr">
        <is>
          <t>If you control a Plains, you may tap an untapped creature you control rather than pay this spell's mana cost. Prevent the next 4 damage that would be dealt to any target this turn.</t>
        </is>
      </c>
      <c r="E2998" s="11" t="inlineStr">
        <is>
          <t>{1}{W}</t>
        </is>
      </c>
      <c r="F2998" s="11" t="inlineStr">
        <is>
          <t>Branco</t>
        </is>
      </c>
      <c r="G2998" s="8" t="n">
        <v>0.24</v>
      </c>
      <c r="H2998" s="11" t="inlineStr">
        <is>
          <t>Mercadian Masques (MMQ)</t>
        </is>
      </c>
      <c r="I2998" s="11" t="inlineStr">
        <is>
          <t>Não</t>
        </is>
      </c>
      <c r="J2998" s="11" t="n">
        <v>1999</v>
      </c>
      <c r="L2998" s="11" t="n">
        <v>1</v>
      </c>
      <c r="M2998" s="8">
        <f>L2998*G2998</f>
        <v/>
      </c>
      <c r="P2998" s="9" t="n"/>
    </row>
    <row r="2999">
      <c r="A2999" s="11" t="inlineStr">
        <is>
          <t>Shield of Duty and Reason</t>
        </is>
      </c>
      <c r="B2999" s="11" t="inlineStr">
        <is>
          <t>Encantar Criatura / Enchant Creature</t>
        </is>
      </c>
      <c r="C2999" s="11" t="inlineStr">
        <is>
          <t>Comum / Common</t>
        </is>
      </c>
      <c r="D2999" s="11" t="inlineStr">
        <is>
          <t>Enchanted creature has protection from green and from blue.</t>
        </is>
      </c>
      <c r="E2999" s="11" t="inlineStr">
        <is>
          <t>{W}</t>
        </is>
      </c>
      <c r="F2999" s="11" t="inlineStr">
        <is>
          <t>Branco</t>
        </is>
      </c>
      <c r="G2999" s="8" t="n">
        <v>4.9</v>
      </c>
      <c r="H2999" s="11" t="inlineStr">
        <is>
          <t>Apocalypse (APC)</t>
        </is>
      </c>
      <c r="I2999" s="11" t="inlineStr">
        <is>
          <t>Não</t>
        </is>
      </c>
      <c r="J2999" s="11" t="n">
        <v>2001</v>
      </c>
      <c r="L2999" s="11" t="n">
        <v>1</v>
      </c>
      <c r="M2999" s="8">
        <f>L2999*G2999</f>
        <v/>
      </c>
      <c r="N2999" s="11" t="inlineStr">
        <is>
          <t>Pasta</t>
        </is>
      </c>
      <c r="P2999" s="9" t="n"/>
    </row>
    <row r="3000">
      <c r="A3000" s="11" t="inlineStr">
        <is>
          <t>Angelic Renewal / Renovação Angelical</t>
        </is>
      </c>
      <c r="B3000" s="11" t="inlineStr">
        <is>
          <t>Enchantment</t>
        </is>
      </c>
      <c r="C3000" s="11" t="inlineStr">
        <is>
          <t>Common / Comum</t>
        </is>
      </c>
      <c r="D3000" s="11" t="inlineStr">
        <is>
          <t>Whenever a creature is put into your graveyard from the battlefield, you may sacrifice this enchantment. If you do, return that card to the battlefield.</t>
        </is>
      </c>
      <c r="E3000" s="11" t="inlineStr">
        <is>
          <t>{1}{W}</t>
        </is>
      </c>
      <c r="F3000" s="11" t="inlineStr">
        <is>
          <t>Branco</t>
        </is>
      </c>
      <c r="G3000" s="8" t="n">
        <v>0.75</v>
      </c>
      <c r="H3000" s="11" t="inlineStr">
        <is>
          <t>Weatherlight (WTH)</t>
        </is>
      </c>
      <c r="I3000" s="11" t="inlineStr">
        <is>
          <t>Não</t>
        </is>
      </c>
      <c r="J3000" s="11" t="n">
        <v>1997</v>
      </c>
      <c r="L3000" s="11" t="n">
        <v>1</v>
      </c>
      <c r="M3000" s="8">
        <f>L3000*G3000</f>
        <v/>
      </c>
      <c r="P3000" s="9" t="n"/>
    </row>
    <row r="3001">
      <c r="A3001" s="11" t="inlineStr">
        <is>
          <t>Rashka the Slayer / Rashka, a Matadora</t>
        </is>
      </c>
      <c r="B3001" s="11" t="inlineStr">
        <is>
          <t>Legendary Creature — Human Archer</t>
        </is>
      </c>
      <c r="C3001" s="11" t="inlineStr">
        <is>
          <t>Uncommon / Incomum</t>
        </is>
      </c>
      <c r="D3001" s="11" t="inlineStr">
        <is>
          <t>Reach (This creature can block creatures with flying.) Whenever Rashka blocks one or more black creatures, Rashka gets +1/+2 until end of turn.</t>
        </is>
      </c>
      <c r="E3001" s="11" t="inlineStr">
        <is>
          <t>{3}{W}{W}</t>
        </is>
      </c>
      <c r="F3001" s="11" t="inlineStr">
        <is>
          <t>Branco</t>
        </is>
      </c>
      <c r="G3001" s="8" t="n">
        <v>0.17</v>
      </c>
      <c r="H3001" s="11" t="inlineStr">
        <is>
          <t>Homelands (HML)</t>
        </is>
      </c>
      <c r="I3001" s="11" t="inlineStr">
        <is>
          <t>Não</t>
        </is>
      </c>
      <c r="J3001" s="11" t="n">
        <v>1995</v>
      </c>
      <c r="K3001" s="10" t="n">
        <v>46084</v>
      </c>
      <c r="L3001" s="11" t="n">
        <v>1</v>
      </c>
      <c r="M3001" s="8">
        <f>L3001*G3001</f>
        <v/>
      </c>
      <c r="P3001" s="9" t="n"/>
    </row>
    <row r="3002">
      <c r="A3002" s="11" t="inlineStr">
        <is>
          <t>Benevolent Unicorn / Unicórnio Benevolente</t>
        </is>
      </c>
      <c r="B3002" s="11" t="inlineStr">
        <is>
          <t>Creature — Unicorn</t>
        </is>
      </c>
      <c r="C3002" s="11" t="inlineStr">
        <is>
          <t>Common / Comum</t>
        </is>
      </c>
      <c r="D3002" s="11" t="inlineStr">
        <is>
          <t>If a spell would deal damage to a permanent or player, it deals that much damage minus 1 to that permanent or player instead.</t>
        </is>
      </c>
      <c r="E3002" s="11" t="inlineStr">
        <is>
          <t>{1}{W}</t>
        </is>
      </c>
      <c r="F3002" s="11" t="inlineStr">
        <is>
          <t>Branco</t>
        </is>
      </c>
      <c r="G3002" s="8" t="n">
        <v>0.1</v>
      </c>
      <c r="H3002" s="11" t="inlineStr">
        <is>
          <t>Mirage (MIR)</t>
        </is>
      </c>
      <c r="I3002" s="11" t="inlineStr">
        <is>
          <t>Não</t>
        </is>
      </c>
      <c r="J3002" s="11" t="n">
        <v>1996</v>
      </c>
      <c r="K3002" s="10" t="n">
        <v>46054</v>
      </c>
      <c r="L3002" s="11" t="n">
        <v>1</v>
      </c>
      <c r="M3002" s="8">
        <f>L3002*G3002</f>
        <v/>
      </c>
      <c r="P3002" s="9" t="n"/>
    </row>
    <row r="3003">
      <c r="A3003" s="11" t="inlineStr">
        <is>
          <t>Resurrection / Ressurreição</t>
        </is>
      </c>
      <c r="B3003" s="11" t="inlineStr">
        <is>
          <t>Sorcery / Feitiço</t>
        </is>
      </c>
      <c r="C3003" s="11" t="inlineStr">
        <is>
          <t>Uncommon / Incomum</t>
        </is>
      </c>
      <c r="D3003" s="11" t="inlineStr">
        <is>
          <t>Return target creature card from your graveyard to the battlefield. / Devolva o card alvo de criatura de seu cemitério para o jogo.</t>
        </is>
      </c>
      <c r="E3003" s="11" t="inlineStr">
        <is>
          <t>{2}{W}{W}</t>
        </is>
      </c>
      <c r="F3003" s="11" t="inlineStr">
        <is>
          <t>Branco</t>
        </is>
      </c>
      <c r="G3003" s="8" t="n">
        <v>0.8</v>
      </c>
      <c r="H3003" s="11" t="inlineStr">
        <is>
          <t>Revised Edition</t>
        </is>
      </c>
      <c r="I3003" s="11" t="inlineStr">
        <is>
          <t>Não</t>
        </is>
      </c>
      <c r="J3003" s="11" t="n">
        <v>1994</v>
      </c>
      <c r="L3003" s="11" t="n">
        <v>1</v>
      </c>
      <c r="M3003" s="8">
        <f>L3003*G3003</f>
        <v/>
      </c>
      <c r="P3003" s="9" t="n"/>
    </row>
    <row r="3004">
      <c r="A3004" s="11" t="inlineStr">
        <is>
          <t>Ornithopter / Ornitóptero</t>
        </is>
      </c>
      <c r="B3004" s="11" t="inlineStr">
        <is>
          <t>Artifact Creature — Thopter / Criatura Artefato — Tóptero</t>
        </is>
      </c>
      <c r="C3004" s="11" t="inlineStr">
        <is>
          <t>Common / Comum</t>
        </is>
      </c>
      <c r="D3004" s="11" t="inlineStr">
        <is>
          <t>Flying / Voar (Esta criatura só pode ser bloqueada por criaturas com voar ou alcance.)</t>
        </is>
      </c>
      <c r="E3004" s="11" t="inlineStr">
        <is>
          <t>{0}</t>
        </is>
      </c>
      <c r="F3004" s="11" t="inlineStr">
        <is>
          <t>Incolor</t>
        </is>
      </c>
      <c r="G3004" s="8" t="n">
        <v>2.7</v>
      </c>
      <c r="H3004" s="11" t="inlineStr">
        <is>
          <t>Revised Edition</t>
        </is>
      </c>
      <c r="I3004" s="11" t="inlineStr">
        <is>
          <t>Não</t>
        </is>
      </c>
      <c r="J3004" s="11" t="n">
        <v>1994</v>
      </c>
      <c r="K3004" s="11" t="inlineStr">
        <is>
          <t>0/2</t>
        </is>
      </c>
      <c r="L3004" s="11" t="n">
        <v>1</v>
      </c>
      <c r="M3004" s="8">
        <f>L3004*G3004</f>
        <v/>
      </c>
      <c r="P3004" s="9" t="n"/>
    </row>
    <row r="3005">
      <c r="A3005" s="11" t="inlineStr">
        <is>
          <t>Circle of Protection: Artifacts</t>
        </is>
      </c>
      <c r="B3005" s="11" t="inlineStr">
        <is>
          <t>Encantamento / Enchantment</t>
        </is>
      </c>
      <c r="C3005" s="11" t="inlineStr">
        <is>
          <t>Comum / Common</t>
        </is>
      </c>
      <c r="D3005" s="11" t="inlineStr">
        <is>
          <t>{2}: Prevent all damage against you from one artifact source. If a source deals damage to you more than once in a turn, you may pay {2} each time to prevent the damage.</t>
        </is>
      </c>
      <c r="E3005" s="11" t="inlineStr">
        <is>
          <t>{1}{W}</t>
        </is>
      </c>
      <c r="F3005" s="11" t="inlineStr">
        <is>
          <t>Branco</t>
        </is>
      </c>
      <c r="G3005" s="8" t="n">
        <v>0.25</v>
      </c>
      <c r="H3005" s="11" t="inlineStr">
        <is>
          <t>Fourth Edition</t>
        </is>
      </c>
      <c r="I3005" s="11" t="inlineStr">
        <is>
          <t>Não</t>
        </is>
      </c>
      <c r="J3005" s="11" t="n">
        <v>1995</v>
      </c>
      <c r="L3005" s="11" t="n">
        <v>1</v>
      </c>
      <c r="M3005" s="8">
        <f>L3005*G3005</f>
        <v/>
      </c>
      <c r="P3005" s="9" t="n"/>
    </row>
    <row r="3006">
      <c r="A3006" s="11" t="inlineStr">
        <is>
          <t>Divine Offering</t>
        </is>
      </c>
      <c r="B3006" s="11" t="inlineStr">
        <is>
          <t>Mágica Instantânea / Instant</t>
        </is>
      </c>
      <c r="C3006" s="11" t="inlineStr">
        <is>
          <t>Comum / Common</t>
        </is>
      </c>
      <c r="D3006" s="11" t="inlineStr">
        <is>
          <t>Destroy target artifact. Gain an amount of life equal to that artifact's casting cost.</t>
        </is>
      </c>
      <c r="E3006" s="11" t="inlineStr">
        <is>
          <t>{1}{W}</t>
        </is>
      </c>
      <c r="F3006" s="11" t="inlineStr">
        <is>
          <t>Branco</t>
        </is>
      </c>
      <c r="G3006" s="8" t="n">
        <v>0.08</v>
      </c>
      <c r="H3006" s="11" t="inlineStr">
        <is>
          <t>Mirage (MIR)</t>
        </is>
      </c>
      <c r="I3006" s="11" t="inlineStr">
        <is>
          <t>Não</t>
        </is>
      </c>
      <c r="J3006" s="11" t="n">
        <v>1996</v>
      </c>
      <c r="L3006" s="11" t="n">
        <v>1</v>
      </c>
      <c r="M3006" s="8">
        <f>L3006*G3006</f>
        <v/>
      </c>
      <c r="P3006" s="9" t="n"/>
    </row>
    <row r="3007">
      <c r="A3007" s="11" t="inlineStr">
        <is>
          <t>Leeches / Sanguessugas</t>
        </is>
      </c>
      <c r="B3007" s="11" t="inlineStr">
        <is>
          <t>Sorcery</t>
        </is>
      </c>
      <c r="C3007" s="11" t="inlineStr">
        <is>
          <t>Rare / Rara</t>
        </is>
      </c>
      <c r="D3007" s="11" t="inlineStr">
        <is>
          <t>Target player loses all poison counters. Leeches deals that much damage to that player.</t>
        </is>
      </c>
      <c r="E3007" s="11" t="inlineStr">
        <is>
          <t>{1}{W}{W}</t>
        </is>
      </c>
      <c r="F3007" s="11" t="inlineStr">
        <is>
          <t>Branco</t>
        </is>
      </c>
      <c r="G3007" s="8" t="n">
        <v>2.79</v>
      </c>
      <c r="H3007" s="11" t="inlineStr">
        <is>
          <t>Homelands (HML)</t>
        </is>
      </c>
      <c r="I3007" s="11" t="inlineStr">
        <is>
          <t>Não</t>
        </is>
      </c>
      <c r="J3007" s="11" t="n">
        <v>1995</v>
      </c>
      <c r="L3007" s="11" t="n">
        <v>1</v>
      </c>
      <c r="M3007" s="8">
        <f>L3007*G3007</f>
        <v/>
      </c>
      <c r="N3007" s="11" t="inlineStr">
        <is>
          <t>Pasta</t>
        </is>
      </c>
      <c r="P3007" s="9" t="n"/>
    </row>
    <row r="3008">
      <c r="A3008" s="11" t="inlineStr">
        <is>
          <t>Battle Cry</t>
        </is>
      </c>
      <c r="B3008" s="11" t="inlineStr">
        <is>
          <t>Mágica Instantânea / Instant</t>
        </is>
      </c>
      <c r="C3008" s="11" t="inlineStr">
        <is>
          <t>Comum / Common</t>
        </is>
      </c>
      <c r="D3008" s="11" t="inlineStr">
        <is>
          <t>Untap all white creatures you control. Any creature that blocks this turn gets +0/+1 until end of turn.</t>
        </is>
      </c>
      <c r="E3008" s="11" t="inlineStr">
        <is>
          <t>{2}{W}</t>
        </is>
      </c>
      <c r="F3008" s="11" t="inlineStr">
        <is>
          <t>Branco</t>
        </is>
      </c>
      <c r="G3008" s="8" t="n">
        <v>0.05</v>
      </c>
      <c r="H3008" s="11" t="inlineStr">
        <is>
          <t>Ice Age (ICE)</t>
        </is>
      </c>
      <c r="I3008" s="11" t="inlineStr">
        <is>
          <t>Não</t>
        </is>
      </c>
      <c r="J3008" s="11" t="n">
        <v>1995</v>
      </c>
      <c r="L3008" s="11" t="n">
        <v>1</v>
      </c>
      <c r="M3008" s="8">
        <f>L3008*G3008</f>
        <v/>
      </c>
      <c r="P3008" s="9" t="n"/>
    </row>
    <row r="3009">
      <c r="A3009" s="11" t="inlineStr">
        <is>
          <t>Reverse Damage</t>
        </is>
      </c>
      <c r="B3009" s="11" t="inlineStr">
        <is>
          <t>Mágica Instantânea / Instant</t>
        </is>
      </c>
      <c r="C3009" s="11" t="inlineStr">
        <is>
          <t>Rara / Rare</t>
        </is>
      </c>
      <c r="D3009" s="11" t="inlineStr">
        <is>
          <t>All damage dealt to you so far this turn by one source is retroactively added to your life total instead of subtracted. Further damage this turn is treated normally.</t>
        </is>
      </c>
      <c r="E3009" s="11" t="inlineStr">
        <is>
          <t>{1}{W}{W}</t>
        </is>
      </c>
      <c r="F3009" s="11" t="inlineStr">
        <is>
          <t>Branco</t>
        </is>
      </c>
      <c r="G3009" s="8" t="n">
        <v>0.89</v>
      </c>
      <c r="H3009" s="11" t="inlineStr">
        <is>
          <t>Fourth Edition</t>
        </is>
      </c>
      <c r="I3009" s="11" t="inlineStr">
        <is>
          <t>Não</t>
        </is>
      </c>
      <c r="J3009" s="11" t="n">
        <v>1995</v>
      </c>
      <c r="L3009" s="11" t="n">
        <v>1</v>
      </c>
      <c r="M3009" s="8">
        <f>L3009*G3009</f>
        <v/>
      </c>
      <c r="P3009" s="9" t="n"/>
    </row>
    <row r="3010">
      <c r="A3010" s="11" t="inlineStr">
        <is>
          <t>Justice</t>
        </is>
      </c>
      <c r="B3010" s="11" t="inlineStr">
        <is>
          <t>Encantamento / Enchantment</t>
        </is>
      </c>
      <c r="C3010" s="11" t="inlineStr">
        <is>
          <t>Rara / Rare</t>
        </is>
      </c>
      <c r="D3010" s="11" t="inlineStr">
        <is>
          <t>During your upkeep, pay {W}{W} or destroy Justice. Whenever a red creature or spell deals damage, Justice deals an equal amount of damage to the controller of that creature or spell. If another spell or effect reduces the amount of damage a red creature or spell deals, it does not reduce the amount of damage dealt by Justice.</t>
        </is>
      </c>
      <c r="E3010" s="11" t="inlineStr">
        <is>
          <t>{2}{W}{W}</t>
        </is>
      </c>
      <c r="F3010" s="11" t="inlineStr">
        <is>
          <t>Branco</t>
        </is>
      </c>
      <c r="G3010" s="8" t="n">
        <v>0.25</v>
      </c>
      <c r="H3010" s="11" t="inlineStr">
        <is>
          <t>Ice Age (ICE)</t>
        </is>
      </c>
      <c r="I3010" s="11" t="inlineStr">
        <is>
          <t>Não</t>
        </is>
      </c>
      <c r="J3010" s="11" t="n">
        <v>1995</v>
      </c>
      <c r="L3010" s="11" t="n">
        <v>1</v>
      </c>
      <c r="M3010" s="8">
        <f>L3010*G3010</f>
        <v/>
      </c>
      <c r="P3010" s="9" t="n"/>
    </row>
    <row r="3011">
      <c r="A3011" s="11" t="inlineStr">
        <is>
          <t>Cooperation</t>
        </is>
      </c>
      <c r="B3011" s="11" t="inlineStr">
        <is>
          <t>Encantar Criatura / Enchant Creature</t>
        </is>
      </c>
      <c r="C3011" s="11" t="inlineStr">
        <is>
          <t>Comum / Common</t>
        </is>
      </c>
      <c r="D3011" s="11" t="inlineStr">
        <is>
          <t>Target creature gains banding.</t>
        </is>
      </c>
      <c r="E3011" s="11" t="inlineStr">
        <is>
          <t>{2}{W}</t>
        </is>
      </c>
      <c r="F3011" s="11" t="inlineStr">
        <is>
          <t>Branco</t>
        </is>
      </c>
      <c r="G3011" s="8" t="n">
        <v>0.01</v>
      </c>
      <c r="H3011" s="11" t="inlineStr">
        <is>
          <t>Ice Age (ICE)</t>
        </is>
      </c>
      <c r="I3011" s="11" t="inlineStr">
        <is>
          <t>Não</t>
        </is>
      </c>
      <c r="J3011" s="11" t="n">
        <v>1995</v>
      </c>
      <c r="L3011" s="11" t="n">
        <v>2</v>
      </c>
      <c r="M3011" s="8">
        <f>L3011*G3011</f>
        <v/>
      </c>
      <c r="P3011" s="9" t="n"/>
    </row>
    <row r="3012">
      <c r="A3012" s="11" t="inlineStr">
        <is>
          <t>Área Fortificada / Fortified Area</t>
        </is>
      </c>
      <c r="B3012" s="11" t="inlineStr">
        <is>
          <t>Encantamento / Enchantment</t>
        </is>
      </c>
      <c r="C3012" s="11" t="inlineStr">
        <is>
          <t>Incomum / Uncommon</t>
        </is>
      </c>
      <c r="D3012" s="11" t="inlineStr">
        <is>
          <t>Todas as barreiras que você controla ganham +1/+0 e a habilidade de formar bando. / All Walls you control get +1/+0 and gain banding.</t>
        </is>
      </c>
      <c r="E3012" s="11" t="inlineStr">
        <is>
          <t>{1}{W}{W}</t>
        </is>
      </c>
      <c r="F3012" s="11" t="inlineStr">
        <is>
          <t>Branco</t>
        </is>
      </c>
      <c r="G3012" s="8" t="n">
        <v>0.19</v>
      </c>
      <c r="H3012" s="11" t="inlineStr">
        <is>
          <t>Fourth Edition (BB)</t>
        </is>
      </c>
      <c r="I3012" s="11" t="inlineStr">
        <is>
          <t>Não</t>
        </is>
      </c>
      <c r="J3012" s="11" t="n">
        <v>1995</v>
      </c>
      <c r="L3012" s="11" t="n">
        <v>4</v>
      </c>
      <c r="M3012" s="8">
        <f>L3012*G3012</f>
        <v/>
      </c>
      <c r="P3012" s="9" t="n"/>
    </row>
    <row r="3013">
      <c r="A3013" s="11" t="inlineStr">
        <is>
          <t>Área Fortificada / Fortified Area</t>
        </is>
      </c>
      <c r="B3013" s="11" t="inlineStr">
        <is>
          <t>Encantamento / Enchantment</t>
        </is>
      </c>
      <c r="C3013" s="11" t="inlineStr">
        <is>
          <t>Incomum / Uncommon</t>
        </is>
      </c>
      <c r="D3013" s="11" t="inlineStr">
        <is>
          <t>Todas as barreiras que você controla ganham +1/+0 e a habilidade de formar bando. / All Walls you control get +1/+0 and gain banding.</t>
        </is>
      </c>
      <c r="E3013" s="11" t="inlineStr">
        <is>
          <t>{1}{W}{W}</t>
        </is>
      </c>
      <c r="F3013" s="11" t="inlineStr">
        <is>
          <t>Branco</t>
        </is>
      </c>
      <c r="G3013" s="8" t="n">
        <v>0.05</v>
      </c>
      <c r="H3013" s="11" t="inlineStr">
        <is>
          <t>Fourth Edition</t>
        </is>
      </c>
      <c r="I3013" s="11" t="inlineStr">
        <is>
          <t>Não</t>
        </is>
      </c>
      <c r="J3013" s="11" t="n">
        <v>1995</v>
      </c>
      <c r="L3013" s="11" t="n">
        <v>2</v>
      </c>
      <c r="M3013" s="8">
        <f>L3013*G3013</f>
        <v/>
      </c>
      <c r="P3013" s="9" t="n"/>
    </row>
    <row r="3014">
      <c r="A3014" s="11" t="inlineStr">
        <is>
          <t>Blood of the Martyr</t>
        </is>
      </c>
      <c r="B3014" s="11" t="inlineStr">
        <is>
          <t>Mágica Instantânea / Instant</t>
        </is>
      </c>
      <c r="C3014" s="11" t="inlineStr">
        <is>
          <t>Rara / Rare</t>
        </is>
      </c>
      <c r="D3014" s="11" t="inlineStr">
        <is>
          <t>Until end of turn, you may redirect to yourself all damage dealt to any number of creatures. The source of the damage does not change.</t>
        </is>
      </c>
      <c r="E3014" s="11" t="inlineStr">
        <is>
          <t>{W}{W}{W}</t>
        </is>
      </c>
      <c r="F3014" s="11" t="inlineStr">
        <is>
          <t>Branco</t>
        </is>
      </c>
      <c r="G3014" s="8" t="n">
        <v>0.18</v>
      </c>
      <c r="H3014" s="11" t="inlineStr">
        <is>
          <t>Chronicles (CHR)</t>
        </is>
      </c>
      <c r="I3014" s="11" t="inlineStr">
        <is>
          <t>Não</t>
        </is>
      </c>
      <c r="J3014" s="11" t="n">
        <v>1995</v>
      </c>
      <c r="L3014" s="11" t="n">
        <v>2</v>
      </c>
      <c r="M3014" s="8">
        <f>L3014*G3014</f>
        <v/>
      </c>
      <c r="P3014" s="9" t="n"/>
    </row>
    <row r="3015">
      <c r="A3015" s="11" t="inlineStr">
        <is>
          <t>Freewind Falcon</t>
        </is>
      </c>
      <c r="B3015" s="11" t="inlineStr">
        <is>
          <t>Criatura — Falcão / Summon Falcon</t>
        </is>
      </c>
      <c r="C3015" s="11" t="inlineStr">
        <is>
          <t>Comum / Common</t>
        </is>
      </c>
      <c r="D3015" s="11" t="inlineStr">
        <is>
          <t>Flying, protection from red.</t>
        </is>
      </c>
      <c r="E3015" s="11" t="inlineStr">
        <is>
          <t>{1}{W}</t>
        </is>
      </c>
      <c r="F3015" s="11" t="inlineStr">
        <is>
          <t>Branco</t>
        </is>
      </c>
      <c r="G3015" s="8" t="n">
        <v>1.5</v>
      </c>
      <c r="H3015" s="11" t="inlineStr">
        <is>
          <t>Visions (VIS)</t>
        </is>
      </c>
      <c r="I3015" s="11" t="inlineStr">
        <is>
          <t>Não</t>
        </is>
      </c>
      <c r="J3015" s="11" t="n">
        <v>1996</v>
      </c>
      <c r="K3015" s="10" t="n">
        <v>46023</v>
      </c>
      <c r="L3015" s="11" t="n">
        <v>4</v>
      </c>
      <c r="M3015" s="8">
        <f>L3015*G3015</f>
        <v/>
      </c>
      <c r="N3015" s="11" t="inlineStr">
        <is>
          <t>Pasta</t>
        </is>
      </c>
      <c r="P3015" s="9" t="n"/>
    </row>
    <row r="3016">
      <c r="A3016" s="11" t="inlineStr">
        <is>
          <t>Arenson's Aura</t>
        </is>
      </c>
      <c r="B3016" s="11" t="inlineStr">
        <is>
          <t>Encantamento / Enchantment</t>
        </is>
      </c>
      <c r="C3016" s="11" t="inlineStr">
        <is>
          <t>Incomum / Uncommon</t>
        </is>
      </c>
      <c r="D3016" s="11" t="inlineStr">
        <is>
          <t>{W}: Sacrifice an enchantment to destroy target enchantment. {3}{U}{U}: Counter target enchantment.</t>
        </is>
      </c>
      <c r="E3016" s="11" t="inlineStr">
        <is>
          <t>{2}{W}</t>
        </is>
      </c>
      <c r="F3016" s="11" t="inlineStr">
        <is>
          <t>Branco</t>
        </is>
      </c>
      <c r="G3016" s="8" t="n">
        <v>0.01</v>
      </c>
      <c r="H3016" s="11" t="inlineStr">
        <is>
          <t>Ice Age (ICE)</t>
        </is>
      </c>
      <c r="I3016" s="11" t="inlineStr">
        <is>
          <t>Não</t>
        </is>
      </c>
      <c r="J3016" s="11" t="n">
        <v>1995</v>
      </c>
      <c r="L3016" s="11" t="n">
        <v>2</v>
      </c>
      <c r="M3016" s="8">
        <f>L3016*G3016</f>
        <v/>
      </c>
      <c r="P3016" s="9" t="n"/>
    </row>
    <row r="3017">
      <c r="A3017" s="11" t="inlineStr">
        <is>
          <t>Green Ward / Defesa Verde</t>
        </is>
      </c>
      <c r="B3017" s="11" t="inlineStr">
        <is>
          <t>Enchantment — Aura</t>
        </is>
      </c>
      <c r="C3017" s="11" t="inlineStr">
        <is>
          <t>Uncommon / Incomum</t>
        </is>
      </c>
      <c r="D3017" s="11" t="inlineStr">
        <is>
          <t>Enchant creature Enchanted creature has protection from green. This effect doesn't remove this Aura.</t>
        </is>
      </c>
      <c r="E3017" s="11" t="inlineStr">
        <is>
          <t>{W}</t>
        </is>
      </c>
      <c r="F3017" s="11" t="inlineStr">
        <is>
          <t>Branco</t>
        </is>
      </c>
      <c r="G3017" s="8" t="n">
        <v>0.68</v>
      </c>
      <c r="H3017" s="11" t="inlineStr">
        <is>
          <t>Fourth Edition (BB)</t>
        </is>
      </c>
      <c r="I3017" s="11" t="inlineStr">
        <is>
          <t>Não</t>
        </is>
      </c>
      <c r="J3017" s="11" t="n">
        <v>1995</v>
      </c>
      <c r="L3017" s="11" t="n">
        <v>2</v>
      </c>
      <c r="M3017" s="8">
        <f>L3017*G3017</f>
        <v/>
      </c>
      <c r="P3017" s="9" t="n"/>
    </row>
    <row r="3018">
      <c r="A3018" s="11" t="inlineStr">
        <is>
          <t>Black Ward / Defesa Preta</t>
        </is>
      </c>
      <c r="B3018" s="11" t="inlineStr">
        <is>
          <t>Enchantment — Aura</t>
        </is>
      </c>
      <c r="C3018" s="11" t="inlineStr">
        <is>
          <t>Uncommon / Incomum</t>
        </is>
      </c>
      <c r="D3018" s="11" t="inlineStr">
        <is>
          <t>Enchant creature Enchanted creature has protection from black. This effect doesn't remove this Aura.</t>
        </is>
      </c>
      <c r="E3018" s="11" t="inlineStr">
        <is>
          <t>{W}</t>
        </is>
      </c>
      <c r="F3018" s="11" t="inlineStr">
        <is>
          <t>Branco</t>
        </is>
      </c>
      <c r="G3018" s="8" t="n">
        <v>0.28</v>
      </c>
      <c r="H3018" s="11" t="inlineStr">
        <is>
          <t>Fourth Edition (BB)</t>
        </is>
      </c>
      <c r="I3018" s="11" t="inlineStr">
        <is>
          <t>Não</t>
        </is>
      </c>
      <c r="J3018" s="11" t="n">
        <v>1995</v>
      </c>
      <c r="L3018" s="11" t="n">
        <v>1</v>
      </c>
      <c r="M3018" s="8">
        <f>L3018*G3018</f>
        <v/>
      </c>
      <c r="P3018" s="9" t="n"/>
    </row>
    <row r="3019">
      <c r="A3019" s="11" t="inlineStr">
        <is>
          <t>Black Ward / Defesa Preta</t>
        </is>
      </c>
      <c r="B3019" s="11" t="inlineStr">
        <is>
          <t>Enchantment — Aura</t>
        </is>
      </c>
      <c r="C3019" s="11" t="inlineStr">
        <is>
          <t>Uncommon / Incomum</t>
        </is>
      </c>
      <c r="D3019" s="11" t="inlineStr">
        <is>
          <t>Enchant creature Enchanted creature has protection from black. This effect doesn't remove this Aura.</t>
        </is>
      </c>
      <c r="E3019" s="11" t="inlineStr">
        <is>
          <t>{W}</t>
        </is>
      </c>
      <c r="F3019" s="11" t="inlineStr">
        <is>
          <t>Branco</t>
        </is>
      </c>
      <c r="G3019" s="8" t="n">
        <v>0.15</v>
      </c>
      <c r="H3019" s="11" t="inlineStr">
        <is>
          <t>Fourth Edition</t>
        </is>
      </c>
      <c r="I3019" s="11" t="inlineStr">
        <is>
          <t>Não</t>
        </is>
      </c>
      <c r="J3019" s="11" t="n">
        <v>1995</v>
      </c>
      <c r="L3019" s="11" t="n">
        <v>1</v>
      </c>
      <c r="M3019" s="8">
        <f>L3019*G3019</f>
        <v/>
      </c>
      <c r="P3019" s="9" t="n"/>
    </row>
    <row r="3020">
      <c r="A3020" s="11" t="inlineStr">
        <is>
          <t>Conversion</t>
        </is>
      </c>
      <c r="B3020" s="11" t="inlineStr">
        <is>
          <t>Encantamento / Enchantment</t>
        </is>
      </c>
      <c r="C3020" s="11" t="inlineStr">
        <is>
          <t>Rara / Rare</t>
        </is>
      </c>
      <c r="D3020" s="11" t="inlineStr">
        <is>
          <t>All mountains become basic plains. During your upkeep, pay {W}{W} or destroy Conversion.</t>
        </is>
      </c>
      <c r="E3020" s="11" t="inlineStr">
        <is>
          <t>{2}{W}{W}</t>
        </is>
      </c>
      <c r="F3020" s="11" t="inlineStr">
        <is>
          <t>Branco</t>
        </is>
      </c>
      <c r="G3020" s="8" t="n">
        <v>0.1</v>
      </c>
      <c r="H3020" s="11" t="inlineStr">
        <is>
          <t>Fourth Edition</t>
        </is>
      </c>
      <c r="I3020" s="11" t="inlineStr">
        <is>
          <t>Não</t>
        </is>
      </c>
      <c r="J3020" s="11" t="n">
        <v>1995</v>
      </c>
      <c r="L3020" s="11" t="n">
        <v>1</v>
      </c>
      <c r="M3020" s="8">
        <f>L3020*G3020</f>
        <v/>
      </c>
      <c r="P3020" s="9" t="n"/>
    </row>
    <row r="3021">
      <c r="A3021" s="11" t="inlineStr">
        <is>
          <t>Kismet</t>
        </is>
      </c>
      <c r="B3021" s="11" t="inlineStr">
        <is>
          <t>Encantamento / Enchantment</t>
        </is>
      </c>
      <c r="C3021" s="11" t="inlineStr">
        <is>
          <t>Incomum / Uncommon</t>
        </is>
      </c>
      <c r="D3021" s="11" t="inlineStr">
        <is>
          <t>All of target player's creatures, lands, and artifacts come into play tapped.</t>
        </is>
      </c>
      <c r="E3021" s="11" t="inlineStr">
        <is>
          <t>{3}{W}</t>
        </is>
      </c>
      <c r="F3021" s="11" t="inlineStr">
        <is>
          <t>Branco</t>
        </is>
      </c>
      <c r="G3021" s="8" t="n">
        <v>0.99</v>
      </c>
      <c r="H3021" s="11" t="inlineStr">
        <is>
          <t>Quarta Edição (4ED)</t>
        </is>
      </c>
      <c r="I3021" s="11" t="inlineStr">
        <is>
          <t>Não</t>
        </is>
      </c>
      <c r="J3021" s="11" t="n">
        <v>1995</v>
      </c>
      <c r="L3021" s="11" t="n">
        <v>1</v>
      </c>
      <c r="M3021" s="8">
        <f>L3021*G3021</f>
        <v/>
      </c>
      <c r="N3021" s="11" t="inlineStr">
        <is>
          <t>Pasta</t>
        </is>
      </c>
      <c r="P3021" s="9" t="n"/>
    </row>
    <row r="3022">
      <c r="A3022" s="11" t="inlineStr">
        <is>
          <t>Drought</t>
        </is>
      </c>
      <c r="B3022" s="11" t="inlineStr">
        <is>
          <t>Encantamento / Enchantment</t>
        </is>
      </c>
      <c r="C3022" s="11" t="inlineStr">
        <is>
          <t>Rara / Rare</t>
        </is>
      </c>
      <c r="D3022" s="11" t="inlineStr">
        <is>
          <t>During your upkeep, pay {W}{W} or destroy Drought. Before a spell that requires {B} as part of its casting cost may be cast or an ability that requires {B} as part of its activation cost may be played, the controller of that spell or ability sacrifices a swamp for each {B} in the spell's casting cost or the ability's activation cost.</t>
        </is>
      </c>
      <c r="E3022" s="11" t="inlineStr">
        <is>
          <t>{2}{W}{W}</t>
        </is>
      </c>
      <c r="F3022" s="11" t="inlineStr">
        <is>
          <t>Branco</t>
        </is>
      </c>
      <c r="G3022" s="8" t="n">
        <v>0.13</v>
      </c>
      <c r="H3022" s="11" t="inlineStr">
        <is>
          <t>Ice Age (ICE)</t>
        </is>
      </c>
      <c r="I3022" s="11" t="inlineStr">
        <is>
          <t>Não</t>
        </is>
      </c>
      <c r="J3022" s="11" t="n">
        <v>1995</v>
      </c>
      <c r="L3022" s="11" t="n">
        <v>1</v>
      </c>
      <c r="M3022" s="8">
        <f>L3022*G3022</f>
        <v/>
      </c>
      <c r="P3022" s="9" t="n"/>
    </row>
    <row r="3023">
      <c r="A3023" s="11" t="inlineStr">
        <is>
          <t>Hazduhr the Abbot</t>
        </is>
      </c>
      <c r="B3023" s="11" t="inlineStr">
        <is>
          <t>Criatura Lendária / Summon Legend</t>
        </is>
      </c>
      <c r="C3023" s="11" t="inlineStr">
        <is>
          <t>Rara / Rare</t>
        </is>
      </c>
      <c r="D3023" s="11" t="inlineStr">
        <is>
          <t>{X}, {T}: Redirect to Hazduhr the Abbot X damage dealt to any white creature you control.</t>
        </is>
      </c>
      <c r="E3023" s="11" t="inlineStr">
        <is>
          <t>{3}{W}{W}</t>
        </is>
      </c>
      <c r="F3023" s="11" t="inlineStr">
        <is>
          <t>Branco</t>
        </is>
      </c>
      <c r="G3023" s="8" t="n">
        <v>2.48</v>
      </c>
      <c r="H3023" s="11" t="inlineStr">
        <is>
          <t>Legends (LEG)</t>
        </is>
      </c>
      <c r="I3023" s="11" t="inlineStr">
        <is>
          <t>Não</t>
        </is>
      </c>
      <c r="J3023" s="11" t="n">
        <v>1995</v>
      </c>
      <c r="K3023" s="10" t="n">
        <v>46144</v>
      </c>
      <c r="L3023" s="11" t="n">
        <v>1</v>
      </c>
      <c r="M3023" s="8">
        <f>L3023*G3023</f>
        <v/>
      </c>
      <c r="N3023" s="11" t="inlineStr">
        <is>
          <t>Pasta</t>
        </is>
      </c>
      <c r="P3023" s="9" t="n"/>
    </row>
    <row r="3024">
      <c r="A3024" s="11" t="inlineStr">
        <is>
          <t>Ardent Soldier / Soldado Fervoroso</t>
        </is>
      </c>
      <c r="B3024" s="11" t="inlineStr">
        <is>
          <t>Creature — Human Soldier</t>
        </is>
      </c>
      <c r="C3024" s="11" t="inlineStr">
        <is>
          <t>Common / Comum</t>
        </is>
      </c>
      <c r="D3024" s="11" t="inlineStr">
        <is>
          <t>Kicker {2} (You may pay an additional {2} as you cast this spell.) Vigilance If this creature was kicked, it enters with a +1/+1 counter on it.</t>
        </is>
      </c>
      <c r="E3024" s="11" t="inlineStr">
        <is>
          <t>{1}{W}</t>
        </is>
      </c>
      <c r="F3024" s="11" t="inlineStr">
        <is>
          <t>Branco</t>
        </is>
      </c>
      <c r="G3024" s="8" t="n">
        <v>4.49</v>
      </c>
      <c r="H3024" s="11" t="inlineStr">
        <is>
          <t>Invasion (INV)</t>
        </is>
      </c>
      <c r="I3024" s="11" t="inlineStr">
        <is>
          <t>Sim</t>
        </is>
      </c>
      <c r="J3024" s="11" t="n">
        <v>2000</v>
      </c>
      <c r="K3024" s="10" t="n">
        <v>46054</v>
      </c>
      <c r="L3024" s="11" t="n">
        <v>1</v>
      </c>
      <c r="M3024" s="8">
        <f>L3024*G3024</f>
        <v/>
      </c>
      <c r="N3024" s="11" t="inlineStr">
        <is>
          <t>Pasta</t>
        </is>
      </c>
      <c r="P3024" s="9" t="n"/>
    </row>
    <row r="3025">
      <c r="A3025" s="11" t="inlineStr">
        <is>
          <t>Pilgrim of Virtue / Peregrino da Virtude</t>
        </is>
      </c>
      <c r="B3025" s="11" t="inlineStr">
        <is>
          <t>Creature — Human Cleric / Criatura — Clérigo</t>
        </is>
      </c>
      <c r="C3025" s="11" t="inlineStr">
        <is>
          <t>Common / Comum</t>
        </is>
      </c>
      <c r="D3025" s="11" t="inlineStr">
        <is>
          <t>Protection from black {W}, Sacrifice this creature: The next time a black source of your choice would deal damage this turn, prevent that damage. / Proteção contra o preto {W}, Sacrifique Peregrino da Virtude: Na próxima vez que uma fonte preta a sua escolha fosse causar dano neste turno, previne aquele dano.</t>
        </is>
      </c>
      <c r="E3025" s="11" t="inlineStr">
        <is>
          <t>{2}{W}</t>
        </is>
      </c>
      <c r="F3025" s="11" t="inlineStr">
        <is>
          <t>Branco</t>
        </is>
      </c>
      <c r="G3025" s="8" t="n">
        <v>3.5</v>
      </c>
      <c r="H3025" s="11" t="inlineStr">
        <is>
          <t>Odyssey (ODY)</t>
        </is>
      </c>
      <c r="I3025" s="11" t="inlineStr">
        <is>
          <t>Sim</t>
        </is>
      </c>
      <c r="J3025" s="11" t="n">
        <v>2001</v>
      </c>
      <c r="K3025" s="10" t="n">
        <v>46082</v>
      </c>
      <c r="L3025" s="11" t="n">
        <v>1</v>
      </c>
      <c r="M3025" s="8">
        <f>L3025*G3025</f>
        <v/>
      </c>
      <c r="N3025" s="11" t="inlineStr">
        <is>
          <t>Pasta</t>
        </is>
      </c>
      <c r="P3025" s="9" t="n"/>
    </row>
    <row r="3026">
      <c r="A3026" s="11" t="inlineStr">
        <is>
          <t>Círculo de Proteção: Azul / Circle of Protection: Blue</t>
        </is>
      </c>
      <c r="B3026" s="11" t="inlineStr">
        <is>
          <t>Encantamento / Enchantment</t>
        </is>
      </c>
      <c r="C3026" s="11" t="inlineStr">
        <is>
          <t>Comum / Common</t>
        </is>
      </c>
      <c r="D3026" s="11" t="inlineStr">
        <is>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is>
      </c>
      <c r="E3026" s="11" t="inlineStr">
        <is>
          <t>{1}{W}</t>
        </is>
      </c>
      <c r="F3026" s="11" t="inlineStr">
        <is>
          <t>Branco</t>
        </is>
      </c>
      <c r="G3026" s="8" t="n">
        <v>0.49</v>
      </c>
      <c r="H3026" s="11" t="inlineStr">
        <is>
          <t>Fourth Edition (BB)</t>
        </is>
      </c>
      <c r="I3026" s="11" t="inlineStr">
        <is>
          <t>Não</t>
        </is>
      </c>
      <c r="J3026" s="11" t="n">
        <v>1995</v>
      </c>
      <c r="L3026" s="11" t="n">
        <v>7</v>
      </c>
      <c r="M3026" s="8">
        <f>L3026*G3026</f>
        <v/>
      </c>
      <c r="P3026" s="9" t="n"/>
    </row>
    <row r="3027">
      <c r="A3027" s="11" t="inlineStr">
        <is>
          <t>Círculo de Proteção: Azul / Circle of Protection: Blue</t>
        </is>
      </c>
      <c r="B3027" s="11" t="inlineStr">
        <is>
          <t>Encantamento / Enchantment</t>
        </is>
      </c>
      <c r="C3027" s="11" t="inlineStr">
        <is>
          <t>Comum / Common</t>
        </is>
      </c>
      <c r="D3027" s="11" t="inlineStr">
        <is>
          <t>{1}: Evita qualquer dano de uma única origem azul contra você. Se esta fonte lhe causar dano mais de uma vez num mesmo turno, você poderá pagar {1} em cada uma das vezes para evitar o dano. / {1}: Prevent all damage against you from one blue source. If a source deals damage to you more than once in a turn, you may pay {1} each time to prevent the damage.</t>
        </is>
      </c>
      <c r="E3027" s="11" t="inlineStr">
        <is>
          <t>{1}{W}</t>
        </is>
      </c>
      <c r="F3027" s="11" t="inlineStr">
        <is>
          <t>Branco</t>
        </is>
      </c>
      <c r="G3027" s="8" t="n">
        <v>0.1</v>
      </c>
      <c r="H3027" s="11" t="inlineStr">
        <is>
          <t>Fourth Edition</t>
        </is>
      </c>
      <c r="I3027" s="11" t="inlineStr">
        <is>
          <t>Não</t>
        </is>
      </c>
      <c r="J3027" s="11" t="n">
        <v>1995</v>
      </c>
      <c r="L3027" s="11" t="n">
        <v>1</v>
      </c>
      <c r="M3027" s="8">
        <f>L3027*G3027</f>
        <v/>
      </c>
      <c r="P3027" s="9" t="n"/>
    </row>
    <row r="3028">
      <c r="A3028" s="11" t="inlineStr">
        <is>
          <t>Circolo di Protezione: Rosso / Circle of Protection: Red</t>
        </is>
      </c>
      <c r="B3028" s="11" t="inlineStr">
        <is>
          <t>Incantesimo / Enchantment</t>
        </is>
      </c>
      <c r="C3028" s="11" t="inlineStr">
        <is>
          <t>Comum / Common</t>
        </is>
      </c>
      <c r="D3028" s="11" t="inlineStr">
        <is>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is>
      </c>
      <c r="E3028" s="11" t="inlineStr">
        <is>
          <t>{1}{W}</t>
        </is>
      </c>
      <c r="F3028" s="11" t="inlineStr">
        <is>
          <t>Branco</t>
        </is>
      </c>
      <c r="G3028" s="8" t="n">
        <v>1</v>
      </c>
      <c r="H3028" s="11" t="inlineStr">
        <is>
          <t>Fourth Edition (BB)</t>
        </is>
      </c>
      <c r="I3028" s="11" t="inlineStr">
        <is>
          <t>Não</t>
        </is>
      </c>
      <c r="J3028" s="11" t="n">
        <v>1994</v>
      </c>
      <c r="L3028" s="11" t="n">
        <v>8</v>
      </c>
      <c r="M3028" s="8">
        <f>L3028*G3028</f>
        <v/>
      </c>
      <c r="P3028" s="9" t="n"/>
    </row>
    <row r="3029">
      <c r="A3029" s="11" t="inlineStr">
        <is>
          <t>Circolo di Protezione: Rosso / Circle of Protection: Red</t>
        </is>
      </c>
      <c r="B3029" s="11" t="inlineStr">
        <is>
          <t>Incantesimo / Enchantment</t>
        </is>
      </c>
      <c r="C3029" s="11" t="inlineStr">
        <is>
          <t>Comum / Common</t>
        </is>
      </c>
      <c r="D3029" s="11" t="inlineStr">
        <is>
          <t>{1}: Previene tutto il danno inflitto da una magia rossa. Se una magia infligge più volte dei danni nello stesso turno, bisogna pagare un mana addizionale per ogni uso del Circolo di Protezione. / {1}: Prevent all damage dealt by a red spell. If a spell deals damage more than once in a turn, you must pay an additional mana for each use of the Circle of Protection.</t>
        </is>
      </c>
      <c r="E3029" s="11" t="inlineStr">
        <is>
          <t>{1}{W}</t>
        </is>
      </c>
      <c r="F3029" s="11" t="inlineStr">
        <is>
          <t>Branco</t>
        </is>
      </c>
      <c r="G3029" s="8" t="n">
        <v>0.2</v>
      </c>
      <c r="H3029" s="11" t="inlineStr">
        <is>
          <t>Fourth Edition</t>
        </is>
      </c>
      <c r="I3029" s="11" t="inlineStr">
        <is>
          <t>Não</t>
        </is>
      </c>
      <c r="J3029" s="11" t="n">
        <v>1994</v>
      </c>
      <c r="L3029" s="11" t="n">
        <v>1</v>
      </c>
      <c r="M3029" s="8">
        <f>L3029*G3029</f>
        <v/>
      </c>
      <c r="P3029" s="9" t="n"/>
    </row>
    <row r="3030">
      <c r="A3030" s="11" t="inlineStr">
        <is>
          <t>Lavagem Cerebral / Brainwash</t>
        </is>
      </c>
      <c r="B3030" s="11" t="inlineStr">
        <is>
          <t>Encantar Criatura / Enchant Creature</t>
        </is>
      </c>
      <c r="C3030" s="11" t="inlineStr">
        <is>
          <t>Comum / Common</t>
        </is>
      </c>
      <c r="D3030" s="11" t="inlineStr">
        <is>
          <t>A criatura-alvo não poderá atacar a menos que o jogador que a controla pague {3} adicionais. / Enchanted creature can't attack unless its controller pays {3}.</t>
        </is>
      </c>
      <c r="E3030" s="11" t="inlineStr">
        <is>
          <t>{W}</t>
        </is>
      </c>
      <c r="F3030" s="11" t="inlineStr">
        <is>
          <t>Branco</t>
        </is>
      </c>
      <c r="G3030" s="8" t="n">
        <v>0.13</v>
      </c>
      <c r="H3030" s="11" t="inlineStr">
        <is>
          <t>Fourth Edition (BB)</t>
        </is>
      </c>
      <c r="I3030" s="11" t="inlineStr">
        <is>
          <t>Não</t>
        </is>
      </c>
      <c r="J3030" s="11" t="n">
        <v>1995</v>
      </c>
      <c r="L3030" s="11" t="n">
        <v>3</v>
      </c>
      <c r="M3030" s="8">
        <f>L3030*G3030</f>
        <v/>
      </c>
      <c r="P3030" s="9" t="n"/>
    </row>
    <row r="3031">
      <c r="A3031" s="11" t="inlineStr">
        <is>
          <t>Lavagem Cerebral / Brainwash</t>
        </is>
      </c>
      <c r="B3031" s="11" t="inlineStr">
        <is>
          <t>Encantar Criatura / Enchant Creature</t>
        </is>
      </c>
      <c r="C3031" s="11" t="inlineStr">
        <is>
          <t>Comum / Common</t>
        </is>
      </c>
      <c r="D3031" s="11" t="inlineStr">
        <is>
          <t>A criatura-alvo não poderá atacar a menos que o jogador que a controla pague {3} adicionais. / Enchanted creature can't attack unless its controller pays {3}.</t>
        </is>
      </c>
      <c r="E3031" s="11" t="inlineStr">
        <is>
          <t>{W}</t>
        </is>
      </c>
      <c r="F3031" s="11" t="inlineStr">
        <is>
          <t>Branco</t>
        </is>
      </c>
      <c r="G3031" s="8" t="n">
        <v>0.09</v>
      </c>
      <c r="H3031" s="11" t="inlineStr">
        <is>
          <t>Fourth Edition</t>
        </is>
      </c>
      <c r="I3031" s="11" t="inlineStr">
        <is>
          <t>Não</t>
        </is>
      </c>
      <c r="J3031" s="11" t="n">
        <v>1995</v>
      </c>
      <c r="L3031" s="11" t="n">
        <v>4</v>
      </c>
      <c r="M3031" s="8">
        <f>L3031*G3031</f>
        <v/>
      </c>
      <c r="P3031" s="9" t="n"/>
    </row>
    <row r="3032">
      <c r="A3032" s="11" t="inlineStr">
        <is>
          <t>Cadaver Imp / Diabrete dos Cadáveres</t>
        </is>
      </c>
      <c r="B3032" s="11" t="inlineStr">
        <is>
          <t>Creature — Imp / Criatura — Diabrete</t>
        </is>
      </c>
      <c r="C3032" s="11" t="inlineStr">
        <is>
          <t>Common / Comum</t>
        </is>
      </c>
      <c r="D3032" s="11" t="inlineStr">
        <is>
          <t>Flying When this creature enters, you may return target creature card from your graveyard to your hand. / Voar Quando Diabrete dos Cadáveres entra no campo de batalha, você pode devolver o card de criatura alvo de seu cemitério para a sua mão.</t>
        </is>
      </c>
      <c r="E3032" s="11" t="inlineStr">
        <is>
          <t>{1}{B}{B}</t>
        </is>
      </c>
      <c r="F3032" s="11" t="inlineStr">
        <is>
          <t>Preto</t>
        </is>
      </c>
      <c r="G3032" s="8" t="n">
        <v>0.17</v>
      </c>
      <c r="H3032" s="11" t="inlineStr">
        <is>
          <t>Commander Masters (CMM)</t>
        </is>
      </c>
      <c r="I3032" s="11" t="inlineStr">
        <is>
          <t>Não</t>
        </is>
      </c>
      <c r="J3032" s="11" t="n">
        <v>2023</v>
      </c>
      <c r="K3032" s="10" t="n">
        <v>46023</v>
      </c>
      <c r="L3032" s="11" t="n">
        <v>1</v>
      </c>
      <c r="M3032" s="8">
        <f>L3032*G3032</f>
        <v/>
      </c>
      <c r="P3032" s="9" t="n"/>
    </row>
    <row r="3033">
      <c r="A3033" s="11" t="inlineStr">
        <is>
          <t>Mire Triton / Talassida do Lodaçal</t>
        </is>
      </c>
      <c r="B3033" s="11" t="inlineStr">
        <is>
          <t>Creature — Zombie Merfolk / Criatura — Zumbi Tritão</t>
        </is>
      </c>
      <c r="C3033" s="11" t="inlineStr">
        <is>
          <t>Common / Comum</t>
        </is>
      </c>
      <c r="D3033" s="11" t="inlineStr">
        <is>
          <t>Deathtouch When this creature enters, mill two cards and you gain 2 life. (To mill a card, put the top card of your library into your graveyard.) / Toque mortífero Quando Talassida do Lodaçal entrar no campo de batalha, coloque os dois cards do topo de seu grimório em seu cemitério e você ganha 2 pontos de vida.</t>
        </is>
      </c>
      <c r="E3033" s="11" t="inlineStr">
        <is>
          <t>{1}{B}</t>
        </is>
      </c>
      <c r="F3033" s="11" t="inlineStr">
        <is>
          <t>Preto</t>
        </is>
      </c>
      <c r="G3033" s="8" t="n">
        <v>0.24</v>
      </c>
      <c r="H3033" s="11" t="inlineStr">
        <is>
          <t>Commander Masters (CMM)</t>
        </is>
      </c>
      <c r="I3033" s="11" t="inlineStr">
        <is>
          <t>Não</t>
        </is>
      </c>
      <c r="J3033" s="11" t="n">
        <v>2023</v>
      </c>
      <c r="K3033" s="10" t="n">
        <v>46024</v>
      </c>
      <c r="L3033" s="11" t="n">
        <v>1</v>
      </c>
      <c r="M3033" s="8">
        <f>L3033*G3033</f>
        <v/>
      </c>
      <c r="P3033" s="9" t="n"/>
    </row>
    <row r="3034">
      <c r="A3034" s="11" t="inlineStr">
        <is>
          <t>Diresight</t>
        </is>
      </c>
      <c r="B3034" s="11" t="inlineStr">
        <is>
          <t>Sorcery</t>
        </is>
      </c>
      <c r="C3034" s="11" t="inlineStr">
        <is>
          <t>Common / Comum</t>
        </is>
      </c>
      <c r="D3034" s="11" t="inlineStr">
        <is>
          <t>Surveil 2, then draw two cards. You lose 2 life. (To surveil 2, look at the top two cards of your library, then put any number of them into your graveyard and the rest on top of your library in any order.)</t>
        </is>
      </c>
      <c r="E3034" s="11" t="inlineStr">
        <is>
          <t>{2}{B}</t>
        </is>
      </c>
      <c r="F3034" s="11" t="inlineStr">
        <is>
          <t>Preto</t>
        </is>
      </c>
      <c r="G3034" s="8" t="n">
        <v>0.25</v>
      </c>
      <c r="H3034" s="11" t="inlineStr">
        <is>
          <t>Bloomburrow (BLB)</t>
        </is>
      </c>
      <c r="I3034" s="11" t="inlineStr">
        <is>
          <t>Sim</t>
        </is>
      </c>
      <c r="J3034" s="11" t="n">
        <v>2024</v>
      </c>
      <c r="L3034" s="11" t="n">
        <v>1</v>
      </c>
      <c r="M3034" s="8">
        <f>L3034*G3034</f>
        <v/>
      </c>
      <c r="P3034" s="9" t="n"/>
    </row>
    <row r="3035">
      <c r="A3035" s="11" t="inlineStr">
        <is>
          <t>Taborax, Hope's Demise / Taborax, Fim da Esperança</t>
        </is>
      </c>
      <c r="B3035" s="11" t="inlineStr">
        <is>
          <t>Legendary Creature — Demon Cleric / Criatura Lendária — Demônio Clérigo</t>
        </is>
      </c>
      <c r="C3035" s="11" t="inlineStr">
        <is>
          <t>Uncommon / Incomum</t>
        </is>
      </c>
      <c r="D3035" s="11" t="inlineStr">
        <is>
          <t>Flying Taborax has lifelink as long as it has five or more +1/+1 counters on it. Whenever another nontoken creature you control dies, put a +1/+1 counter on Taborax. If that creature was a Cleric, you may draw a card. If you do, you lose 1 life. / Voar Taborax, Fim da Esperança, terá vínculo com a vida enquanto tiver cinco ou mais marcadores +1/+1. Toda vez que outra criatura que você controla que não seja ficha morrer, coloque um marcador +1/+1 em Taborax. Se aquela criatura era um Clérigo, você pode comprar um card. Se fizer isso, você perde 1 ponto de vida.</t>
        </is>
      </c>
      <c r="E3035" s="11" t="inlineStr">
        <is>
          <t>{2}{B}</t>
        </is>
      </c>
      <c r="F3035" s="11" t="inlineStr">
        <is>
          <t>Preto</t>
        </is>
      </c>
      <c r="G3035" s="8" t="n">
        <v>0.39</v>
      </c>
      <c r="H3035" s="11" t="inlineStr">
        <is>
          <t>Commander Masters (CMM)</t>
        </is>
      </c>
      <c r="I3035" s="11" t="inlineStr">
        <is>
          <t>Não</t>
        </is>
      </c>
      <c r="J3035" s="11" t="n">
        <v>2023</v>
      </c>
      <c r="K3035" s="10" t="n">
        <v>46055</v>
      </c>
      <c r="L3035" s="11" t="n">
        <v>2</v>
      </c>
      <c r="M3035" s="8">
        <f>L3035*G3035</f>
        <v/>
      </c>
      <c r="P3035" s="9" t="n"/>
    </row>
    <row r="3036">
      <c r="A3036" s="11" t="inlineStr">
        <is>
          <t>Toxin Analysis</t>
        </is>
      </c>
      <c r="B3036" s="11" t="inlineStr">
        <is>
          <t>Instant</t>
        </is>
      </c>
      <c r="C3036" s="11" t="inlineStr">
        <is>
          <t>Common / Comum</t>
        </is>
      </c>
      <c r="D3036" s="11" t="inlineStr">
        <is>
          <t>Target creature gains deathtouch and lifelink until end of turn. Investigate. (Create a Clue token. It's an artifact with "{2}, Sacrifice this token: Draw a card.")</t>
        </is>
      </c>
      <c r="E3036" s="11" t="inlineStr">
        <is>
          <t>{B}</t>
        </is>
      </c>
      <c r="F3036" s="11" t="inlineStr">
        <is>
          <t>Preto</t>
        </is>
      </c>
      <c r="G3036" s="8" t="n">
        <v>0.39</v>
      </c>
      <c r="H3036" s="11" t="inlineStr">
        <is>
          <t>Murders at Karlov Manor (MKM)</t>
        </is>
      </c>
      <c r="I3036" s="11" t="inlineStr">
        <is>
          <t>Não</t>
        </is>
      </c>
      <c r="J3036" s="11" t="n">
        <v>2024</v>
      </c>
      <c r="L3036" s="11" t="n">
        <v>1</v>
      </c>
      <c r="M3036" s="8">
        <f>L3036*G3036</f>
        <v/>
      </c>
      <c r="P3036" s="9" t="n"/>
    </row>
    <row r="3037">
      <c r="A3037" s="11" t="inlineStr">
        <is>
          <t>Writhing Necromass / Necromassa Contorcida</t>
        </is>
      </c>
      <c r="B3037" s="11" t="inlineStr">
        <is>
          <t>Creature — Zombie Giant / Criatura — Zumbi Gigante</t>
        </is>
      </c>
      <c r="C3037" s="11" t="inlineStr">
        <is>
          <t>Common / Comum</t>
        </is>
      </c>
      <c r="D3037" s="11" t="inlineStr">
        <is>
          <t>This spell costs {1} less to cast for each creature card in your graveyard. Deathtouch / Esta mágica custa {1} a menos para ser conjurada para cada card de criatura em seu cemitério. Toque mortífero</t>
        </is>
      </c>
      <c r="E3037" s="11" t="inlineStr">
        <is>
          <t>{6}{B}</t>
        </is>
      </c>
      <c r="F3037" s="11" t="inlineStr">
        <is>
          <t>Preto</t>
        </is>
      </c>
      <c r="G3037" s="8" t="n">
        <v>0.16</v>
      </c>
      <c r="H3037" s="11" t="inlineStr">
        <is>
          <t>Dominaria United (DMU)</t>
        </is>
      </c>
      <c r="I3037" s="11" t="inlineStr">
        <is>
          <t>Não</t>
        </is>
      </c>
      <c r="J3037" s="11" t="n">
        <v>2022</v>
      </c>
      <c r="K3037" s="10" t="n">
        <v>46147</v>
      </c>
      <c r="L3037" s="11" t="n">
        <v>1</v>
      </c>
      <c r="M3037" s="8">
        <f>L3037*G3037</f>
        <v/>
      </c>
      <c r="P3037" s="9" t="n"/>
    </row>
    <row r="3038">
      <c r="A3038" s="11" t="inlineStr">
        <is>
          <t>Battle-Rage Blessing / Bênção da Fúria de Batalha</t>
        </is>
      </c>
      <c r="B3038" s="11" t="inlineStr">
        <is>
          <t>Instant / Mágica Instantânea</t>
        </is>
      </c>
      <c r="C3038" s="11" t="inlineStr">
        <is>
          <t>Common / Comum</t>
        </is>
      </c>
      <c r="D3038" s="11" t="inlineStr">
        <is>
          <t>Target creature gains deathtouch and indestructible until end of turn. (Damage and effects that say "destroy" don't destroy it.) / A criatura alvo ganha toque mortífero e indestrutível até o final do turno. (O dano e os efeitos que dizem "destrua" não a destroem.)</t>
        </is>
      </c>
      <c r="E3038" s="11" t="inlineStr">
        <is>
          <t>{1}{B}</t>
        </is>
      </c>
      <c r="F3038" s="11" t="inlineStr">
        <is>
          <t>Preto</t>
        </is>
      </c>
      <c r="G3038" s="8" t="n">
        <v>0.1</v>
      </c>
      <c r="H3038" s="11" t="inlineStr">
        <is>
          <t>Dominaria United (DMU)</t>
        </is>
      </c>
      <c r="I3038" s="11" t="inlineStr">
        <is>
          <t>Não</t>
        </is>
      </c>
      <c r="J3038" s="11" t="n">
        <v>2022</v>
      </c>
      <c r="L3038" s="11" t="n">
        <v>1</v>
      </c>
      <c r="M3038" s="8">
        <f>L3038*G3038</f>
        <v/>
      </c>
      <c r="P3038" s="9" t="n"/>
    </row>
    <row r="3039">
      <c r="A3039" s="11" t="inlineStr">
        <is>
          <t>Extract a Confession / Extrair uma Confissão</t>
        </is>
      </c>
      <c r="B3039" s="11" t="inlineStr">
        <is>
          <t>Sorcery / Feitiço</t>
        </is>
      </c>
      <c r="C3039" s="11" t="inlineStr">
        <is>
          <t>Common / Comum</t>
        </is>
      </c>
      <c r="D3039" s="11" t="inlineStr">
        <is>
          <t>As an additional cost to cast this spell, you may collect evidence 6. (Exile cards with total mana value 6 or greater from your graveyard.) Each opponent sacrifices a creature of their choice. If evidence was collected, instead each opponent sacrifices a creature with the greatest power among creatures they control. / Como custo adicional para conjurar esta mágica, você pode obter indícios 6. (Exile de seu cemitério cards com valor de mana total igual ou superior a 6.) Cada oponente sacrifica uma criatura. Se você obteve indícios, em vez disso, cada oponente sacrifica uma criatura com o maior poder entre as que ele controla.</t>
        </is>
      </c>
      <c r="E3039" s="11" t="inlineStr">
        <is>
          <t>{1}{B}</t>
        </is>
      </c>
      <c r="F3039" s="11" t="inlineStr">
        <is>
          <t>Preto</t>
        </is>
      </c>
      <c r="G3039" s="8" t="n">
        <v>0.25</v>
      </c>
      <c r="H3039" s="11" t="inlineStr">
        <is>
          <t>Murders at Karlov Manor (MKM)</t>
        </is>
      </c>
      <c r="I3039" s="11" t="inlineStr">
        <is>
          <t>Não</t>
        </is>
      </c>
      <c r="J3039" s="11" t="n">
        <v>2024</v>
      </c>
      <c r="L3039" s="11" t="n">
        <v>1</v>
      </c>
      <c r="M3039" s="8">
        <f>L3039*G3039</f>
        <v/>
      </c>
      <c r="P3039" s="9" t="n"/>
    </row>
    <row r="3040">
      <c r="A3040" s="11" t="inlineStr">
        <is>
          <t>Liliana's Triumph / Triunfo de Liliana</t>
        </is>
      </c>
      <c r="B3040" s="11" t="inlineStr">
        <is>
          <t>Instant / Mágica Instantânea</t>
        </is>
      </c>
      <c r="C3040" s="11" t="inlineStr">
        <is>
          <t>Uncommon / Incomum</t>
        </is>
      </c>
      <c r="D3040" s="11" t="inlineStr">
        <is>
          <t>Each opponent sacrifices a creature of their choice. If you control a Liliana planeswalker, each opponent also discards a card. / Cada oponente sacrifica uma criatura. Se você controla uma planeswalker Liliana, cada oponente também descarta um card.</t>
        </is>
      </c>
      <c r="E3040" s="11" t="inlineStr">
        <is>
          <t>{1}{B}</t>
        </is>
      </c>
      <c r="F3040" s="11" t="inlineStr">
        <is>
          <t>Preto</t>
        </is>
      </c>
      <c r="G3040" s="8" t="n">
        <v>0.29</v>
      </c>
      <c r="H3040" s="11" t="inlineStr">
        <is>
          <t>War of the Spark (WAR)</t>
        </is>
      </c>
      <c r="I3040" s="11" t="inlineStr">
        <is>
          <t>Não</t>
        </is>
      </c>
      <c r="J3040" s="11" t="n">
        <v>2019</v>
      </c>
      <c r="L3040" s="11" t="n">
        <v>2</v>
      </c>
      <c r="M3040" s="8">
        <f>L3040*G3040</f>
        <v/>
      </c>
      <c r="P3040" s="9" t="n"/>
    </row>
    <row r="3041">
      <c r="A3041" s="11" t="inlineStr">
        <is>
          <t>Priest of the Haunted Edge / Sacerdote da Fronteira Assombrada</t>
        </is>
      </c>
      <c r="B3041" s="11" t="inlineStr">
        <is>
          <t>Snow Creature — Zombie Cleric / Criatura da Neve — Zumbi Clérigo</t>
        </is>
      </c>
      <c r="C3041" s="11" t="inlineStr">
        <is>
          <t>Common / Comum</t>
        </is>
      </c>
      <c r="D3041" s="11" t="inlineStr">
        <is>
          <t>{T}, Sacrifice this creature: Target creature gets -X/-X until end of turn, where X is the number of snow lands you control. Activate only as a sorcery. / {T}, sacrifique Sacerdote da Fronteira Assombrada: A criatura alvo recebe -X/-X até o final do turno, sendo X o número de terrenos da neve que você controla. Ative esta habilidade somente nos momentos em que poderia conjurar um feitiço.</t>
        </is>
      </c>
      <c r="E3041" s="11" t="inlineStr">
        <is>
          <t>{1}{B}</t>
        </is>
      </c>
      <c r="F3041" s="11" t="inlineStr">
        <is>
          <t>Preto</t>
        </is>
      </c>
      <c r="G3041" s="8" t="n">
        <v>0.06</v>
      </c>
      <c r="H3041" s="11" t="inlineStr">
        <is>
          <t>Kaldheim (KHM)</t>
        </is>
      </c>
      <c r="I3041" s="11" t="inlineStr">
        <is>
          <t>Não</t>
        </is>
      </c>
      <c r="J3041" s="11" t="n">
        <v>2021</v>
      </c>
      <c r="K3041" s="11" t="inlineStr">
        <is>
          <t>0/4</t>
        </is>
      </c>
      <c r="L3041" s="11" t="n">
        <v>1</v>
      </c>
      <c r="M3041" s="8">
        <f>L3041*G3041</f>
        <v/>
      </c>
      <c r="P3041" s="9" t="n"/>
    </row>
    <row r="3042">
      <c r="A3042" s="11" t="inlineStr">
        <is>
          <t>Balustrade Spy / Espião de Balaustrada</t>
        </is>
      </c>
      <c r="B3042" s="11" t="inlineStr">
        <is>
          <t>Creature — Vampire Rogue / Criatura — Vampiro Ladino</t>
        </is>
      </c>
      <c r="C3042" s="11" t="inlineStr">
        <is>
          <t>Common / Comum</t>
        </is>
      </c>
      <c r="D3042" s="11" t="inlineStr">
        <is>
          <t>Flying When this creature enters, target player reveals cards from the top of their library until they reveal a land card, then puts those cards into their graveyard. / VoarQuando Espião de Balaustrada entra no campo de batalha, o jogador alvo revela cards do topo do próprio grimório até revelar um card de terreno. Depois, ele coloca aqueles cards no próprio cemitério.</t>
        </is>
      </c>
      <c r="E3042" s="11" t="inlineStr">
        <is>
          <t>{3}{B}</t>
        </is>
      </c>
      <c r="F3042" s="11" t="inlineStr">
        <is>
          <t>Preto</t>
        </is>
      </c>
      <c r="G3042" s="8" t="n">
        <v>0.18</v>
      </c>
      <c r="H3042" s="11" t="inlineStr">
        <is>
          <t>Ravnica Remastered (RVR)</t>
        </is>
      </c>
      <c r="I3042" s="11" t="inlineStr">
        <is>
          <t>Não</t>
        </is>
      </c>
      <c r="J3042" s="11" t="n">
        <v>2024</v>
      </c>
      <c r="K3042" s="10" t="n">
        <v>46083</v>
      </c>
      <c r="L3042" s="11" t="n">
        <v>1</v>
      </c>
      <c r="M3042" s="8">
        <f>L3042*G3042</f>
        <v/>
      </c>
      <c r="P3042" s="9" t="n"/>
    </row>
    <row r="3043">
      <c r="A3043" s="11" t="inlineStr">
        <is>
          <t>Balemurk Leech</t>
        </is>
      </c>
      <c r="B3043" s="11" t="inlineStr">
        <is>
          <t>Creature — Leech</t>
        </is>
      </c>
      <c r="C3043" s="11" t="inlineStr">
        <is>
          <t>Common / Comum</t>
        </is>
      </c>
      <c r="D3043" s="11" t="inlineStr">
        <is>
          <t>Eerie — Whenever an enchantment you control enters and whenever you fully unlock a Room, each opponent loses 1 life.</t>
        </is>
      </c>
      <c r="E3043" s="11" t="inlineStr">
        <is>
          <t>{1}{B}</t>
        </is>
      </c>
      <c r="F3043" s="11" t="inlineStr">
        <is>
          <t>Preto</t>
        </is>
      </c>
      <c r="G3043" s="8" t="n">
        <v>0.05</v>
      </c>
      <c r="H3043" s="11" t="inlineStr">
        <is>
          <t>Duskmourn: House of Horror (DSK)</t>
        </is>
      </c>
      <c r="I3043" s="11" t="inlineStr">
        <is>
          <t>Não</t>
        </is>
      </c>
      <c r="J3043" s="11" t="n">
        <v>2024</v>
      </c>
      <c r="K3043" s="10" t="n">
        <v>46055</v>
      </c>
      <c r="L3043" s="11" t="n">
        <v>2</v>
      </c>
      <c r="M3043" s="8">
        <f>L3043*G3043</f>
        <v/>
      </c>
      <c r="P3043" s="9" t="n"/>
    </row>
    <row r="3044">
      <c r="A3044" s="11" t="inlineStr">
        <is>
          <t>Yargle, Glutton of Urborg / Yargle, Glutão de Urborg</t>
        </is>
      </c>
      <c r="B3044" s="11" t="inlineStr">
        <is>
          <t>Legendary Creature — Frog Spirit / Criatura Lendária — Sapo Espírito</t>
        </is>
      </c>
      <c r="C3044" s="11" t="inlineStr">
        <is>
          <t>Uncommon / Incomum</t>
        </is>
      </c>
      <c r="E3044" s="11" t="inlineStr">
        <is>
          <t>{4}{B}</t>
        </is>
      </c>
      <c r="F3044" s="11" t="inlineStr">
        <is>
          <t>Preto</t>
        </is>
      </c>
      <c r="G3044" s="8" t="n">
        <v>0.15</v>
      </c>
      <c r="H3044" s="11" t="inlineStr">
        <is>
          <t>Commander Masters (CMM)</t>
        </is>
      </c>
      <c r="I3044" s="11" t="inlineStr">
        <is>
          <t>Não</t>
        </is>
      </c>
      <c r="J3044" s="11" t="n">
        <v>2023</v>
      </c>
      <c r="K3044" s="10" t="n">
        <v>46090</v>
      </c>
      <c r="L3044" s="11" t="n">
        <v>1</v>
      </c>
      <c r="M3044" s="8">
        <f>L3044*G3044</f>
        <v/>
      </c>
      <c r="P3044" s="9" t="n"/>
    </row>
    <row r="3045">
      <c r="A3045" s="11" t="inlineStr">
        <is>
          <t>Feast of Succession / Banquete da Sucessão</t>
        </is>
      </c>
      <c r="B3045" s="11" t="inlineStr">
        <is>
          <t>Sorcery / Feitiço</t>
        </is>
      </c>
      <c r="C3045" s="11" t="inlineStr">
        <is>
          <t>Uncommon / Incomum</t>
        </is>
      </c>
      <c r="D3045" s="11" t="inlineStr">
        <is>
          <t>All creatures get -4/-4 until end of turn. You become the monarch. / Todas as criaturas recebem -4/-4 até o final do turno. Você se torna o monarca.</t>
        </is>
      </c>
      <c r="E3045" s="11" t="inlineStr">
        <is>
          <t>{4}{B}{B}</t>
        </is>
      </c>
      <c r="F3045" s="11" t="inlineStr">
        <is>
          <t>Preto</t>
        </is>
      </c>
      <c r="G3045" s="8" t="n">
        <v>0.2</v>
      </c>
      <c r="H3045" s="11" t="inlineStr">
        <is>
          <t>Commander Masters (CMM)</t>
        </is>
      </c>
      <c r="I3045" s="11" t="inlineStr">
        <is>
          <t>Não</t>
        </is>
      </c>
      <c r="J3045" s="11" t="n">
        <v>2023</v>
      </c>
      <c r="L3045" s="11" t="n">
        <v>1</v>
      </c>
      <c r="M3045" s="8">
        <f>L3045*G3045</f>
        <v/>
      </c>
      <c r="P3045" s="9" t="n"/>
    </row>
    <row r="3046">
      <c r="A3046" s="11" t="inlineStr">
        <is>
          <t>Corpse Augur / Áugure Cadáver</t>
        </is>
      </c>
      <c r="B3046" s="11" t="inlineStr">
        <is>
          <t>Creature — Zombie Wizard / Criatura — Zumbi Mago</t>
        </is>
      </c>
      <c r="C3046" s="11" t="inlineStr">
        <is>
          <t>Uncommon / Incomum</t>
        </is>
      </c>
      <c r="D3046" s="11"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3046" s="11" t="inlineStr">
        <is>
          <t>{3}{B}</t>
        </is>
      </c>
      <c r="F3046" s="11" t="inlineStr">
        <is>
          <t>Preto</t>
        </is>
      </c>
      <c r="G3046" s="8" t="n">
        <v>0.24</v>
      </c>
      <c r="H3046" s="11" t="inlineStr">
        <is>
          <t>Commander Masters (CMM)</t>
        </is>
      </c>
      <c r="I3046" s="11" t="inlineStr">
        <is>
          <t>Não</t>
        </is>
      </c>
      <c r="J3046" s="11" t="n">
        <v>2023</v>
      </c>
      <c r="K3046" s="10" t="n">
        <v>46057</v>
      </c>
      <c r="L3046" s="11" t="n">
        <v>1</v>
      </c>
      <c r="M3046" s="8">
        <f>L3046*G3046</f>
        <v/>
      </c>
      <c r="P3046" s="9" t="n"/>
    </row>
    <row r="3047">
      <c r="A3047" s="11" t="inlineStr">
        <is>
          <t>Whisper, Blood Liturgist / Sussurro, Liturgista do Sangue</t>
        </is>
      </c>
      <c r="B3047" s="11" t="inlineStr">
        <is>
          <t>Legendary Creature — Human Cleric / Criatura Lendária — Humano Clérigo</t>
        </is>
      </c>
      <c r="C3047" s="11" t="inlineStr">
        <is>
          <t>Uncommon / Incomum</t>
        </is>
      </c>
      <c r="D3047" s="11" t="inlineStr">
        <is>
          <t>{T}, Sacrifice two creatures: Return target creature card from your graveyard to the battlefield. / {T}, sacrifique duas criaturas: Devolva o card de criatura alvo de seu cemitério para o campo de batalha.</t>
        </is>
      </c>
      <c r="E3047" s="11" t="inlineStr">
        <is>
          <t>{3}{B}</t>
        </is>
      </c>
      <c r="F3047" s="11" t="inlineStr">
        <is>
          <t>Preto</t>
        </is>
      </c>
      <c r="G3047" s="8" t="n">
        <v>0.75</v>
      </c>
      <c r="H3047" s="11" t="inlineStr">
        <is>
          <t>Commander Masters (CMM)</t>
        </is>
      </c>
      <c r="I3047" s="11" t="inlineStr">
        <is>
          <t>Não</t>
        </is>
      </c>
      <c r="J3047" s="11" t="n">
        <v>2023</v>
      </c>
      <c r="K3047" s="10" t="n">
        <v>46055</v>
      </c>
      <c r="L3047" s="11" t="n">
        <v>1</v>
      </c>
      <c r="M3047" s="8">
        <f>L3047*G3047</f>
        <v/>
      </c>
      <c r="P3047" s="9" t="n"/>
    </row>
    <row r="3048">
      <c r="A3048" s="11" t="inlineStr">
        <is>
          <t>Goremand / Gourmet de Vísceras</t>
        </is>
      </c>
      <c r="B3048" s="11" t="inlineStr">
        <is>
          <t>Creature — Demon / Criatura — Demônio</t>
        </is>
      </c>
      <c r="C3048" s="11" t="inlineStr">
        <is>
          <t>Uncommon / Incomum</t>
        </is>
      </c>
      <c r="D3048" s="11" t="inlineStr">
        <is>
          <t>As an additional cost to cast this spell, sacrifice a creature. Flying Trample (This creature can deal excess combat damage to the player or planeswalker it's attacking.) When this creature enters, each opponent sacrifices a creature. / Como custo adicional para conjurar esta mágica, sacrifique uma criatura. Voar Atropelar (Esta criatura pode causar seu dano de combate excedente ao jogador ou planeswalker que ela estiver atacando.) Quando Gourmet de Vísceras entra no campo de batalha, cada oponente sacrifica uma criatura.</t>
        </is>
      </c>
      <c r="E3048" s="11" t="inlineStr">
        <is>
          <t>{4}{B}{B}</t>
        </is>
      </c>
      <c r="F3048" s="11" t="inlineStr">
        <is>
          <t>Preto</t>
        </is>
      </c>
      <c r="G3048" s="8" t="n">
        <v>0.17</v>
      </c>
      <c r="H3048" s="11" t="inlineStr">
        <is>
          <t>Commander Masters (CMM)</t>
        </is>
      </c>
      <c r="I3048" s="11" t="inlineStr">
        <is>
          <t>Não</t>
        </is>
      </c>
      <c r="J3048" s="11" t="n">
        <v>2023</v>
      </c>
      <c r="K3048" s="10" t="n">
        <v>46147</v>
      </c>
      <c r="L3048" s="11" t="n">
        <v>1</v>
      </c>
      <c r="M3048" s="8">
        <f>L3048*G3048</f>
        <v/>
      </c>
      <c r="P3048" s="9" t="n"/>
    </row>
    <row r="3049">
      <c r="A3049" s="11" t="inlineStr">
        <is>
          <t>Priest of the Blood Rite / Sacerdote do Ritual de Sangue</t>
        </is>
      </c>
      <c r="B3049" s="11" t="inlineStr">
        <is>
          <t>Creature — Human Cleric / Criatura — Humano Clérigo</t>
        </is>
      </c>
      <c r="C3049" s="11" t="inlineStr">
        <is>
          <t>Uncommon / Incomum</t>
        </is>
      </c>
      <c r="D3049" s="11"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3049" s="11" t="inlineStr">
        <is>
          <t>{3}{B}{B}</t>
        </is>
      </c>
      <c r="F3049" s="11" t="inlineStr">
        <is>
          <t>Preto</t>
        </is>
      </c>
      <c r="G3049" s="8" t="n">
        <v>0.19</v>
      </c>
      <c r="H3049" s="11" t="inlineStr">
        <is>
          <t>Commander Masters (CMM)</t>
        </is>
      </c>
      <c r="I3049" s="11" t="inlineStr">
        <is>
          <t>Não</t>
        </is>
      </c>
      <c r="J3049" s="11" t="n">
        <v>2023</v>
      </c>
      <c r="K3049" s="10" t="n">
        <v>46055</v>
      </c>
      <c r="L3049" s="11" t="n">
        <v>1</v>
      </c>
      <c r="M3049" s="8">
        <f>L3049*G3049</f>
        <v/>
      </c>
      <c r="P3049" s="9" t="n"/>
    </row>
    <row r="3050">
      <c r="A3050" s="11" t="inlineStr">
        <is>
          <t>Gorex, the Tombshell / Gorex, Casco Tumular</t>
        </is>
      </c>
      <c r="B3050" s="11" t="inlineStr">
        <is>
          <t>Legendary Creature — Zombie Turtle / Criatura Lendária — Zumbi Tartaruga</t>
        </is>
      </c>
      <c r="C3050" s="11" t="inlineStr">
        <is>
          <t>Uncommon / Incomum</t>
        </is>
      </c>
      <c r="D3050" s="11" t="inlineStr">
        <is>
          <t>As an additional cost to cast this spell, you may exile any number of creature cards from your graveyard. This spell costs {2} less to cast for each card exiled this way. Deathtouch Whenever Gorex attacks or dies, choose a card at random exiled with Gorex and put that card into its owner's hand. / Como custo adicional para conjurar esta mágica, você pode exilar qualquer número de cards de criatura de seu cemitério. Esta mágica custa {2} a menos para ser conjurada para cada card exilado dessa forma. Toque mortífero Toda vez que Gorex, Casco Tumular, atacar ou morrer, escolha aleatoriamente um card exilado com Gorex e coloque aquele card na mão de seu dono.</t>
        </is>
      </c>
      <c r="E3050" s="11" t="inlineStr">
        <is>
          <t>{6}{B}{B}</t>
        </is>
      </c>
      <c r="F3050" s="11" t="inlineStr">
        <is>
          <t>Preto</t>
        </is>
      </c>
      <c r="G3050" s="8" t="n">
        <v>0.38</v>
      </c>
      <c r="H3050" s="11" t="inlineStr">
        <is>
          <t>Commander Masters (CMM)</t>
        </is>
      </c>
      <c r="I3050" s="11" t="inlineStr">
        <is>
          <t>Não</t>
        </is>
      </c>
      <c r="J3050" s="11" t="n">
        <v>2023</v>
      </c>
      <c r="K3050" s="10" t="n">
        <v>46116</v>
      </c>
      <c r="L3050" s="11" t="n">
        <v>1</v>
      </c>
      <c r="M3050" s="8">
        <f>L3050*G3050</f>
        <v/>
      </c>
      <c r="P3050" s="9" t="n"/>
    </row>
    <row r="3051">
      <c r="A3051" s="11" t="inlineStr">
        <is>
          <t>Yahenni, Undying Partisan / Yahenni, Guerrilheiro Imortal</t>
        </is>
      </c>
      <c r="B3051" s="11" t="inlineStr">
        <is>
          <t>Legendary Creature — Aetherborn Vampire / Criatura Lendária — Etergênito Vampiro</t>
        </is>
      </c>
      <c r="C3051" s="11" t="inlineStr">
        <is>
          <t>Uncommon / Incomum</t>
        </is>
      </c>
      <c r="D3051" s="11" t="inlineStr">
        <is>
          <t>Haste Whenever a creature an opponent controls dies, put a +1/+1 counter on Yahenni. Sacrifice another creature: Yahenni gains indestructible until end of turn. / Ímpeto Toda vez que uma criatura que um oponente controla morrer, coloque um marcador +1/+1 em Yahenni, Guerrilheiro Imortal. Sacrifique outra criatura: Yahenni ganha indestrutível até o final do turno.</t>
        </is>
      </c>
      <c r="E3051" s="11" t="inlineStr">
        <is>
          <t>{2}{B}</t>
        </is>
      </c>
      <c r="F3051" s="11" t="inlineStr">
        <is>
          <t>Preto</t>
        </is>
      </c>
      <c r="G3051" s="8" t="n">
        <v>1.7</v>
      </c>
      <c r="H3051" s="11" t="inlineStr">
        <is>
          <t>Commander Masters (CMM)</t>
        </is>
      </c>
      <c r="I3051" s="11" t="inlineStr">
        <is>
          <t>Não</t>
        </is>
      </c>
      <c r="J3051" s="11" t="n">
        <v>2023</v>
      </c>
      <c r="K3051" s="10" t="n">
        <v>46055</v>
      </c>
      <c r="L3051" s="11" t="n">
        <v>1</v>
      </c>
      <c r="M3051" s="8">
        <f>L3051*G3051</f>
        <v/>
      </c>
      <c r="N3051" s="11" t="inlineStr">
        <is>
          <t>Pasta</t>
        </is>
      </c>
      <c r="P3051" s="9" t="n"/>
    </row>
    <row r="3052">
      <c r="A3052" s="11" t="inlineStr">
        <is>
          <t>Gravedig / Escavar Túmulo</t>
        </is>
      </c>
      <c r="B3052" s="11" t="inlineStr">
        <is>
          <t>Sorcery / Feitiço</t>
        </is>
      </c>
      <c r="C3052" s="11" t="inlineStr">
        <is>
          <t>Common / Comum</t>
        </is>
      </c>
      <c r="D3052" s="11" t="inlineStr">
        <is>
          <t>Choose one — • Target player creates a 2/2 black Zombie creature token. • Return target creature card from your graveyard to your hand. Entwine {2} (Choose both if you pay the entwine cost.) / Escolha um — • O jogador alvo cria uma ficha de criatura preta Zumbi 2/2. • Devolva o card de criatura alvo de seu cemitério à sua mão. Entrelaçar {2} (Escolha ambos se pagar o custo de entrelaçar.)</t>
        </is>
      </c>
      <c r="E3052" s="11" t="inlineStr">
        <is>
          <t>{1}{B}</t>
        </is>
      </c>
      <c r="F3052" s="11" t="inlineStr">
        <is>
          <t>Preto</t>
        </is>
      </c>
      <c r="G3052" s="8" t="n">
        <v>0.05</v>
      </c>
      <c r="H3052" s="11" t="inlineStr">
        <is>
          <t>Modern Horizons 3 (MH3)</t>
        </is>
      </c>
      <c r="I3052" s="11" t="inlineStr">
        <is>
          <t>Não</t>
        </is>
      </c>
      <c r="J3052" s="11" t="n">
        <v>2024</v>
      </c>
      <c r="L3052" s="11" t="n">
        <v>1</v>
      </c>
      <c r="M3052" s="8">
        <f>L3052*G3052</f>
        <v/>
      </c>
      <c r="P3052" s="9" t="n"/>
    </row>
    <row r="3053">
      <c r="A3053" s="11" t="inlineStr">
        <is>
          <t>Brinelin, the Moon Kraken / Salmouríneo, o Kraken Lunar</t>
        </is>
      </c>
      <c r="B3053" s="11" t="inlineStr">
        <is>
          <t>Legendary Creature — Kraken / Criatura Lendária — Kraken</t>
        </is>
      </c>
      <c r="C3053" s="11" t="inlineStr">
        <is>
          <t>Uncommon / Incomum</t>
        </is>
      </c>
      <c r="D3053" s="11" t="inlineStr">
        <is>
          <t>When Brinelin enters and whenever you cast a spell with mana value 6 or greater, you may return target nonland permanent to its owner's hand. Partner (You can have two commanders if both have partner.) / Quando Salmouríneo, o Kraken Lunar, entra no campo de batalha ou toda vez que você conjura uma mágica com custo de mana convertido igual ou superior a 6, você pode devolver a permanente alvo que não seja um terreno para a mão de seu dono. Parceiro (Você pode ter dois comandantes se ambos tiverem parceiro.)</t>
        </is>
      </c>
      <c r="E3053" s="11" t="inlineStr">
        <is>
          <t>{6}{U}{U}</t>
        </is>
      </c>
      <c r="F3053" s="11" t="inlineStr">
        <is>
          <t>Azul</t>
        </is>
      </c>
      <c r="G3053" s="8" t="n">
        <v>0.25</v>
      </c>
      <c r="H3053" s="11" t="inlineStr">
        <is>
          <t>Commander Masters (CMM)</t>
        </is>
      </c>
      <c r="I3053" s="11" t="inlineStr">
        <is>
          <t>Não</t>
        </is>
      </c>
      <c r="J3053" s="11" t="n">
        <v>2023</v>
      </c>
      <c r="K3053" s="10" t="n">
        <v>46240</v>
      </c>
      <c r="L3053" s="11" t="n">
        <v>1</v>
      </c>
      <c r="M3053" s="8">
        <f>L3053*G3053</f>
        <v/>
      </c>
      <c r="P3053" s="9" t="n"/>
    </row>
    <row r="3054">
      <c r="A3054" s="11" t="inlineStr">
        <is>
          <t>Tome Raider / Saqueadora de Tomos</t>
        </is>
      </c>
      <c r="B3054" s="11" t="inlineStr">
        <is>
          <t>Creature — Faerie / Criatura — Fada</t>
        </is>
      </c>
      <c r="C3054" s="11" t="inlineStr">
        <is>
          <t>Common / Comum</t>
        </is>
      </c>
      <c r="D3054" s="11" t="inlineStr">
        <is>
          <t>Flying When this creature enters, draw a card. / Voar Quando Saqueadora de Tomos entrar no campo de batalha, compre um card.</t>
        </is>
      </c>
      <c r="E3054" s="11" t="inlineStr">
        <is>
          <t>{2}{U}</t>
        </is>
      </c>
      <c r="F3054" s="11" t="inlineStr">
        <is>
          <t>Azul</t>
        </is>
      </c>
      <c r="G3054" s="8" t="n">
        <v>0.06</v>
      </c>
      <c r="H3054" s="11" t="inlineStr">
        <is>
          <t>Throne of Eldraine (ELD)</t>
        </is>
      </c>
      <c r="I3054" s="11" t="inlineStr">
        <is>
          <t>Não</t>
        </is>
      </c>
      <c r="J3054" s="11" t="n">
        <v>2019</v>
      </c>
      <c r="K3054" s="10" t="n">
        <v>46023</v>
      </c>
      <c r="L3054" s="11" t="n">
        <v>1</v>
      </c>
      <c r="M3054" s="8">
        <f>L3054*G3054</f>
        <v/>
      </c>
      <c r="P3054" s="9" t="n"/>
    </row>
    <row r="3055">
      <c r="A3055" s="11" t="inlineStr">
        <is>
          <t>Confounding Riddle / Charada Confusa</t>
        </is>
      </c>
      <c r="B3055" s="11" t="inlineStr">
        <is>
          <t>Instant / Mágica Instantânea</t>
        </is>
      </c>
      <c r="C3055" s="11" t="inlineStr">
        <is>
          <t>Uncommon / Incomum</t>
        </is>
      </c>
      <c r="D3055" s="11" t="inlineStr">
        <is>
          <t>Choose one — • Look at the top four cards of your library. Put one of them into your hand and the rest into your graveyard. • Counter target spell unless its controller pays {4}. / Escolha um — • Olhe os quatro cards do topo do seu grimório. Coloque um deles em sua mão e o restante em seu cemitério. Anule a mágica alvo, a menos que seu controlador pague {4}.</t>
        </is>
      </c>
      <c r="E3055" s="11" t="inlineStr">
        <is>
          <t>{2}{U}</t>
        </is>
      </c>
      <c r="F3055" s="11" t="inlineStr">
        <is>
          <t>Azul</t>
        </is>
      </c>
      <c r="G3055" s="8" t="n">
        <v>0.35</v>
      </c>
      <c r="H3055" s="11" t="inlineStr">
        <is>
          <t>The Lost Caverns of Ixalan (LCI)</t>
        </is>
      </c>
      <c r="I3055" s="11" t="inlineStr">
        <is>
          <t>Não</t>
        </is>
      </c>
      <c r="J3055" s="11" t="n">
        <v>2023</v>
      </c>
      <c r="L3055" s="11" t="n">
        <v>1</v>
      </c>
      <c r="M3055" s="8">
        <f>L3055*G3055</f>
        <v/>
      </c>
      <c r="P3055" s="9" t="n"/>
    </row>
    <row r="3056">
      <c r="A3056" s="11" t="inlineStr">
        <is>
          <t>Anticipate / Antecipar</t>
        </is>
      </c>
      <c r="B3056" s="11" t="inlineStr">
        <is>
          <t>Instant / Mágica Instantânea</t>
        </is>
      </c>
      <c r="C3056" s="11" t="inlineStr">
        <is>
          <t>Common / Comum</t>
        </is>
      </c>
      <c r="D3056" s="11" t="inlineStr">
        <is>
          <t>Look at the top three cards of your library. Put one of them into your hand and the rest on the bottom of your library in any order. / Olhe os três cards do topo de seu grimório. Coloque um deles na sua mão e os restantes no fundo do seu grimório em qualquer ordem.</t>
        </is>
      </c>
      <c r="E3056" s="11" t="inlineStr">
        <is>
          <t>{1}{U}</t>
        </is>
      </c>
      <c r="F3056" s="11" t="inlineStr">
        <is>
          <t>Azul</t>
        </is>
      </c>
      <c r="G3056" s="8" t="n">
        <v>0.06</v>
      </c>
      <c r="H3056" s="11" t="inlineStr">
        <is>
          <t>Battle for Zendikar (BFZ)</t>
        </is>
      </c>
      <c r="I3056" s="11" t="inlineStr">
        <is>
          <t>Não</t>
        </is>
      </c>
      <c r="J3056" s="11" t="n">
        <v>2015</v>
      </c>
      <c r="L3056" s="11" t="n">
        <v>1</v>
      </c>
      <c r="M3056" s="8">
        <f>L3056*G3056</f>
        <v/>
      </c>
      <c r="P3056" s="9" t="n"/>
    </row>
    <row r="3057">
      <c r="A3057" s="11" t="inlineStr">
        <is>
          <t>Nimble Thopterist</t>
        </is>
      </c>
      <c r="B3057" s="11" t="inlineStr">
        <is>
          <t>Creature — Vedalken Artificer</t>
        </is>
      </c>
      <c r="C3057" s="11" t="inlineStr">
        <is>
          <t>Common / Comum</t>
        </is>
      </c>
      <c r="D3057" s="11" t="inlineStr">
        <is>
          <t>When this creature enters, create a 1/1 colorless Thopter artifact creature token with flying.</t>
        </is>
      </c>
      <c r="E3057" s="11" t="inlineStr">
        <is>
          <t>{3}{U}</t>
        </is>
      </c>
      <c r="F3057" s="11" t="inlineStr">
        <is>
          <t>Azul</t>
        </is>
      </c>
      <c r="G3057" s="8" t="n">
        <v>0.05</v>
      </c>
      <c r="H3057" s="11" t="inlineStr">
        <is>
          <t>Aetherdrift (DFT)</t>
        </is>
      </c>
      <c r="I3057" s="11" t="inlineStr">
        <is>
          <t>Não</t>
        </is>
      </c>
      <c r="J3057" s="11" t="n">
        <v>2025</v>
      </c>
      <c r="K3057" s="10" t="n">
        <v>46056</v>
      </c>
      <c r="L3057" s="11" t="n">
        <v>1</v>
      </c>
      <c r="M3057" s="8">
        <f>L3057*G3057</f>
        <v/>
      </c>
      <c r="P3057" s="9" t="n"/>
    </row>
    <row r="3058">
      <c r="A3058" s="11" t="inlineStr">
        <is>
          <t>Aetherize / Eterificar</t>
        </is>
      </c>
      <c r="B3058" s="11" t="inlineStr">
        <is>
          <t>Instant / Mágica Instantânea</t>
        </is>
      </c>
      <c r="C3058" s="11" t="inlineStr">
        <is>
          <t>Uncommon / Incomum</t>
        </is>
      </c>
      <c r="D3058" s="11" t="inlineStr">
        <is>
          <t>Return all attacking creatures to their owner's hand. / Devolva todas as criaturas atacantes para as mãos de seus donos.</t>
        </is>
      </c>
      <c r="E3058" s="11" t="inlineStr">
        <is>
          <t>{3}{U}</t>
        </is>
      </c>
      <c r="F3058" s="11" t="inlineStr">
        <is>
          <t>Azul</t>
        </is>
      </c>
      <c r="G3058" s="8" t="n">
        <v>3.95</v>
      </c>
      <c r="H3058" s="11" t="inlineStr">
        <is>
          <t>Foundations (FDN)</t>
        </is>
      </c>
      <c r="I3058" s="11" t="inlineStr">
        <is>
          <t>Não</t>
        </is>
      </c>
      <c r="J3058" s="11" t="n">
        <v>2024</v>
      </c>
      <c r="L3058" s="11" t="n">
        <v>1</v>
      </c>
      <c r="M3058" s="8">
        <f>L3058*G3058</f>
        <v/>
      </c>
      <c r="N3058" s="11" t="inlineStr">
        <is>
          <t>Pasta</t>
        </is>
      </c>
      <c r="P3058" s="9" t="n"/>
    </row>
    <row r="3059">
      <c r="A3059" s="11" t="inlineStr">
        <is>
          <t>Midnight Mangler</t>
        </is>
      </c>
      <c r="B3059" s="11" t="inlineStr">
        <is>
          <t>Artifact — Vehicle</t>
        </is>
      </c>
      <c r="C3059" s="11" t="inlineStr">
        <is>
          <t>Common / Comum</t>
        </is>
      </c>
      <c r="D3059" s="11" t="inlineStr">
        <is>
          <t>During turns other than yours, this Vehicle is an artifact creature. Crew 2 (Tap any number of creatures you control with total power 2 or more: This Vehicle becomes an artifact creature until end of turn.)</t>
        </is>
      </c>
      <c r="E3059" s="11" t="inlineStr">
        <is>
          <t>{1}{U}</t>
        </is>
      </c>
      <c r="F3059" s="11" t="inlineStr">
        <is>
          <t>Azul</t>
        </is>
      </c>
      <c r="G3059" s="8" t="n">
        <v>0.1</v>
      </c>
      <c r="H3059" s="11" t="inlineStr">
        <is>
          <t>Aetherdrift (DFT)</t>
        </is>
      </c>
      <c r="I3059" s="11" t="inlineStr">
        <is>
          <t>Não</t>
        </is>
      </c>
      <c r="J3059" s="11" t="n">
        <v>2025</v>
      </c>
      <c r="K3059" s="10" t="n">
        <v>46084</v>
      </c>
      <c r="L3059" s="11" t="n">
        <v>1</v>
      </c>
      <c r="M3059" s="8">
        <f>L3059*G3059</f>
        <v/>
      </c>
      <c r="P3059" s="9" t="n"/>
    </row>
    <row r="3060">
      <c r="A3060" s="11" t="inlineStr">
        <is>
          <t>Steelclad Spirit / Espírito da Couraça de Aço</t>
        </is>
      </c>
      <c r="B3060" s="11" t="inlineStr">
        <is>
          <t>Creature — Spirit / Criatura — Espírito</t>
        </is>
      </c>
      <c r="C3060" s="11" t="inlineStr">
        <is>
          <t>Common / Comum</t>
        </is>
      </c>
      <c r="D3060" s="11" t="inlineStr">
        <is>
          <t>Defender Whenever an enchantment you control enters, this creature can attack this turn as though it didn't have defender. / Defensor Toda vez que um encantamento entra no campo de batalha sob seu controle, Espírito da Couraça de Aço pode atacar neste turno como se não tivesse defensor.</t>
        </is>
      </c>
      <c r="E3060" s="11" t="inlineStr">
        <is>
          <t>{1}{U}</t>
        </is>
      </c>
      <c r="F3060" s="11" t="inlineStr">
        <is>
          <t>Azul</t>
        </is>
      </c>
      <c r="G3060" s="8" t="n">
        <v>0.09</v>
      </c>
      <c r="H3060" s="11" t="inlineStr">
        <is>
          <t>Innistrad: Crimson Vow (VOW)</t>
        </is>
      </c>
      <c r="I3060" s="11" t="inlineStr">
        <is>
          <t>Não</t>
        </is>
      </c>
      <c r="J3060" s="11" t="n">
        <v>2021</v>
      </c>
      <c r="K3060" s="10" t="n">
        <v>46084</v>
      </c>
      <c r="L3060" s="11" t="n">
        <v>1</v>
      </c>
      <c r="M3060" s="8">
        <f>L3060*G3060</f>
        <v/>
      </c>
      <c r="P3060" s="9" t="n"/>
    </row>
    <row r="3061">
      <c r="A3061" s="11" t="inlineStr">
        <is>
          <t>Wanderlight Spirit / Espírito da Luz Vagante</t>
        </is>
      </c>
      <c r="B3061" s="11" t="inlineStr">
        <is>
          <t>Creature — Spirit / Criatura — Espírito</t>
        </is>
      </c>
      <c r="C3061" s="11" t="inlineStr">
        <is>
          <t>Common / Comum</t>
        </is>
      </c>
      <c r="D3061" s="11" t="inlineStr">
        <is>
          <t>Flying This creature can block only creatures with flying. / Voar Espírito da Luz Vagante só pode bloquear criaturas com voar.</t>
        </is>
      </c>
      <c r="E3061" s="11" t="inlineStr">
        <is>
          <t>{2}{U}</t>
        </is>
      </c>
      <c r="F3061" s="11" t="inlineStr">
        <is>
          <t>Azul</t>
        </is>
      </c>
      <c r="G3061" s="8" t="n">
        <v>0.06</v>
      </c>
      <c r="H3061" s="11" t="inlineStr">
        <is>
          <t>Innistrad: Crimson Vow (VOW)</t>
        </is>
      </c>
      <c r="I3061" s="11" t="inlineStr">
        <is>
          <t>Não</t>
        </is>
      </c>
      <c r="J3061" s="11" t="n">
        <v>2021</v>
      </c>
      <c r="K3061" s="10" t="n">
        <v>46083</v>
      </c>
      <c r="L3061" s="11" t="n">
        <v>1</v>
      </c>
      <c r="M3061" s="8">
        <f>L3061*G3061</f>
        <v/>
      </c>
      <c r="P3061" s="9" t="n"/>
    </row>
    <row r="3062">
      <c r="A3062" s="11" t="inlineStr">
        <is>
          <t>Wash Away / Lavar</t>
        </is>
      </c>
      <c r="B3062" s="11" t="inlineStr">
        <is>
          <t>Instant / Mágica Instantânea</t>
        </is>
      </c>
      <c r="C3062" s="11" t="inlineStr">
        <is>
          <t>Uncommon / Incomum</t>
        </is>
      </c>
      <c r="D3062" s="11" t="inlineStr">
        <is>
          <t>Cleave {1}{U}{U} (You may cast this spell for its cleave cost. If you do, remove the words in square brackets.) Counter target spell [that wasn't cast from its owner's hand]. / Remover {1}{U}{U} (Você pode conjurar esta mágica pagando seu custo de remover. Se fizer isso, remova as palavras entre colchetes.) Anule a mágica alvo que não tenha sido conjurada da mão de seu dono.</t>
        </is>
      </c>
      <c r="E3062" s="11" t="inlineStr">
        <is>
          <t>{U}</t>
        </is>
      </c>
      <c r="F3062" s="11" t="inlineStr">
        <is>
          <t>Azul</t>
        </is>
      </c>
      <c r="G3062" s="8" t="n">
        <v>7</v>
      </c>
      <c r="H3062" s="11" t="inlineStr">
        <is>
          <t>Innistrad: Crimson Vow (VOW)</t>
        </is>
      </c>
      <c r="I3062" s="11" t="inlineStr">
        <is>
          <t>Não</t>
        </is>
      </c>
      <c r="J3062" s="11" t="n">
        <v>2021</v>
      </c>
      <c r="L3062" s="11" t="n">
        <v>1</v>
      </c>
      <c r="M3062" s="8">
        <f>L3062*G3062</f>
        <v/>
      </c>
      <c r="N3062" s="11" t="inlineStr">
        <is>
          <t>Pasta</t>
        </is>
      </c>
      <c r="P3062" s="9" t="n"/>
    </row>
    <row r="3063">
      <c r="A3063" s="11" t="inlineStr">
        <is>
          <t>Soulcipher Board / Tábua do Código Espiritual</t>
        </is>
      </c>
      <c r="B3063" s="11" t="inlineStr">
        <is>
          <t>Artifact / Artefato</t>
        </is>
      </c>
      <c r="C3063" s="11" t="inlineStr">
        <is>
          <t>Uncommon / Incomum</t>
        </is>
      </c>
      <c r="D3063" s="11" t="inlineStr">
        <is>
          <t>This artifact enters with three omen counters on it. {1}{U}, {T}: Look at the top two cards of your library. Put one of them into your graveyard. Whenever a creature card is put into your graveyard from anywhere, remove an omen counter from this artifact. Then if it has no omen counters on it, transform it. / Tábua do Código Espiritual entra no campo de batalha com três marcadores de presságio. {1}{U}, {T}: Olhe os dois cards do topo de seu grimório. Coloque um deles no seu cemitério. Toda vez que um card de criatura for colocado em seu cemitério vindo de qualquer lugar, remova um marcador de presságio de Tábua do Código Espiritual. Em seguida, se ela não tiver nenhum marcador de presságio, transforme-a.</t>
        </is>
      </c>
      <c r="E3063" s="11" t="inlineStr">
        <is>
          <t>{1}{U}</t>
        </is>
      </c>
      <c r="F3063" s="11" t="inlineStr">
        <is>
          <t>Azul</t>
        </is>
      </c>
      <c r="G3063" s="8" t="n">
        <v>0.09</v>
      </c>
      <c r="H3063" s="11" t="inlineStr">
        <is>
          <t>Innistrad: Crimson Vow (VOW)</t>
        </is>
      </c>
      <c r="I3063" s="11" t="inlineStr">
        <is>
          <t>Não</t>
        </is>
      </c>
      <c r="J3063" s="11" t="n">
        <v>2021</v>
      </c>
      <c r="L3063" s="11" t="n">
        <v>1</v>
      </c>
      <c r="M3063" s="8">
        <f>L3063*G3063</f>
        <v/>
      </c>
      <c r="P3063" s="9" t="n"/>
    </row>
    <row r="3064">
      <c r="A3064" s="11" t="inlineStr">
        <is>
          <t>Meat Locker // Drowned Diner</t>
        </is>
      </c>
      <c r="B3064" s="11" t="inlineStr">
        <is>
          <t>Enchantment — Room // Enchantment — Room</t>
        </is>
      </c>
      <c r="C3064" s="11" t="inlineStr">
        <is>
          <t>Common / Comum</t>
        </is>
      </c>
      <c r="D3064" s="11" t="inlineStr">
        <is>
          <t>Meat Locker: When you unlock this door, tap up to one target creature and put two stun counters on it. (If a permanent with a stun counter would become untapped, remove one from it instead.) (You may cast either half. That door unlocks on the battlefield. As a sorcery, you may pay the mana cost of a locked door to unlock it.) // Drowned Diner: When you unlock this door, draw three cards, then discard a card. (You may cast either half. That door unlocks on the battlefield. As a sorcery, you may pay the mana cost of a locked door to unlock it.)</t>
        </is>
      </c>
      <c r="E3064" s="11" t="inlineStr">
        <is>
          <t>{2}{U} // {3}{U}{U}</t>
        </is>
      </c>
      <c r="F3064" s="11" t="inlineStr">
        <is>
          <t>Azul</t>
        </is>
      </c>
      <c r="G3064" s="8" t="n">
        <v>0.05</v>
      </c>
      <c r="H3064" s="11" t="inlineStr">
        <is>
          <t>Duskmourn: House of Horror (DSK)</t>
        </is>
      </c>
      <c r="I3064" s="11" t="inlineStr">
        <is>
          <t>Não</t>
        </is>
      </c>
      <c r="J3064" s="11" t="n">
        <v>2024</v>
      </c>
      <c r="L3064" s="11" t="n">
        <v>1</v>
      </c>
      <c r="M3064" s="8">
        <f>L3064*G3064</f>
        <v/>
      </c>
      <c r="P3064" s="9" t="n"/>
    </row>
    <row r="3065">
      <c r="A3065" s="11" t="inlineStr">
        <is>
          <t>Artificer's Assistant / Assistente de Artesão</t>
        </is>
      </c>
      <c r="B3065" s="11" t="inlineStr">
        <is>
          <t>Creature — Bird / Criatura — Ave</t>
        </is>
      </c>
      <c r="C3065" s="11" t="inlineStr">
        <is>
          <t>Common / Comum</t>
        </is>
      </c>
      <c r="D3065" s="11" t="inlineStr">
        <is>
          <t>Flying Whenever you cast a historic spell, scry 1. (Artifacts, legendaries, and Sagas are historic. To scry 1, look at the top card of your library, then you may put that card on the bottom.) / Voar Toda vez que você conjurar uma mágica histórica, use vidência 1. (Os artefatos, os cards lendários e as Sagas são cards históricos. Para usar vidência 1, olhe o card do topo de seu grimório. Depois, você pode colocar aquele card no fundo de seu grimório.)</t>
        </is>
      </c>
      <c r="E3065" s="11" t="inlineStr">
        <is>
          <t>{U}</t>
        </is>
      </c>
      <c r="F3065" s="11" t="inlineStr">
        <is>
          <t>Azul</t>
        </is>
      </c>
      <c r="G3065" s="8" t="n">
        <v>0.03</v>
      </c>
      <c r="H3065" s="11" t="inlineStr">
        <is>
          <t>Dominaria (DOM)</t>
        </is>
      </c>
      <c r="I3065" s="11" t="inlineStr">
        <is>
          <t>Não</t>
        </is>
      </c>
      <c r="J3065" s="11" t="n">
        <v>2018</v>
      </c>
      <c r="K3065" s="10" t="n">
        <v>46023</v>
      </c>
      <c r="L3065" s="11" t="n">
        <v>1</v>
      </c>
      <c r="M3065" s="8">
        <f>L3065*G3065</f>
        <v/>
      </c>
      <c r="P3065" s="9" t="n"/>
    </row>
    <row r="3066">
      <c r="A3066" s="11" t="inlineStr">
        <is>
          <t>Trip Up</t>
        </is>
      </c>
      <c r="B3066" s="11" t="inlineStr">
        <is>
          <t>Instant</t>
        </is>
      </c>
      <c r="C3066" s="11" t="inlineStr">
        <is>
          <t>Common / Comum</t>
        </is>
      </c>
      <c r="D3066" s="11" t="inlineStr">
        <is>
          <t>Target nonland permanent's owner puts it on their choice of the top or bottom of their library. Cycling {2} ({2}, Discard this card: Draw a card.)</t>
        </is>
      </c>
      <c r="E3066" s="11" t="inlineStr">
        <is>
          <t>{3}{U}</t>
        </is>
      </c>
      <c r="F3066" s="11" t="inlineStr">
        <is>
          <t>Azul</t>
        </is>
      </c>
      <c r="G3066" s="8" t="n">
        <v>0.05</v>
      </c>
      <c r="H3066" s="11" t="inlineStr">
        <is>
          <t>Aetherdrift (DFT)</t>
        </is>
      </c>
      <c r="I3066" s="11" t="inlineStr">
        <is>
          <t>Não</t>
        </is>
      </c>
      <c r="J3066" s="11" t="n">
        <v>2025</v>
      </c>
      <c r="L3066" s="11" t="n">
        <v>1</v>
      </c>
      <c r="M3066" s="8">
        <f>L3066*G3066</f>
        <v/>
      </c>
      <c r="P3066" s="9" t="n"/>
    </row>
    <row r="3067">
      <c r="A3067" s="11" t="inlineStr">
        <is>
          <t>Imprisoned in the Moon / Aprisionados na Lua</t>
        </is>
      </c>
      <c r="B3067" s="11" t="inlineStr">
        <is>
          <t>Enchantment — Aura / Encantamento — Aura</t>
        </is>
      </c>
      <c r="C3067" s="11" t="inlineStr">
        <is>
          <t>Uncommon / Incomum</t>
        </is>
      </c>
      <c r="D3067" s="11" t="inlineStr">
        <is>
          <t>Enchant creature, land, or planeswalker Enchanted permanent is a colorless land with "{T}: Add {C}" and loses all other card types and abilities. / Encantar criatura, terreno ou planeswalker A permanente encantada é um terreno incolor com "{T}: Adicione {C} a sua reserva de mana" e perde todos os outros tipos de card e habilidades.</t>
        </is>
      </c>
      <c r="E3067" s="11" t="inlineStr">
        <is>
          <t>{2}{U}</t>
        </is>
      </c>
      <c r="F3067" s="11" t="inlineStr">
        <is>
          <t>Azul</t>
        </is>
      </c>
      <c r="G3067" s="8" t="n">
        <v>0.17</v>
      </c>
      <c r="H3067" s="11" t="inlineStr">
        <is>
          <t>Foundations (FDN)</t>
        </is>
      </c>
      <c r="I3067" s="11" t="inlineStr">
        <is>
          <t>Não</t>
        </is>
      </c>
      <c r="J3067" s="11" t="n">
        <v>2024</v>
      </c>
      <c r="L3067" s="11" t="n">
        <v>1</v>
      </c>
      <c r="M3067" s="8">
        <f>L3067*G3067</f>
        <v/>
      </c>
      <c r="P3067" s="9" t="n"/>
    </row>
    <row r="3068">
      <c r="A3068" s="11" t="inlineStr">
        <is>
          <t>Dewdrop Spy / Espiã da Gota de Orvalho</t>
        </is>
      </c>
      <c r="B3068" s="11" t="inlineStr">
        <is>
          <t>Creature — Faerie Rogue / Criatura — Fada Ladino</t>
        </is>
      </c>
      <c r="C3068" s="11" t="inlineStr">
        <is>
          <t>Common / Comum</t>
        </is>
      </c>
      <c r="D3068" s="11" t="inlineStr">
        <is>
          <t>Flash Flying When this creature enters, look at the top card of target player's library. / Lampejo Voar Quando Espiã da Gota de Orvalho entrar em jogo, olhe o card do topo do grimório do jogador alvo.</t>
        </is>
      </c>
      <c r="E3068" s="11" t="inlineStr">
        <is>
          <t>{1}{U}{U}</t>
        </is>
      </c>
      <c r="F3068" s="11" t="inlineStr">
        <is>
          <t>Azul</t>
        </is>
      </c>
      <c r="G3068" s="8" t="n">
        <v>0.05</v>
      </c>
      <c r="H3068" s="11" t="inlineStr">
        <is>
          <t>Morningtide (MOR)</t>
        </is>
      </c>
      <c r="I3068" s="11" t="inlineStr">
        <is>
          <t>Não</t>
        </is>
      </c>
      <c r="J3068" s="11" t="n">
        <v>2008</v>
      </c>
      <c r="K3068" s="10" t="n">
        <v>46055</v>
      </c>
      <c r="L3068" s="11" t="n">
        <v>1</v>
      </c>
      <c r="M3068" s="8">
        <f>L3068*G3068</f>
        <v/>
      </c>
      <c r="P3068" s="9" t="n"/>
    </row>
    <row r="3069">
      <c r="A3069" s="11" t="inlineStr">
        <is>
          <t>Cephalid Inkmage</t>
        </is>
      </c>
      <c r="B3069" s="11" t="inlineStr">
        <is>
          <t>Creature — Octopus Wizard</t>
        </is>
      </c>
      <c r="C3069" s="11" t="inlineStr">
        <is>
          <t>Uncommon / Incomum</t>
        </is>
      </c>
      <c r="D3069" s="11" t="inlineStr">
        <is>
          <t>When this creature enters, surveil 3. (Look at the top three cards of your library, then put any number of them into your graveyard and the rest on top of your library in any order.) Threshold — This creature can't be blocked as long as there are seven or more cards in your graveyard.</t>
        </is>
      </c>
      <c r="E3069" s="11" t="inlineStr">
        <is>
          <t>{2}{U}</t>
        </is>
      </c>
      <c r="F3069" s="11" t="inlineStr">
        <is>
          <t>Azul</t>
        </is>
      </c>
      <c r="G3069" s="8" t="n">
        <v>0.11</v>
      </c>
      <c r="H3069" s="11" t="inlineStr">
        <is>
          <t>Foundations (FDN)</t>
        </is>
      </c>
      <c r="I3069" s="11" t="inlineStr">
        <is>
          <t>Não</t>
        </is>
      </c>
      <c r="J3069" s="11" t="n">
        <v>2024</v>
      </c>
      <c r="K3069" s="10" t="n">
        <v>46055</v>
      </c>
      <c r="L3069" s="11" t="n">
        <v>1</v>
      </c>
      <c r="M3069" s="8">
        <f>L3069*G3069</f>
        <v/>
      </c>
      <c r="P3069" s="9" t="n"/>
    </row>
    <row r="3070">
      <c r="A3070" s="11" t="inlineStr">
        <is>
          <t>Bespoke Battlewagon / Vagão de Batalha Personalizado</t>
        </is>
      </c>
      <c r="B3070" s="11" t="inlineStr">
        <is>
          <t>Artifact — Vehicle / Artefato — Veículo</t>
        </is>
      </c>
      <c r="C3070" s="11" t="inlineStr">
        <is>
          <t>Uncommon / Incomum</t>
        </is>
      </c>
      <c r="D3070" s="11" t="inlineStr">
        <is>
          <t>{T}: You get {E}{E} (two energy counters). {T}, Pay {E}{E}: Tap target creature. {T}, Pay {E}{E}{E}: Draw a card. Pay {E}{E}{E}{E}: This Vehicle becomes an artifact creature until end of turn. Crew 4 / {T}: Você recebe {E}{E} (dois marcadores de energia). {T}, pague {E}{E}: Vire a criatura alvo. {T}, pague {E}{E}{E}: Compre um card. Pague {E}{E}{E}{E}: Vagão de Batalha Personalizado torna-se uma criatura artefato até o final do turno. Tripular 4</t>
        </is>
      </c>
      <c r="E3070" s="11" t="inlineStr">
        <is>
          <t>{3}{U}</t>
        </is>
      </c>
      <c r="F3070" s="11" t="inlineStr">
        <is>
          <t>Azul</t>
        </is>
      </c>
      <c r="G3070" s="8" t="n">
        <v>0.1</v>
      </c>
      <c r="H3070" s="11" t="inlineStr">
        <is>
          <t>Modern Horizons 3 (MH3)</t>
        </is>
      </c>
      <c r="I3070" s="11" t="inlineStr">
        <is>
          <t>Não</t>
        </is>
      </c>
      <c r="J3070" s="11" t="n">
        <v>2024</v>
      </c>
      <c r="K3070" s="10" t="n">
        <v>46178</v>
      </c>
      <c r="L3070" s="11" t="n">
        <v>1</v>
      </c>
      <c r="M3070" s="8">
        <f>L3070*G3070</f>
        <v/>
      </c>
      <c r="P3070" s="9" t="n"/>
    </row>
    <row r="3071">
      <c r="A3071" s="11" t="inlineStr">
        <is>
          <t>Domestication / Domesticação</t>
        </is>
      </c>
      <c r="B3071" s="11" t="inlineStr">
        <is>
          <t>Enchantment — Aura / Encantamento — Aura</t>
        </is>
      </c>
      <c r="C3071" s="11" t="inlineStr">
        <is>
          <t>Uncommon / Incomum</t>
        </is>
      </c>
      <c r="D3071" s="11" t="inlineStr">
        <is>
          <t>Enchant creature You control enchanted creature. At the beginning of your end step, if enchanted creature's power is 4 or greater, sacrifice this Aura. / Encantar criaturaVocê controla a criatura encantada.No início de sua etapa final, se o poder da criatura encantada for maior ou igual a 4, sacrifique Domesticação.</t>
        </is>
      </c>
      <c r="E3071" s="11" t="inlineStr">
        <is>
          <t>{2}{U}{U}</t>
        </is>
      </c>
      <c r="F3071" s="11" t="inlineStr">
        <is>
          <t>Azul</t>
        </is>
      </c>
      <c r="G3071" s="8" t="n">
        <v>0.1</v>
      </c>
      <c r="H3071" s="11" t="inlineStr">
        <is>
          <t>Double Masters 2022 (2X2)</t>
        </is>
      </c>
      <c r="I3071" s="11" t="inlineStr">
        <is>
          <t>Não</t>
        </is>
      </c>
      <c r="J3071" s="11" t="n">
        <v>2022</v>
      </c>
      <c r="L3071" s="11" t="n">
        <v>1</v>
      </c>
      <c r="M3071" s="8">
        <f>L3071*G3071</f>
        <v/>
      </c>
      <c r="P3071" s="9" t="n"/>
    </row>
    <row r="3072">
      <c r="A3072" s="11" t="inlineStr">
        <is>
          <t>Psionic Snoop / Bisbilhoteira Psiônica</t>
        </is>
      </c>
      <c r="B3072" s="11" t="inlineStr">
        <is>
          <t>Creature — Human Rogue / Criatura — Humano Ladino</t>
        </is>
      </c>
      <c r="C3072" s="11" t="inlineStr">
        <is>
          <t>Common / Comum</t>
        </is>
      </c>
      <c r="D3072" s="11" t="inlineStr">
        <is>
          <t>Flash When this creature enters, it connives. (Draw a card, then discard a card. If you discarded a nonland card, put a +1/+1 counter on this creature.) / Lampejo Quando Bisbilhoteira Psiônica entra no campo de batalha, ela acoberta. (Compre um card e depois descarte um card. Se você descartou um card não de terreno, coloque um marcador +1/+1 nesta criatura.)</t>
        </is>
      </c>
      <c r="E3072" s="11" t="inlineStr">
        <is>
          <t>{2}{U}</t>
        </is>
      </c>
      <c r="F3072" s="11" t="inlineStr">
        <is>
          <t>Azul</t>
        </is>
      </c>
      <c r="G3072" s="8" t="n">
        <v>0.04</v>
      </c>
      <c r="H3072" s="11" t="inlineStr">
        <is>
          <t>Streets of New Capenna (SNC)</t>
        </is>
      </c>
      <c r="I3072" s="11" t="inlineStr">
        <is>
          <t>Não</t>
        </is>
      </c>
      <c r="J3072" s="11" t="n">
        <v>2022</v>
      </c>
      <c r="K3072" s="11" t="inlineStr">
        <is>
          <t>0/3</t>
        </is>
      </c>
      <c r="L3072" s="11" t="n">
        <v>1</v>
      </c>
      <c r="M3072" s="8">
        <f>L3072*G3072</f>
        <v/>
      </c>
      <c r="P3072" s="9" t="n"/>
    </row>
    <row r="3073">
      <c r="A3073" s="11" t="inlineStr">
        <is>
          <t>Deep Analysis / Análise Profunda</t>
        </is>
      </c>
      <c r="B3073" s="11" t="inlineStr">
        <is>
          <t>Sorcery / Feitiço</t>
        </is>
      </c>
      <c r="C3073" s="11" t="inlineStr">
        <is>
          <t>Common / Comum</t>
        </is>
      </c>
      <c r="D3073" s="11"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3073" s="11" t="inlineStr">
        <is>
          <t>{3}{U}</t>
        </is>
      </c>
      <c r="F3073" s="11" t="inlineStr">
        <is>
          <t>Azul</t>
        </is>
      </c>
      <c r="G3073" s="8" t="n">
        <v>0.43</v>
      </c>
      <c r="H3073" s="11" t="inlineStr">
        <is>
          <t>Double Masters 2022 (2X2)</t>
        </is>
      </c>
      <c r="I3073" s="11" t="inlineStr">
        <is>
          <t>Não</t>
        </is>
      </c>
      <c r="J3073" s="11" t="n">
        <v>2022</v>
      </c>
      <c r="L3073" s="11" t="n">
        <v>1</v>
      </c>
      <c r="M3073" s="8">
        <f>L3073*G3073</f>
        <v/>
      </c>
      <c r="P3073" s="9" t="n"/>
    </row>
    <row r="3074">
      <c r="A3074" s="11" t="inlineStr">
        <is>
          <t>Replication Specialist / Especialista em Replicação</t>
        </is>
      </c>
      <c r="B3074" s="11" t="inlineStr">
        <is>
          <t>Creature — Moonfolk Artificer / Criatura — Cidadão-da-lua Artesão</t>
        </is>
      </c>
      <c r="C3074" s="11" t="inlineStr">
        <is>
          <t>Uncommon / Incomum</t>
        </is>
      </c>
      <c r="D3074" s="11" t="inlineStr">
        <is>
          <t>Flying Whenever a nontoken artifact you control enters, you may pay {1}{U}. If you do, create a token that's a copy of that artifact. / Voar Toda vez que um artefato não ficha entra no campo de batalha sob seu controle, você pode pagar {1}{U}. Se fizer isso, crie uma ficha que seja uma cópia daquele artefato.</t>
        </is>
      </c>
      <c r="E3074" s="11" t="inlineStr">
        <is>
          <t>{4}{U}</t>
        </is>
      </c>
      <c r="F3074" s="11" t="inlineStr">
        <is>
          <t>Azul</t>
        </is>
      </c>
      <c r="G3074" s="8" t="n">
        <v>0.1</v>
      </c>
      <c r="H3074" s="11" t="inlineStr">
        <is>
          <t>Kamigawa: Neon Dynasty (NEO)</t>
        </is>
      </c>
      <c r="I3074" s="11" t="inlineStr">
        <is>
          <t>Não</t>
        </is>
      </c>
      <c r="J3074" s="11" t="n">
        <v>2022</v>
      </c>
      <c r="K3074" s="10" t="n">
        <v>46115</v>
      </c>
      <c r="L3074" s="11" t="n">
        <v>1</v>
      </c>
      <c r="M3074" s="8">
        <f>L3074*G3074</f>
        <v/>
      </c>
      <c r="P3074" s="9" t="n"/>
    </row>
    <row r="3075">
      <c r="A3075" s="11" t="inlineStr">
        <is>
          <t>Astral Wingspan / Envergadura Astral</t>
        </is>
      </c>
      <c r="B3075" s="11" t="inlineStr">
        <is>
          <t>Enchantment — Aura / Encantamento — Aura</t>
        </is>
      </c>
      <c r="C3075" s="11" t="inlineStr">
        <is>
          <t>Uncommon / Incomum</t>
        </is>
      </c>
      <c r="D3075" s="11" t="inlineStr">
        <is>
          <t>Convoke (Your creatures can help cast this spell. Each creature you tap while casting this spell pays for {1} or one mana of that creature's color.) Enchant creature When this Aura enters, draw a card. Enchanted creature gets +2/+2 and has flying. / Convocar (Suas criaturas podem ajudar a conjurar esta mágica. Cada criatura que você vira ao conjurar esta mágica paga {1} ou um mana da cor daquela criatura.) Encantar criatura Quando Envergadura Astral entrar no campo de batalha, compre um card. A criatura encantada recebe +2/+2 e tem voar.</t>
        </is>
      </c>
      <c r="E3075" s="11" t="inlineStr">
        <is>
          <t>{4}{U}</t>
        </is>
      </c>
      <c r="F3075" s="11" t="inlineStr">
        <is>
          <t>Azul</t>
        </is>
      </c>
      <c r="G3075" s="8" t="n">
        <v>0.04</v>
      </c>
      <c r="H3075" s="11" t="inlineStr">
        <is>
          <t>March of the Machine (MOM)</t>
        </is>
      </c>
      <c r="I3075" s="11" t="inlineStr">
        <is>
          <t>Não</t>
        </is>
      </c>
      <c r="J3075" s="11" t="n">
        <v>2023</v>
      </c>
      <c r="L3075" s="11" t="n">
        <v>1</v>
      </c>
      <c r="M3075" s="8">
        <f>L3075*G3075</f>
        <v/>
      </c>
      <c r="P3075" s="9" t="n"/>
    </row>
    <row r="3076">
      <c r="A3076" s="11" t="inlineStr">
        <is>
          <t>Noose Constrictor / Constritor da Forca</t>
        </is>
      </c>
      <c r="B3076" s="11" t="inlineStr">
        <is>
          <t>Creature — Snake / Criatura — Cobra</t>
        </is>
      </c>
      <c r="C3076" s="11" t="inlineStr">
        <is>
          <t>Uncommon / Incomum</t>
        </is>
      </c>
      <c r="D3076" s="11" t="inlineStr">
        <is>
          <t>Reach Discard a card: This creature gets +1/+1 until end of turn. / Alcance Descarte um card: Constritor da Forca recebe +1/+1 até o final do turno.</t>
        </is>
      </c>
      <c r="E3076" s="11" t="inlineStr">
        <is>
          <t>{1}{G}</t>
        </is>
      </c>
      <c r="F3076" s="11" t="inlineStr">
        <is>
          <t>Verde</t>
        </is>
      </c>
      <c r="G3076" s="8" t="n">
        <v>0.15</v>
      </c>
      <c r="H3076" s="11" t="inlineStr">
        <is>
          <t>Innistrad Remastered (INR)</t>
        </is>
      </c>
      <c r="I3076" s="11" t="inlineStr">
        <is>
          <t>Não</t>
        </is>
      </c>
      <c r="J3076" s="11" t="n">
        <v>2025</v>
      </c>
      <c r="K3076" s="10" t="n">
        <v>46055</v>
      </c>
      <c r="L3076" s="11" t="n">
        <v>1</v>
      </c>
      <c r="M3076" s="8">
        <f>L3076*G3076</f>
        <v/>
      </c>
      <c r="P3076" s="9" t="n"/>
    </row>
    <row r="3077">
      <c r="A3077" s="11" t="inlineStr">
        <is>
          <t>Lull / Calmaria</t>
        </is>
      </c>
      <c r="B3077" s="11" t="inlineStr">
        <is>
          <t>Instant / Mágica Instantânea</t>
        </is>
      </c>
      <c r="C3077" s="11" t="inlineStr">
        <is>
          <t>Common / Comum</t>
        </is>
      </c>
      <c r="D3077" s="11" t="inlineStr">
        <is>
          <t>Prevent all combat damage that would be dealt this turn. Cycling {2} ({2}, Discard this card: Draw a card.) / Previna todo o dano de combate que seria causado neste turno. Reciclar {2} ({2}, descarte este card: Compre um card.)</t>
        </is>
      </c>
      <c r="E3077" s="11" t="inlineStr">
        <is>
          <t>{1}{G}</t>
        </is>
      </c>
      <c r="F3077" s="11" t="inlineStr">
        <is>
          <t>Verde</t>
        </is>
      </c>
      <c r="G3077" s="8" t="n">
        <v>0.15</v>
      </c>
      <c r="H3077" s="11" t="inlineStr">
        <is>
          <t>Dominaria Remastered (DMR)</t>
        </is>
      </c>
      <c r="I3077" s="11" t="inlineStr">
        <is>
          <t>Não</t>
        </is>
      </c>
      <c r="J3077" s="11" t="n">
        <v>2023</v>
      </c>
      <c r="L3077" s="11" t="n">
        <v>1</v>
      </c>
      <c r="M3077" s="8">
        <f>L3077*G3077</f>
        <v/>
      </c>
      <c r="P3077" s="9" t="n"/>
    </row>
    <row r="3078">
      <c r="A3078" s="11" t="inlineStr">
        <is>
          <t>Tough Cookie / Biscoito Durão</t>
        </is>
      </c>
      <c r="B3078" s="11" t="inlineStr">
        <is>
          <t>Artifact Creature — Food Golem / Criatura Artefato — Comida Golem</t>
        </is>
      </c>
      <c r="C3078" s="11" t="inlineStr">
        <is>
          <t>Uncommon / Incomum</t>
        </is>
      </c>
      <c r="D3078" s="11" t="inlineStr">
        <is>
          <t>When this creature enters, create a Food token. (It's an artifact with "{2}, {T}, Sacrifice this token: You gain 3 life.") {2}{G}: Until end of turn, target noncreature artifact you control becomes a 4/4 artifact creature. {2}, {T}, Sacrifice this creature: You gain 3 life. / Quando Biscoito Durão entrar no campo de batalha, crie uma ficha de Comida. (Ela é um artefato com "{2}, {T}, sacrifique este artefato: Você ganha 3 pontos de vida".) {2}{G}: O artefato não criatura alvo que você controla se torna uma criatura artefato 4/4 até o final do turno. {2}, {T}, sacrifique Biscoito Durão: Você ganha 3 pontos de vida.</t>
        </is>
      </c>
      <c r="E3078" s="11" t="inlineStr">
        <is>
          <t>{1}{G}</t>
        </is>
      </c>
      <c r="F3078" s="11" t="inlineStr">
        <is>
          <t>Verde</t>
        </is>
      </c>
      <c r="G3078" s="8" t="n">
        <v>0.2</v>
      </c>
      <c r="H3078" s="11" t="inlineStr">
        <is>
          <t>Wilds of Eldraine (WOE)</t>
        </is>
      </c>
      <c r="I3078" s="11" t="inlineStr">
        <is>
          <t>Não</t>
        </is>
      </c>
      <c r="J3078" s="11" t="n">
        <v>2023</v>
      </c>
      <c r="K3078" s="10" t="n">
        <v>46055</v>
      </c>
      <c r="L3078" s="11" t="n">
        <v>1</v>
      </c>
      <c r="M3078" s="8">
        <f>L3078*G3078</f>
        <v/>
      </c>
      <c r="P3078" s="9" t="n"/>
    </row>
    <row r="3079">
      <c r="A3079" s="11" t="inlineStr">
        <is>
          <t>Broken Wings / Asas Quebradas</t>
        </is>
      </c>
      <c r="B3079" s="11" t="inlineStr">
        <is>
          <t>Instant / Mágica Instantânea</t>
        </is>
      </c>
      <c r="C3079" s="11" t="inlineStr">
        <is>
          <t>Common / Comum</t>
        </is>
      </c>
      <c r="D3079" s="11" t="inlineStr">
        <is>
          <t>Destroy target artifact, enchantment, or creature with flying. / Destrua o artefato, o encantamento ou a criatura com voar alvo.</t>
        </is>
      </c>
      <c r="E3079" s="11" t="inlineStr">
        <is>
          <t>{2}{G}</t>
        </is>
      </c>
      <c r="F3079" s="11" t="inlineStr">
        <is>
          <t>Verde</t>
        </is>
      </c>
      <c r="G3079" s="8" t="n">
        <v>0.04</v>
      </c>
      <c r="H3079" s="11" t="inlineStr">
        <is>
          <t>Foundations (FDN)</t>
        </is>
      </c>
      <c r="I3079" s="11" t="inlineStr">
        <is>
          <t>Não</t>
        </is>
      </c>
      <c r="J3079" s="11" t="n">
        <v>2024</v>
      </c>
      <c r="L3079" s="11" t="n">
        <v>2</v>
      </c>
      <c r="M3079" s="8">
        <f>L3079*G3079</f>
        <v/>
      </c>
      <c r="P3079" s="9" t="n"/>
    </row>
    <row r="3080">
      <c r="A3080" s="11" t="inlineStr">
        <is>
          <t>Domesticated Hydra</t>
        </is>
      </c>
      <c r="B3080" s="11" t="inlineStr">
        <is>
          <t>Creature — Hydra</t>
        </is>
      </c>
      <c r="C3080" s="11" t="inlineStr">
        <is>
          <t>Uncommon / Incomum</t>
        </is>
      </c>
      <c r="D3080" s="11" t="inlineStr">
        <is>
          <t>{X}{G}{G}{G}: Monstrosity X. (If this creature isn't monstrous, put X +1/+1 counters on it and it becomes monstrous.) As long as this creature is monstrous, it has trample.</t>
        </is>
      </c>
      <c r="E3080" s="11" t="inlineStr">
        <is>
          <t>{2}{G}{G}</t>
        </is>
      </c>
      <c r="F3080" s="11" t="inlineStr">
        <is>
          <t>Verde</t>
        </is>
      </c>
      <c r="G3080" s="8" t="n">
        <v>0.2</v>
      </c>
      <c r="H3080" s="11" t="inlineStr">
        <is>
          <t>Jumpstart 2022 (J22)</t>
        </is>
      </c>
      <c r="I3080" s="11" t="inlineStr">
        <is>
          <t>Não</t>
        </is>
      </c>
      <c r="J3080" s="11" t="n">
        <v>2022</v>
      </c>
      <c r="K3080" s="10" t="n">
        <v>46084</v>
      </c>
      <c r="L3080" s="11" t="n">
        <v>1</v>
      </c>
      <c r="M3080" s="8">
        <f>L3080*G3080</f>
        <v/>
      </c>
      <c r="P3080" s="9" t="n"/>
    </row>
    <row r="3081">
      <c r="A3081" s="11" t="inlineStr">
        <is>
          <t>Silhana Wayfinder / Trilheiro Silhana</t>
        </is>
      </c>
      <c r="B3081" s="11" t="inlineStr">
        <is>
          <t>Creature — Elf Scout / Criatura — Elfo Batedor</t>
        </is>
      </c>
      <c r="C3081" s="11" t="inlineStr">
        <is>
          <t>Uncommon / Incomum</t>
        </is>
      </c>
      <c r="D3081" s="11" t="inlineStr">
        <is>
          <t>When this creature enters, look at the top four cards of your library. You may reveal a creature or land card from among them and put it on top of your library. Put the rest on the bottom of your library in a random order. / Quando Trilheiro Silhana entrar no campo de batalha, olhe os quatro cards do topo de seu grimório. Você pode revelar um card de criatura ou terreno dentre eles e colocá-lo no topo de seu grimório. Coloque o restante no fundo de seu grimório em ordem aleatória.</t>
        </is>
      </c>
      <c r="E3081" s="11" t="inlineStr">
        <is>
          <t>{1}{G}</t>
        </is>
      </c>
      <c r="F3081" s="11" t="inlineStr">
        <is>
          <t>Verde</t>
        </is>
      </c>
      <c r="G3081" s="8" t="n">
        <v>0.17</v>
      </c>
      <c r="H3081" s="11" t="inlineStr">
        <is>
          <t>Jumpstart (JMP)</t>
        </is>
      </c>
      <c r="I3081" s="11" t="inlineStr">
        <is>
          <t>Não</t>
        </is>
      </c>
      <c r="J3081" s="11" t="n">
        <v>2020</v>
      </c>
      <c r="K3081" s="10" t="n">
        <v>46024</v>
      </c>
      <c r="L3081" s="11" t="n">
        <v>1</v>
      </c>
      <c r="M3081" s="8">
        <f>L3081*G3081</f>
        <v/>
      </c>
      <c r="P3081" s="9" t="n"/>
    </row>
    <row r="3082">
      <c r="A3082" s="11" t="inlineStr">
        <is>
          <t>New Horizons / Novos Horizontes</t>
        </is>
      </c>
      <c r="B3082" s="11" t="inlineStr">
        <is>
          <t>Enchantment — Aura / Encantamento — Aura</t>
        </is>
      </c>
      <c r="C3082" s="11" t="inlineStr">
        <is>
          <t>Common / Comum</t>
        </is>
      </c>
      <c r="D3082" s="11" t="inlineStr">
        <is>
          <t>Enchant land When this Aura enters, put a +1/+1 counter on target creature you control. Enchanted land has "{T}: Add two mana of any one color." / Encantar terreno Quando Novos Horizontes entrar no campo de batalha, coloque um marcador +1/+1 na criatura alvo que você controla. O terreno encantando tem "{T}: Adicione dois manas de uma cor à sua escolha."</t>
        </is>
      </c>
      <c r="E3082" s="11" t="inlineStr">
        <is>
          <t>{2}{G}</t>
        </is>
      </c>
      <c r="F3082" s="11" t="inlineStr">
        <is>
          <t>Verde</t>
        </is>
      </c>
      <c r="G3082" s="8" t="n">
        <v>0.03</v>
      </c>
      <c r="H3082" s="11" t="inlineStr">
        <is>
          <t>War of the Spark (WAR)</t>
        </is>
      </c>
      <c r="I3082" s="11" t="inlineStr">
        <is>
          <t>Não</t>
        </is>
      </c>
      <c r="J3082" s="11" t="n">
        <v>2019</v>
      </c>
      <c r="L3082" s="11" t="n">
        <v>1</v>
      </c>
      <c r="M3082" s="8">
        <f>L3082*G3082</f>
        <v/>
      </c>
      <c r="P3082" s="9" t="n"/>
    </row>
    <row r="3083">
      <c r="A3083" s="11" t="inlineStr">
        <is>
          <t>Howler's Heavy</t>
        </is>
      </c>
      <c r="B3083" s="11" t="inlineStr">
        <is>
          <t>Creature — Seal Pirate</t>
        </is>
      </c>
      <c r="C3083" s="11" t="inlineStr">
        <is>
          <t>Common / Comum</t>
        </is>
      </c>
      <c r="D3083" s="11" t="inlineStr">
        <is>
          <t>Cycling {1}{U} ({1}{U}, Discard this card: Draw a card.) When you cycle this card, target creature or Vehicle an opponent controls gets -3/-0 until end of turn.</t>
        </is>
      </c>
      <c r="E3083" s="11" t="inlineStr">
        <is>
          <t>{3}{U}</t>
        </is>
      </c>
      <c r="F3083" s="11" t="inlineStr">
        <is>
          <t>Azul</t>
        </is>
      </c>
      <c r="G3083" s="8" t="n">
        <v>0.05</v>
      </c>
      <c r="H3083" s="11" t="inlineStr">
        <is>
          <t>Aetherdrift (DFT)</t>
        </is>
      </c>
      <c r="I3083" s="11" t="inlineStr">
        <is>
          <t>Não</t>
        </is>
      </c>
      <c r="J3083" s="11" t="n">
        <v>2025</v>
      </c>
      <c r="K3083" s="10" t="n">
        <v>46115</v>
      </c>
      <c r="L3083" s="11" t="n">
        <v>1</v>
      </c>
      <c r="M3083" s="8">
        <f>L3083*G3083</f>
        <v/>
      </c>
      <c r="P3083" s="9" t="n"/>
    </row>
    <row r="3084">
      <c r="A3084" s="11" t="inlineStr">
        <is>
          <t>Thought Shucker</t>
        </is>
      </c>
      <c r="B3084" s="11" t="inlineStr">
        <is>
          <t>Creature — Rat Rogue</t>
        </is>
      </c>
      <c r="C3084" s="11" t="inlineStr">
        <is>
          <t>Common / Comum</t>
        </is>
      </c>
      <c r="D3084" s="11" t="inlineStr">
        <is>
          <t>Threshold — {1}{U}: Put a +1/+1 counter on this creature and draw a card. Activate only if there are seven or more cards in your graveyard and only once.</t>
        </is>
      </c>
      <c r="E3084" s="11" t="inlineStr">
        <is>
          <t>{1}{U}</t>
        </is>
      </c>
      <c r="F3084" s="11" t="inlineStr">
        <is>
          <t>Azul</t>
        </is>
      </c>
      <c r="G3084" s="8" t="n">
        <v>0.06</v>
      </c>
      <c r="H3084" s="11" t="inlineStr">
        <is>
          <t>Bloomburrow (BLB)</t>
        </is>
      </c>
      <c r="I3084" s="11" t="inlineStr">
        <is>
          <t>Não</t>
        </is>
      </c>
      <c r="J3084" s="11" t="n">
        <v>2024</v>
      </c>
      <c r="K3084" s="10" t="n">
        <v>46082</v>
      </c>
      <c r="L3084" s="11" t="n">
        <v>1</v>
      </c>
      <c r="M3084" s="8">
        <f>L3084*G3084</f>
        <v/>
      </c>
      <c r="P3084" s="9" t="n"/>
    </row>
    <row r="3085">
      <c r="A3085" s="11" t="inlineStr">
        <is>
          <t>Thought Scour / Purgar Pensamento</t>
        </is>
      </c>
      <c r="B3085" s="11" t="inlineStr">
        <is>
          <t>Instant / Mágica Instantânea</t>
        </is>
      </c>
      <c r="C3085" s="11" t="inlineStr">
        <is>
          <t>Common / Comum</t>
        </is>
      </c>
      <c r="D3085" s="11" t="inlineStr">
        <is>
          <t>Target player mills two cards. Draw a card. / O jogador alvo coloca os dois cards do topo do grimório dele no próprio cemitério. Compre um card.</t>
        </is>
      </c>
      <c r="E3085" s="11" t="inlineStr">
        <is>
          <t>{U}</t>
        </is>
      </c>
      <c r="F3085" s="11" t="inlineStr">
        <is>
          <t>Azul</t>
        </is>
      </c>
      <c r="G3085" s="8" t="n">
        <v>3.9</v>
      </c>
      <c r="H3085" s="11" t="inlineStr">
        <is>
          <t>Double Masters 2022 (2X2)</t>
        </is>
      </c>
      <c r="I3085" s="11" t="inlineStr">
        <is>
          <t>Não</t>
        </is>
      </c>
      <c r="J3085" s="11" t="n">
        <v>2022</v>
      </c>
      <c r="L3085" s="11" t="n">
        <v>1</v>
      </c>
      <c r="M3085" s="8">
        <f>L3085*G3085</f>
        <v/>
      </c>
      <c r="N3085" s="11" t="inlineStr">
        <is>
          <t>Pasta</t>
        </is>
      </c>
      <c r="P3085" s="9" t="n"/>
    </row>
    <row r="3086">
      <c r="A3086" s="11" t="inlineStr">
        <is>
          <t>Deepmuck Desperado / Desperado de Lamafunda</t>
        </is>
      </c>
      <c r="B3086" s="11" t="inlineStr">
        <is>
          <t>Creature — Homarid Mercenary / Criatura — Homárida Mercenário</t>
        </is>
      </c>
      <c r="C3086" s="11" t="inlineStr">
        <is>
          <t>Uncommon / Incomum</t>
        </is>
      </c>
      <c r="D3086" s="11" t="inlineStr">
        <is>
          <t>Whenever you commit a crime, each opponent mills three cards. This ability triggers only once each turn. (Targeting opponents, anything they control, and/or cards in their graveyards is a crime.) / Toda vez que você comete um crime, cada oponente tritura três cards. Esta habilidade é desencadeada apenas uma vez a cada turno. (Escolher como alvo oponentes, qualquer coisa que eles controlem e/ou cards no cemitério deles é um crime.)</t>
        </is>
      </c>
      <c r="E3086" s="11" t="inlineStr">
        <is>
          <t>{2}{U}</t>
        </is>
      </c>
      <c r="F3086" s="11" t="inlineStr">
        <is>
          <t>Azul</t>
        </is>
      </c>
      <c r="G3086" s="8" t="n">
        <v>0.09</v>
      </c>
      <c r="H3086" s="11" t="inlineStr">
        <is>
          <t>Outlaws of Thunder Junction (OTJ)</t>
        </is>
      </c>
      <c r="I3086" s="11" t="inlineStr">
        <is>
          <t>Não</t>
        </is>
      </c>
      <c r="J3086" s="11" t="n">
        <v>2024</v>
      </c>
      <c r="K3086" s="10" t="n">
        <v>46114</v>
      </c>
      <c r="L3086" s="11" t="n">
        <v>1</v>
      </c>
      <c r="M3086" s="8">
        <f>L3086*G3086</f>
        <v/>
      </c>
      <c r="P3086" s="9" t="n"/>
    </row>
    <row r="3087">
      <c r="A3087" s="11" t="inlineStr">
        <is>
          <t>Death-Rattle Oni / Oni dos Estertores</t>
        </is>
      </c>
      <c r="B3087" s="11" t="inlineStr">
        <is>
          <t>Creature — Demon Spirit / Criatura — Demônio Espírito</t>
        </is>
      </c>
      <c r="C3087" s="11" t="inlineStr">
        <is>
          <t>Uncommon / Incomum</t>
        </is>
      </c>
      <c r="D3087" s="11" t="inlineStr">
        <is>
          <t>Flash This spell costs {2} less to cast for each creature that died this turn. When this creature enters, destroy all other creatures that were dealt damage this turn. / Lampejo Esta mágica custa {2} a menos para ser conjurada para cada criatura que morreu neste turno. Quando Oni dos Estertores entrar no campo de batalha, destrua todas as outras criaturas que sofreram dano neste turno.</t>
        </is>
      </c>
      <c r="E3087" s="11" t="inlineStr">
        <is>
          <t>{6}{B}</t>
        </is>
      </c>
      <c r="F3087" s="11" t="inlineStr">
        <is>
          <t>Preto</t>
        </is>
      </c>
      <c r="G3087" s="8" t="n">
        <v>1.5</v>
      </c>
      <c r="H3087" s="11" t="inlineStr">
        <is>
          <t>March of the Machine: The Aftermath (MAT)</t>
        </is>
      </c>
      <c r="I3087" s="11" t="inlineStr">
        <is>
          <t>Sim</t>
        </is>
      </c>
      <c r="J3087" s="11" t="n">
        <v>2023</v>
      </c>
      <c r="K3087" s="10" t="n">
        <v>46117</v>
      </c>
      <c r="L3087" s="11" t="n">
        <v>1</v>
      </c>
      <c r="M3087" s="8">
        <f>L3087*G3087</f>
        <v/>
      </c>
      <c r="P3087" s="9" t="n"/>
    </row>
    <row r="3088">
      <c r="A3088" s="11" t="inlineStr">
        <is>
          <t>Eliminate / Sumir</t>
        </is>
      </c>
      <c r="B3088" s="11" t="inlineStr">
        <is>
          <t>Instant / Mágica Instantânea</t>
        </is>
      </c>
      <c r="C3088" s="11" t="inlineStr">
        <is>
          <t>Uncommon / Incomum</t>
        </is>
      </c>
      <c r="D3088" s="11" t="inlineStr">
        <is>
          <t>Destroy target creature or planeswalker with mana value 3 or less. / Destrua a criatura ou o planeswalker alvo com custo de mana convertido igual ou inferior a 3.</t>
        </is>
      </c>
      <c r="E3088" s="11" t="inlineStr">
        <is>
          <t>{1}{B}</t>
        </is>
      </c>
      <c r="F3088" s="11" t="inlineStr">
        <is>
          <t>Preto</t>
        </is>
      </c>
      <c r="G3088" s="8" t="n">
        <v>0.72</v>
      </c>
      <c r="H3088" s="11" t="inlineStr">
        <is>
          <t>Core Set 2021 (M21)</t>
        </is>
      </c>
      <c r="I3088" s="11" t="inlineStr">
        <is>
          <t>Sim</t>
        </is>
      </c>
      <c r="J3088" s="11" t="n">
        <v>2020</v>
      </c>
      <c r="L3088" s="11" t="n">
        <v>1</v>
      </c>
      <c r="M3088" s="8">
        <f>L3088*G3088</f>
        <v/>
      </c>
      <c r="P3088" s="9" t="n"/>
    </row>
    <row r="3089">
      <c r="A3089" s="11" t="inlineStr">
        <is>
          <t>Downwind Ambusher</t>
        </is>
      </c>
      <c r="B3089" s="11" t="inlineStr">
        <is>
          <t>Creature — Skunk Assassin</t>
        </is>
      </c>
      <c r="C3089" s="11" t="inlineStr">
        <is>
          <t>Uncommon / Incomum</t>
        </is>
      </c>
      <c r="D3089" s="11" t="inlineStr">
        <is>
          <t>Flash When this creature enters, choose one — • Target creature an opponent controls gets -1/-1 until end of turn. • Destroy target creature an opponent controls that was dealt damage this turn.</t>
        </is>
      </c>
      <c r="E3089" s="11" t="inlineStr">
        <is>
          <t>{3}{B}</t>
        </is>
      </c>
      <c r="F3089" s="11" t="inlineStr">
        <is>
          <t>Preto</t>
        </is>
      </c>
      <c r="G3089" s="8" t="n">
        <v>0.09</v>
      </c>
      <c r="H3089" s="11" t="inlineStr">
        <is>
          <t>Bloomburrow (BLB)</t>
        </is>
      </c>
      <c r="I3089" s="11" t="inlineStr">
        <is>
          <t>Não</t>
        </is>
      </c>
      <c r="J3089" s="11" t="n">
        <v>2024</v>
      </c>
      <c r="K3089" s="10" t="n">
        <v>46057</v>
      </c>
      <c r="L3089" s="11" t="n">
        <v>1</v>
      </c>
      <c r="M3089" s="8">
        <f>L3089*G3089</f>
        <v/>
      </c>
      <c r="P3089" s="9" t="n"/>
    </row>
    <row r="3090">
      <c r="A3090" s="11" t="inlineStr">
        <is>
          <t>Broodrage Mycoid / Micoide da Prole Furiosa</t>
        </is>
      </c>
      <c r="B3090" s="11" t="inlineStr">
        <is>
          <t>Creature — Fungus / Criatura — Fungo</t>
        </is>
      </c>
      <c r="C3090" s="11" t="inlineStr">
        <is>
          <t>Common / Comum</t>
        </is>
      </c>
      <c r="D3090" s="11" t="inlineStr">
        <is>
          <t>At the beginning of your end step, if you descended this turn, create a 1/1 black Fungus creature token with "This token can't block." (You descended if a permanent card was put into your graveyard from anywhere.) / No início de sua etapa final, se você tiver descido neste turno, crie uma ficha de criatura Fungo preta 1/1 com "Esta criatura não pode bloquear". (Você desceu se um card de permanente foi colocado em seu cemitério vindo de qualquer lugar.)</t>
        </is>
      </c>
      <c r="E3090" s="11" t="inlineStr">
        <is>
          <t>{3}{B}</t>
        </is>
      </c>
      <c r="F3090" s="11" t="inlineStr">
        <is>
          <t>Preto</t>
        </is>
      </c>
      <c r="G3090" s="8" t="n">
        <v>0.1</v>
      </c>
      <c r="H3090" s="11" t="inlineStr">
        <is>
          <t>The Lost Caverns of Ixalan (LCI)</t>
        </is>
      </c>
      <c r="I3090" s="11" t="inlineStr">
        <is>
          <t>Não</t>
        </is>
      </c>
      <c r="J3090" s="11" t="n">
        <v>2023</v>
      </c>
      <c r="K3090" s="10" t="n">
        <v>46085</v>
      </c>
      <c r="L3090" s="11" t="n">
        <v>1</v>
      </c>
      <c r="M3090" s="8">
        <f>L3090*G3090</f>
        <v/>
      </c>
      <c r="P3090" s="9" t="n"/>
    </row>
    <row r="3091">
      <c r="A3091" s="11" t="inlineStr">
        <is>
          <t>Zhentarim Bandit / Bandido Zentharim</t>
        </is>
      </c>
      <c r="B3091" s="11" t="inlineStr">
        <is>
          <t>Creature — Halfling Rogue / Criatura — Pequenino Ladino</t>
        </is>
      </c>
      <c r="C3091" s="11" t="inlineStr">
        <is>
          <t>Common / Comum</t>
        </is>
      </c>
      <c r="D3091" s="11" t="inlineStr">
        <is>
          <t>Whenever this creature attacks, you may pay 1 life. If you do, create a Treasure token. (It's an artifact with "{T}, Sacrifice this token: Add one mana of any color.") / Toda vez que Bandido Zentharim ataca, você pode pagar 1 ponto de vida. Se fizer isso, crie uma ficha de Tesouro. (Ela é um artefato com "{T}, sacrifique este artefato: Adicione um mana de qualquer cor".)</t>
        </is>
      </c>
      <c r="E3091" s="11" t="inlineStr">
        <is>
          <t>{1}{B}</t>
        </is>
      </c>
      <c r="F3091" s="11" t="inlineStr">
        <is>
          <t>Preto</t>
        </is>
      </c>
      <c r="G3091" s="8" t="n">
        <v>0.09</v>
      </c>
      <c r="H3091" s="11" t="inlineStr">
        <is>
          <t>Commander Legends: Battle for Baldur's Gate (CLB)</t>
        </is>
      </c>
      <c r="I3091" s="11" t="inlineStr">
        <is>
          <t>Não</t>
        </is>
      </c>
      <c r="J3091" s="11" t="n">
        <v>2022</v>
      </c>
      <c r="K3091" s="10" t="n">
        <v>46024</v>
      </c>
      <c r="L3091" s="11" t="n">
        <v>1</v>
      </c>
      <c r="M3091" s="8">
        <f>L3091*G3091</f>
        <v/>
      </c>
      <c r="P3091" s="9" t="n"/>
    </row>
    <row r="3092">
      <c r="A3092" s="11" t="inlineStr">
        <is>
          <t>Bloodflow Connoisseur / Connoisseur do Fluxo Sanguíneo</t>
        </is>
      </c>
      <c r="B3092" s="11" t="inlineStr">
        <is>
          <t>Creature — Vampire / Criatura — Vampiro</t>
        </is>
      </c>
      <c r="C3092" s="11" t="inlineStr">
        <is>
          <t>Common / Comum</t>
        </is>
      </c>
      <c r="D3092" s="11" t="inlineStr">
        <is>
          <t>Sacrifice a creature: Put a +1/+1 counter on this creature. / Sacrifique uma criatura: Coloque um marcador +1/+1 sobre Connoisseur do Fluxo Sanguíneo.</t>
        </is>
      </c>
      <c r="E3092" s="11" t="inlineStr">
        <is>
          <t>{2}{B}</t>
        </is>
      </c>
      <c r="F3092" s="11" t="inlineStr">
        <is>
          <t>Preto</t>
        </is>
      </c>
      <c r="G3092" s="8" t="n">
        <v>0.13</v>
      </c>
      <c r="H3092" s="11" t="inlineStr">
        <is>
          <t>Double Masters 2022 (2X2)</t>
        </is>
      </c>
      <c r="I3092" s="11" t="inlineStr">
        <is>
          <t>Não</t>
        </is>
      </c>
      <c r="J3092" s="11" t="n">
        <v>2022</v>
      </c>
      <c r="K3092" s="10" t="n">
        <v>46023</v>
      </c>
      <c r="L3092" s="11" t="n">
        <v>1</v>
      </c>
      <c r="M3092" s="8">
        <f>L3092*G3092</f>
        <v/>
      </c>
      <c r="P3092" s="9" t="n"/>
    </row>
    <row r="3093">
      <c r="A3093" s="11" t="inlineStr">
        <is>
          <t>Sadistic Obsession / Obsessão Sádica</t>
        </is>
      </c>
      <c r="B3093" s="11" t="inlineStr">
        <is>
          <t>Enchantment — Aura / Encantamento — Aura</t>
        </is>
      </c>
      <c r="C3093" s="11" t="inlineStr">
        <is>
          <t>Uncommon / Incomum</t>
        </is>
      </c>
      <c r="D3093" s="11" t="inlineStr">
        <is>
          <t>Enchant creature Enchanted creature has "{B}, {T}: Put a -1/-1 counter on target creature." / Encantar criatura A criatura encantada tem "{B}, {T}: Coloque um marcador -1/-1 na criatura alvo."</t>
        </is>
      </c>
      <c r="E3093" s="11" t="inlineStr">
        <is>
          <t>{3}{B}</t>
        </is>
      </c>
      <c r="F3093" s="11" t="inlineStr">
        <is>
          <t>Preto</t>
        </is>
      </c>
      <c r="G3093" s="8" t="n">
        <v>0.06</v>
      </c>
      <c r="H3093" s="11" t="inlineStr">
        <is>
          <t>Modern Horizons (MH1)</t>
        </is>
      </c>
      <c r="I3093" s="11" t="inlineStr">
        <is>
          <t>Não</t>
        </is>
      </c>
      <c r="J3093" s="11" t="n">
        <v>2019</v>
      </c>
      <c r="L3093" s="11" t="n">
        <v>1</v>
      </c>
      <c r="M3093" s="8">
        <f>L3093*G3093</f>
        <v/>
      </c>
      <c r="P3093" s="9" t="n"/>
    </row>
    <row r="3094">
      <c r="A3094" s="11" t="inlineStr">
        <is>
          <t>Dregscape Sliver / Fractius do Vale das Escórias</t>
        </is>
      </c>
      <c r="B3094" s="11" t="inlineStr">
        <is>
          <t>Creature — Sliver / Criatura — Fractius</t>
        </is>
      </c>
      <c r="C3094" s="11" t="inlineStr">
        <is>
          <t>Uncommon / Incomum</t>
        </is>
      </c>
      <c r="D3094" s="11" t="inlineStr">
        <is>
          <t>Each Sliver creature card in your graveyard has unearth {2}. Unearth {2} ({2}: Return this card from your graveyard to the battlefield. It gains haste. Exile it at the beginning of the next end step or if it would leave the battlefield. Unearth only as a sorcery.) / Cada card de criatura do tipo Fractius em seu cemitério tem desenterrar {2}. Desenterrar {2} ({2}: Devolva este card de seu cemitério para o campo de batalha. Ele ganha ímpeto. Exile-o no início da próxima etapa final ou se ele for deixar o campo de batalha. Use desenterrar somente como um feitiço.)</t>
        </is>
      </c>
      <c r="E3094" s="11" t="inlineStr">
        <is>
          <t>{1}{B}</t>
        </is>
      </c>
      <c r="F3094" s="11" t="inlineStr">
        <is>
          <t>Preto</t>
        </is>
      </c>
      <c r="G3094" s="8" t="n">
        <v>0.05</v>
      </c>
      <c r="H3094" s="11" t="inlineStr">
        <is>
          <t>Modern Horizons (MH1)</t>
        </is>
      </c>
      <c r="I3094" s="11" t="inlineStr">
        <is>
          <t>Não</t>
        </is>
      </c>
      <c r="J3094" s="11" t="n">
        <v>2019</v>
      </c>
      <c r="K3094" s="10" t="n">
        <v>46055</v>
      </c>
      <c r="L3094" s="11" t="n">
        <v>3</v>
      </c>
      <c r="M3094" s="8">
        <f>L3094*G3094</f>
        <v/>
      </c>
      <c r="P3094" s="9" t="n"/>
    </row>
    <row r="3095">
      <c r="A3095" s="11" t="inlineStr">
        <is>
          <t>Graveshifter / Tumbamorfo</t>
        </is>
      </c>
      <c r="B3095" s="11" t="inlineStr">
        <is>
          <t>Creature — Shapeshifter / Criatura — Metamorfo</t>
        </is>
      </c>
      <c r="C3095" s="11" t="inlineStr">
        <is>
          <t>Uncommon / Incomum</t>
        </is>
      </c>
      <c r="D3095" s="11" t="inlineStr">
        <is>
          <t>Changeling (This card is every creature type.) When this creature enters, you may return target creature card from your graveyard to your hand. / Morfoloide (Este card é de todos os tipos de criatura.) Quando Tumbamorfo entra no campo de batalha, você pode devolver o card de criatura alvo de seu cemitério para sua mão.</t>
        </is>
      </c>
      <c r="E3095" s="11" t="inlineStr">
        <is>
          <t>{3}{B}</t>
        </is>
      </c>
      <c r="F3095" s="11" t="inlineStr">
        <is>
          <t>Preto</t>
        </is>
      </c>
      <c r="G3095" s="8" t="n">
        <v>0.13</v>
      </c>
      <c r="H3095" s="11" t="inlineStr">
        <is>
          <t>Modern Horizons (MH1)</t>
        </is>
      </c>
      <c r="I3095" s="11" t="inlineStr">
        <is>
          <t>Não</t>
        </is>
      </c>
      <c r="J3095" s="11" t="n">
        <v>2019</v>
      </c>
      <c r="K3095" s="10" t="n">
        <v>46055</v>
      </c>
      <c r="L3095" s="11" t="n">
        <v>3</v>
      </c>
      <c r="M3095" s="8">
        <f>L3095*G3095</f>
        <v/>
      </c>
      <c r="P3095" s="9" t="n"/>
    </row>
    <row r="3096">
      <c r="A3096" s="11" t="inlineStr">
        <is>
          <t>Smiting Helix / Hélice Fulminante</t>
        </is>
      </c>
      <c r="B3096" s="11" t="inlineStr">
        <is>
          <t>Sorcery / Feitiço</t>
        </is>
      </c>
      <c r="C3096" s="11" t="inlineStr">
        <is>
          <t>Uncommon / Incomum</t>
        </is>
      </c>
      <c r="D3096" s="11" t="inlineStr">
        <is>
          <t>Smiting Helix deals 3 damage to any target and you gain 3 life. Flashback {R}{W} (You may cast this card from your graveyard for its flashback cost. Then exile it.) / Hélice Fulminante causa 3 pontos de dano a qualquer alvo e você ganha 3 pontos de vida. Recapitular {R}{W} (Você pode conjurar este card de seu cemitério pagando seu custo de recapitular. Depois, exile-o.)</t>
        </is>
      </c>
      <c r="E3096" s="11" t="inlineStr">
        <is>
          <t>{3}{B}</t>
        </is>
      </c>
      <c r="F3096" s="11" t="inlineStr">
        <is>
          <t>Preto</t>
        </is>
      </c>
      <c r="G3096" s="8" t="n">
        <v>0.05</v>
      </c>
      <c r="H3096" s="11" t="inlineStr">
        <is>
          <t>Modern Horizons (MH1)</t>
        </is>
      </c>
      <c r="I3096" s="11" t="inlineStr">
        <is>
          <t>Não</t>
        </is>
      </c>
      <c r="J3096" s="11" t="n">
        <v>2019</v>
      </c>
      <c r="L3096" s="11" t="n">
        <v>2</v>
      </c>
      <c r="M3096" s="8">
        <f>L3096*G3096</f>
        <v/>
      </c>
      <c r="P3096" s="9" t="n"/>
    </row>
    <row r="3097">
      <c r="A3097" s="11" t="inlineStr">
        <is>
          <t>Lich's Mastery / Maestria do Lich</t>
        </is>
      </c>
      <c r="B3097" s="11" t="inlineStr">
        <is>
          <t>Legendary Enchantment / Encantamento Lendário</t>
        </is>
      </c>
      <c r="C3097" s="11" t="inlineStr">
        <is>
          <t>Rare / Rara</t>
        </is>
      </c>
      <c r="D3097" s="11" t="inlineStr">
        <is>
          <t>Hexproof You can't lose the game. Whenever you gain life, draw that many cards. Whenever you lose life, for each 1 life you lost, exile a permanent you control or a card from your hand or graveyard. When Lich's Mastery leaves the battlefield, you lose the game. / Resistência a magia Você não pode perder o jogo. Toda vez que ganhar pontos de vida, compre a mesma quantidade de cards. Toda vez que você perder pontos de vida, para cada 1 ponto de vida perdido, exile uma permanente que você controla ou um card de sua mão ou de seu cemitério. Quando Maestria do Lich deixa o campo de batalha, você perde o jogo.</t>
        </is>
      </c>
      <c r="E3097" s="11" t="inlineStr">
        <is>
          <t>{3}{B}{B}{B}</t>
        </is>
      </c>
      <c r="F3097" s="11" t="inlineStr">
        <is>
          <t>Preto</t>
        </is>
      </c>
      <c r="G3097" s="8" t="n">
        <v>0.34</v>
      </c>
      <c r="H3097" s="11" t="inlineStr">
        <is>
          <t>Dominaria (DOM)</t>
        </is>
      </c>
      <c r="I3097" s="11" t="inlineStr">
        <is>
          <t>Não</t>
        </is>
      </c>
      <c r="J3097" s="11" t="n">
        <v>2018</v>
      </c>
      <c r="L3097" s="11" t="n">
        <v>1</v>
      </c>
      <c r="M3097" s="8">
        <f>L3097*G3097</f>
        <v/>
      </c>
      <c r="P3097" s="9" t="n"/>
    </row>
    <row r="3098">
      <c r="A3098" s="11" t="inlineStr">
        <is>
          <t>Demonic Junker</t>
        </is>
      </c>
      <c r="B3098" s="11" t="inlineStr">
        <is>
          <t>Artifact — Vehicle</t>
        </is>
      </c>
      <c r="C3098" s="11" t="inlineStr">
        <is>
          <t>Rare / Rara</t>
        </is>
      </c>
      <c r="D3098" s="11" t="inlineStr">
        <is>
          <t>Affinity for artifacts (This spell costs {1} less to cast for each artifact you control.) When this Vehicle enters, for each player, destroy up to one target creature that player controls. If a creature you controlled was destroyed this way, put two +1/+1 counters on this Vehicle. Crew 2</t>
        </is>
      </c>
      <c r="E3098" s="11" t="inlineStr">
        <is>
          <t>{6}{B}</t>
        </is>
      </c>
      <c r="F3098" s="11" t="inlineStr">
        <is>
          <t>Preto</t>
        </is>
      </c>
      <c r="G3098" s="8" t="n">
        <v>1.8</v>
      </c>
      <c r="H3098" s="11" t="inlineStr">
        <is>
          <t>Aetherdrift (DFT)</t>
        </is>
      </c>
      <c r="I3098" s="11" t="inlineStr">
        <is>
          <t>Não</t>
        </is>
      </c>
      <c r="J3098" s="11" t="n">
        <v>2025</v>
      </c>
      <c r="K3098" s="10" t="n">
        <v>46085</v>
      </c>
      <c r="L3098" s="11" t="n">
        <v>1</v>
      </c>
      <c r="M3098" s="8">
        <f>L3098*G3098</f>
        <v/>
      </c>
      <c r="N3098" s="11" t="inlineStr">
        <is>
          <t>Pasta</t>
        </is>
      </c>
      <c r="P3098" s="9" t="n"/>
    </row>
    <row r="3099">
      <c r="A3099" s="11" t="inlineStr">
        <is>
          <t>Murder / Homicídio</t>
        </is>
      </c>
      <c r="B3099" s="11" t="inlineStr">
        <is>
          <t>Instant / Mágica Instantânea</t>
        </is>
      </c>
      <c r="C3099" s="11" t="inlineStr">
        <is>
          <t>Common / Comum</t>
        </is>
      </c>
      <c r="D3099" s="11" t="inlineStr">
        <is>
          <t>Destroy target creature. / Destrua a criatura alvo.</t>
        </is>
      </c>
      <c r="E3099" s="11" t="inlineStr">
        <is>
          <t>{1}{B}{B}</t>
        </is>
      </c>
      <c r="F3099" s="11" t="inlineStr">
        <is>
          <t>Preto</t>
        </is>
      </c>
      <c r="G3099" s="8" t="n">
        <v>0.05</v>
      </c>
      <c r="H3099" s="11" t="inlineStr">
        <is>
          <t>Duskmourn: House of Horror (DSK)</t>
        </is>
      </c>
      <c r="I3099" s="11" t="inlineStr">
        <is>
          <t>Não</t>
        </is>
      </c>
      <c r="J3099" s="11" t="n">
        <v>2024</v>
      </c>
      <c r="L3099" s="11" t="n">
        <v>1</v>
      </c>
      <c r="M3099" s="8">
        <f>L3099*G3099</f>
        <v/>
      </c>
      <c r="P3099" s="9" t="n"/>
    </row>
    <row r="3100">
      <c r="A3100" s="11" t="inlineStr">
        <is>
          <t>Consumed by Greed</t>
        </is>
      </c>
      <c r="B3100" s="11" t="inlineStr">
        <is>
          <t>Instant</t>
        </is>
      </c>
      <c r="C3100" s="11" t="inlineStr">
        <is>
          <t>Uncommon / Incomum</t>
        </is>
      </c>
      <c r="D3100" s="11" t="inlineStr">
        <is>
          <t>Gift a card (You may promise an opponent a gift as you cast this spell. If you do, they draw a card before its other effects.) Target opponent sacrifices a creature with the greatest power among creatures they control. If the gift was promised, return target creature card from your graveyard to your hand.</t>
        </is>
      </c>
      <c r="E3100" s="11" t="inlineStr">
        <is>
          <t>{1}{B}{B}</t>
        </is>
      </c>
      <c r="F3100" s="11" t="inlineStr">
        <is>
          <t>Preto</t>
        </is>
      </c>
      <c r="G3100" s="8" t="n">
        <v>0.21</v>
      </c>
      <c r="H3100" s="11" t="inlineStr">
        <is>
          <t>Bloomburrow (BLB)</t>
        </is>
      </c>
      <c r="I3100" s="11" t="inlineStr">
        <is>
          <t>Não</t>
        </is>
      </c>
      <c r="J3100" s="11" t="n">
        <v>2024</v>
      </c>
      <c r="L3100" s="11" t="n">
        <v>1</v>
      </c>
      <c r="M3100" s="8">
        <f>L3100*G3100</f>
        <v/>
      </c>
      <c r="P3100" s="9" t="n"/>
    </row>
    <row r="3101">
      <c r="A3101" s="11" t="inlineStr">
        <is>
          <t>Grim Javelineer</t>
        </is>
      </c>
      <c r="B3101" s="11" t="inlineStr">
        <is>
          <t>Creature — Human Warrior</t>
        </is>
      </c>
      <c r="C3101" s="11" t="inlineStr">
        <is>
          <t>Common / Comum</t>
        </is>
      </c>
      <c r="D3101" s="11" t="inlineStr">
        <is>
          <t>Whenever you attack, target attacking creature gets +1/+0 until end of turn. When that creature dies this turn, surveil 1. (Look at the top card of your library. You may put that card into your graveyard.)</t>
        </is>
      </c>
      <c r="E3101" s="11" t="inlineStr">
        <is>
          <t>{2}{B}</t>
        </is>
      </c>
      <c r="F3101" s="11" t="inlineStr">
        <is>
          <t>Preto</t>
        </is>
      </c>
      <c r="G3101" s="8" t="n">
        <v>0.05</v>
      </c>
      <c r="H3101" s="11" t="inlineStr">
        <is>
          <t>Aetherdrift (DFT)</t>
        </is>
      </c>
      <c r="I3101" s="11" t="inlineStr">
        <is>
          <t>Não</t>
        </is>
      </c>
      <c r="J3101" s="11" t="n">
        <v>2025</v>
      </c>
      <c r="K3101" s="10" t="n">
        <v>46056</v>
      </c>
      <c r="L3101" s="11" t="n">
        <v>1</v>
      </c>
      <c r="M3101" s="8">
        <f>L3101*G3101</f>
        <v/>
      </c>
      <c r="P3101" s="9" t="n"/>
    </row>
    <row r="3102">
      <c r="A3102" s="11" t="inlineStr">
        <is>
          <t>Fear of the Dark</t>
        </is>
      </c>
      <c r="B3102" s="11" t="inlineStr">
        <is>
          <t>Enchantment Creature — Nightmare</t>
        </is>
      </c>
      <c r="C3102" s="11" t="inlineStr">
        <is>
          <t>Common / Comum</t>
        </is>
      </c>
      <c r="D3102" s="11" t="inlineStr">
        <is>
          <t>Whenever this creature attacks, if defending player controls no Glimmer creatures, it gains menace and deathtouch until end of turn. (A creature with menace can't be blocked except by two or more creatures.)</t>
        </is>
      </c>
      <c r="E3102" s="11" t="inlineStr">
        <is>
          <t>{4}{B}</t>
        </is>
      </c>
      <c r="F3102" s="11" t="inlineStr">
        <is>
          <t>Preto</t>
        </is>
      </c>
      <c r="G3102" s="8" t="n">
        <v>0.03</v>
      </c>
      <c r="H3102" s="11" t="inlineStr">
        <is>
          <t>Duskmourn: House of Horror (DSK)</t>
        </is>
      </c>
      <c r="I3102" s="11" t="inlineStr">
        <is>
          <t>Não</t>
        </is>
      </c>
      <c r="J3102" s="11" t="n">
        <v>2024</v>
      </c>
      <c r="K3102" s="10" t="n">
        <v>46147</v>
      </c>
      <c r="L3102" s="11" t="n">
        <v>1</v>
      </c>
      <c r="M3102" s="8">
        <f>L3102*G3102</f>
        <v/>
      </c>
      <c r="P3102" s="9" t="n"/>
    </row>
    <row r="3103">
      <c r="A3103" s="11" t="inlineStr">
        <is>
          <t>Winter's Intervention</t>
        </is>
      </c>
      <c r="B3103" s="11" t="inlineStr">
        <is>
          <t>Instant</t>
        </is>
      </c>
      <c r="C3103" s="11" t="inlineStr">
        <is>
          <t>Common / Comum</t>
        </is>
      </c>
      <c r="D3103" s="11" t="inlineStr">
        <is>
          <t>Winter's Intervention deals 2 damage to target creature. You gain 2 life.</t>
        </is>
      </c>
      <c r="E3103" s="11" t="inlineStr">
        <is>
          <t>{1}{B}</t>
        </is>
      </c>
      <c r="F3103" s="11" t="inlineStr">
        <is>
          <t>Preto</t>
        </is>
      </c>
      <c r="G3103" s="8" t="n">
        <v>0.05</v>
      </c>
      <c r="H3103" s="11" t="inlineStr">
        <is>
          <t>Duskmourn: House of Horror (DSK)</t>
        </is>
      </c>
      <c r="I3103" s="11" t="inlineStr">
        <is>
          <t>Não</t>
        </is>
      </c>
      <c r="J3103" s="11" t="n">
        <v>2024</v>
      </c>
      <c r="L3103" s="11" t="n">
        <v>1</v>
      </c>
      <c r="M3103" s="8">
        <f>L3103*G3103</f>
        <v/>
      </c>
      <c r="P3103" s="9" t="n"/>
    </row>
    <row r="3104">
      <c r="A3104" s="11" t="inlineStr">
        <is>
          <t>Maximum Overdrive</t>
        </is>
      </c>
      <c r="B3104" s="11" t="inlineStr">
        <is>
          <t>Instant</t>
        </is>
      </c>
      <c r="C3104" s="11" t="inlineStr">
        <is>
          <t>Common / Comum</t>
        </is>
      </c>
      <c r="D3104" s="11" t="inlineStr">
        <is>
          <t>Put a +1/+1 counter on target creature. It gains deathtouch and indestructible until end of turn.</t>
        </is>
      </c>
      <c r="E3104" s="11" t="inlineStr">
        <is>
          <t>{1}{B}</t>
        </is>
      </c>
      <c r="F3104" s="11" t="inlineStr">
        <is>
          <t>Preto</t>
        </is>
      </c>
      <c r="G3104" s="8" t="n">
        <v>0.15</v>
      </c>
      <c r="H3104" s="11" t="inlineStr">
        <is>
          <t>Aetherdrift (DFT)</t>
        </is>
      </c>
      <c r="I3104" s="11" t="inlineStr">
        <is>
          <t>Não</t>
        </is>
      </c>
      <c r="J3104" s="11" t="n">
        <v>2025</v>
      </c>
      <c r="L3104" s="11" t="n">
        <v>1</v>
      </c>
      <c r="M3104" s="8">
        <f>L3104*G3104</f>
        <v/>
      </c>
      <c r="P3104" s="9" t="n"/>
    </row>
    <row r="3105">
      <c r="A3105" s="11" t="inlineStr">
        <is>
          <t>Wickerfolk Indomitable</t>
        </is>
      </c>
      <c r="B3105" s="11" t="inlineStr">
        <is>
          <t>Artifact Creature — Scarecrow</t>
        </is>
      </c>
      <c r="C3105" s="11" t="inlineStr">
        <is>
          <t>Uncommon / Incomum</t>
        </is>
      </c>
      <c r="D3105" s="11" t="inlineStr">
        <is>
          <t>You may cast this card from your graveyard by paying 2 life and sacrificing an artifact or creature in addition to paying its other costs.</t>
        </is>
      </c>
      <c r="E3105" s="11" t="inlineStr">
        <is>
          <t>{3}{B}</t>
        </is>
      </c>
      <c r="F3105" s="11" t="inlineStr">
        <is>
          <t>Preto</t>
        </is>
      </c>
      <c r="G3105" s="8" t="n">
        <v>0.1</v>
      </c>
      <c r="H3105" s="11" t="inlineStr">
        <is>
          <t>Aetherdrift (DFT)</t>
        </is>
      </c>
      <c r="I3105" s="11" t="inlineStr">
        <is>
          <t>Não</t>
        </is>
      </c>
      <c r="J3105" s="11" t="n">
        <v>2025</v>
      </c>
      <c r="K3105" s="10" t="n">
        <v>46085</v>
      </c>
      <c r="L3105" s="11" t="n">
        <v>1</v>
      </c>
      <c r="M3105" s="8">
        <f>L3105*G3105</f>
        <v/>
      </c>
      <c r="P3105" s="9" t="n"/>
    </row>
    <row r="3106">
      <c r="A3106" s="11" t="inlineStr">
        <is>
          <t>Starlit Soothsayer</t>
        </is>
      </c>
      <c r="B3106" s="11" t="inlineStr">
        <is>
          <t>Creature — Bat Cleric</t>
        </is>
      </c>
      <c r="C3106" s="11" t="inlineStr">
        <is>
          <t>Common / Comum</t>
        </is>
      </c>
      <c r="D3106" s="11" t="inlineStr">
        <is>
          <t>Flying At the beginning of your end step, if you gained or lost life this turn, surveil 1. (Look at the top card of your library. You may put it into your graveyard.)</t>
        </is>
      </c>
      <c r="E3106" s="11" t="inlineStr">
        <is>
          <t>{2}{B}</t>
        </is>
      </c>
      <c r="F3106" s="11" t="inlineStr">
        <is>
          <t>Preto</t>
        </is>
      </c>
      <c r="G3106" s="8" t="n">
        <v>0.08</v>
      </c>
      <c r="H3106" s="11" t="inlineStr">
        <is>
          <t>Bloomburrow (BLB)</t>
        </is>
      </c>
      <c r="I3106" s="11" t="inlineStr">
        <is>
          <t>Não</t>
        </is>
      </c>
      <c r="J3106" s="11" t="n">
        <v>2024</v>
      </c>
      <c r="K3106" s="10" t="n">
        <v>46055</v>
      </c>
      <c r="L3106" s="11" t="n">
        <v>1</v>
      </c>
      <c r="M3106" s="8">
        <f>L3106*G3106</f>
        <v/>
      </c>
      <c r="P3106" s="9" t="n"/>
    </row>
    <row r="3107">
      <c r="A3107" s="11" t="inlineStr">
        <is>
          <t>Drider / Draider</t>
        </is>
      </c>
      <c r="B3107" s="11" t="inlineStr">
        <is>
          <t>Creature — Elf Spider / Criatura — Elfo Aranha</t>
        </is>
      </c>
      <c r="C3107" s="11" t="inlineStr">
        <is>
          <t>Uncommon / Incomum</t>
        </is>
      </c>
      <c r="D3107" s="11" t="inlineStr">
        <is>
          <t>Reach Whenever this creature deals combat damage to a player, create a 2/1 black Spider creature token with menace and reach. / Alcance Toda vez que Draider causar dano de combate a um jogador, crie uma ficha de criatura Aranha preta 2/1 com ameaçar e alcance.</t>
        </is>
      </c>
      <c r="E3107" s="11" t="inlineStr">
        <is>
          <t>{4}{B}</t>
        </is>
      </c>
      <c r="F3107" s="11" t="inlineStr">
        <is>
          <t>Preto</t>
        </is>
      </c>
      <c r="G3107" s="8" t="n">
        <v>0.18</v>
      </c>
      <c r="H3107" s="11" t="inlineStr">
        <is>
          <t>Adventures in the Forgotten Realms (AFR)</t>
        </is>
      </c>
      <c r="I3107" s="11" t="inlineStr">
        <is>
          <t>Não</t>
        </is>
      </c>
      <c r="J3107" s="11" t="n">
        <v>2021</v>
      </c>
      <c r="K3107" s="10" t="n">
        <v>46085</v>
      </c>
      <c r="L3107" s="11" t="n">
        <v>1</v>
      </c>
      <c r="M3107" s="8">
        <f>L3107*G3107</f>
        <v/>
      </c>
      <c r="P3107" s="9" t="n"/>
    </row>
    <row r="3108">
      <c r="A3108" s="11" t="inlineStr">
        <is>
          <t>Vampire Nighthawk / Vampiro Falcão-da-Noite</t>
        </is>
      </c>
      <c r="B3108" s="11" t="inlineStr">
        <is>
          <t>Creature — Vampire Shaman / Criatura — Vampiro Xamã</t>
        </is>
      </c>
      <c r="C3108" s="11" t="inlineStr">
        <is>
          <t>Uncommon / Incomum</t>
        </is>
      </c>
      <c r="D3108" s="11" t="inlineStr">
        <is>
          <t>Flying Deathtouch (Any amount of damage this deals to a creature is enough to destroy it.) Lifelink (Damage dealt by this creature also causes you to gain that much life.) / Voar Toque mortífero (Qualquer quantidade de dano que esta criatura cause a uma criatura é suficiente para destruí-la.) Vínculo com a vida (O dano causado por esta criatura faz com que você ganhe uma quantidade equivalente de pontos de vida.)</t>
        </is>
      </c>
      <c r="E3108" s="11" t="inlineStr">
        <is>
          <t>{1}{B}{B}</t>
        </is>
      </c>
      <c r="F3108" s="11" t="inlineStr">
        <is>
          <t>Preto</t>
        </is>
      </c>
      <c r="G3108" s="8" t="n">
        <v>0.9</v>
      </c>
      <c r="H3108" s="11" t="inlineStr">
        <is>
          <t>Foundations (FDN)</t>
        </is>
      </c>
      <c r="I3108" s="11" t="inlineStr">
        <is>
          <t>Sim</t>
        </is>
      </c>
      <c r="J3108" s="11" t="n">
        <v>2024</v>
      </c>
      <c r="K3108" s="10" t="n">
        <v>46083</v>
      </c>
      <c r="L3108" s="11" t="n">
        <v>1</v>
      </c>
      <c r="M3108" s="8">
        <f>L3108*G3108</f>
        <v/>
      </c>
      <c r="P3108" s="9" t="n"/>
    </row>
    <row r="3109">
      <c r="A3109" s="11" t="inlineStr">
        <is>
          <t>Appendage Amalgam</t>
        </is>
      </c>
      <c r="B3109" s="11" t="inlineStr">
        <is>
          <t>Enchantment Creature — Horror</t>
        </is>
      </c>
      <c r="C3109" s="11" t="inlineStr">
        <is>
          <t>Common / Comum</t>
        </is>
      </c>
      <c r="D3109" s="11" t="inlineStr">
        <is>
          <t>Flash Whenever this creature attacks, surveil 1. (Look at the top card of your library. You may put it into your graveyard.)</t>
        </is>
      </c>
      <c r="E3109" s="11" t="inlineStr">
        <is>
          <t>{2}{B}</t>
        </is>
      </c>
      <c r="F3109" s="11" t="inlineStr">
        <is>
          <t>Preto</t>
        </is>
      </c>
      <c r="G3109" s="8" t="n">
        <v>0.17</v>
      </c>
      <c r="H3109" s="11" t="inlineStr">
        <is>
          <t>Duskmourn: House of Horror (DSK)</t>
        </is>
      </c>
      <c r="I3109" s="11" t="inlineStr">
        <is>
          <t>Sim</t>
        </is>
      </c>
      <c r="J3109" s="11" t="n">
        <v>2024</v>
      </c>
      <c r="K3109" s="10" t="n">
        <v>46056</v>
      </c>
      <c r="L3109" s="11" t="n">
        <v>1</v>
      </c>
      <c r="M3109" s="8">
        <f>L3109*G3109</f>
        <v/>
      </c>
      <c r="P3109" s="9" t="n"/>
    </row>
    <row r="3110">
      <c r="A3110" s="11" t="inlineStr">
        <is>
          <t>Spectral Snatcher</t>
        </is>
      </c>
      <c r="B3110" s="11" t="inlineStr">
        <is>
          <t>Creature — Spirit</t>
        </is>
      </c>
      <c r="C3110" s="11" t="inlineStr">
        <is>
          <t>Common / Comum</t>
        </is>
      </c>
      <c r="D3110" s="11" t="inlineStr">
        <is>
          <t>Ward—Discard a card. (Whenever this creature becomes the target of a spell or ability an opponent controls, counter it unless that player discards a card.) Swampcycling {2} ({2}, Discard this card: Search your library for a Swamp card, reveal it, put it into your hand, then shuffle.)</t>
        </is>
      </c>
      <c r="E3110" s="11" t="inlineStr">
        <is>
          <t>{4}{B}{B}</t>
        </is>
      </c>
      <c r="F3110" s="11" t="inlineStr">
        <is>
          <t>Preto</t>
        </is>
      </c>
      <c r="G3110" s="8" t="n">
        <v>0.17</v>
      </c>
      <c r="H3110" s="11" t="inlineStr">
        <is>
          <t>Duskmourn: House of Horror (DSK)</t>
        </is>
      </c>
      <c r="I3110" s="11" t="inlineStr">
        <is>
          <t>Sim</t>
        </is>
      </c>
      <c r="J3110" s="11" t="n">
        <v>2024</v>
      </c>
      <c r="K3110" s="10" t="n">
        <v>46148</v>
      </c>
      <c r="L3110" s="11" t="n">
        <v>3</v>
      </c>
      <c r="M3110" s="8">
        <f>L3110*G3110</f>
        <v/>
      </c>
      <c r="P3110" s="9" t="n"/>
    </row>
    <row r="3111">
      <c r="A3111" s="11" t="inlineStr">
        <is>
          <t>Vito's Inquisitor / Inquisidora de Vito</t>
        </is>
      </c>
      <c r="B3111" s="11" t="inlineStr">
        <is>
          <t>Creature — Vampire Knight / Criatura — Vampiro Cavaleiro</t>
        </is>
      </c>
      <c r="C3111" s="11" t="inlineStr">
        <is>
          <t>Common / Comum</t>
        </is>
      </c>
      <c r="D3111" s="11" t="inlineStr">
        <is>
          <t>{B}, Sacrifice another creature or artifact: Put a +1/+1 counter on this creature. It gains menace until end of turn. / {B}, sacrifique outra criatura ou outro artefato: Coloque um marcador +1/+1 em Inquisidora de Vito. Ele ganha ameaçar até o final do turno.</t>
        </is>
      </c>
      <c r="E3111" s="11" t="inlineStr">
        <is>
          <t>{3}{B}</t>
        </is>
      </c>
      <c r="F3111" s="11" t="inlineStr">
        <is>
          <t>Preto</t>
        </is>
      </c>
      <c r="G3111" s="8" t="n">
        <v>0.25</v>
      </c>
      <c r="H3111" s="11" t="inlineStr">
        <is>
          <t>The Lost Caverns of Ixalan (LCI)</t>
        </is>
      </c>
      <c r="I3111" s="11" t="inlineStr">
        <is>
          <t>Sim</t>
        </is>
      </c>
      <c r="J3111" s="11" t="n">
        <v>2023</v>
      </c>
      <c r="K3111" s="10" t="n">
        <v>46084</v>
      </c>
      <c r="L3111" s="11" t="n">
        <v>1</v>
      </c>
      <c r="M3111" s="8">
        <f>L3111*G3111</f>
        <v/>
      </c>
      <c r="P3111" s="9" t="n"/>
    </row>
    <row r="3112">
      <c r="A3112" s="11" t="inlineStr">
        <is>
          <t>Piggy Bank</t>
        </is>
      </c>
      <c r="B3112" s="11" t="inlineStr">
        <is>
          <t>Artifact Creature — Boar Toy</t>
        </is>
      </c>
      <c r="C3112" s="11" t="inlineStr">
        <is>
          <t>Uncommon / Incomum</t>
        </is>
      </c>
      <c r="D3112" s="11" t="inlineStr">
        <is>
          <t>When this creature dies, create a Treasure token. (It's an artifact with "{T}, Sacrifice this token: Add one mana of any color.")</t>
        </is>
      </c>
      <c r="E3112" s="11" t="inlineStr">
        <is>
          <t>{1}{R}</t>
        </is>
      </c>
      <c r="F3112" s="11" t="inlineStr">
        <is>
          <t>Vermelho</t>
        </is>
      </c>
      <c r="G3112" s="8" t="n">
        <v>0.15</v>
      </c>
      <c r="H3112" s="11" t="inlineStr">
        <is>
          <t>Duskmourn: House of Horror (DSK)</t>
        </is>
      </c>
      <c r="I3112" s="11" t="inlineStr">
        <is>
          <t>Não</t>
        </is>
      </c>
      <c r="J3112" s="11" t="n">
        <v>2024</v>
      </c>
      <c r="K3112" s="10" t="n">
        <v>46056</v>
      </c>
      <c r="L3112" s="11" t="n">
        <v>1</v>
      </c>
      <c r="M3112" s="8">
        <f>L3112*G3112</f>
        <v/>
      </c>
      <c r="P3112" s="9" t="n"/>
    </row>
    <row r="3113">
      <c r="A3113" s="11" t="inlineStr">
        <is>
          <t>Boilerbilges Ripper</t>
        </is>
      </c>
      <c r="B3113" s="11" t="inlineStr">
        <is>
          <t>Creature — Human Assassin</t>
        </is>
      </c>
      <c r="C3113" s="11" t="inlineStr">
        <is>
          <t>Common / Comum</t>
        </is>
      </c>
      <c r="D3113" s="11" t="inlineStr">
        <is>
          <t>When this creature enters, you may sacrifice another creature or enchantment. When you do, this creature deals 2 damage to any target.</t>
        </is>
      </c>
      <c r="E3113" s="11" t="inlineStr">
        <is>
          <t>{4}{R}</t>
        </is>
      </c>
      <c r="F3113" s="11" t="inlineStr">
        <is>
          <t>Vermelho</t>
        </is>
      </c>
      <c r="G3113" s="8" t="n">
        <v>0.03</v>
      </c>
      <c r="H3113" s="11" t="inlineStr">
        <is>
          <t>Duskmourn: House of Horror (DSK)</t>
        </is>
      </c>
      <c r="I3113" s="11" t="inlineStr">
        <is>
          <t>Não</t>
        </is>
      </c>
      <c r="J3113" s="11" t="n">
        <v>2024</v>
      </c>
      <c r="K3113" s="10" t="n">
        <v>46116</v>
      </c>
      <c r="L3113" s="11" t="n">
        <v>1</v>
      </c>
      <c r="M3113" s="8">
        <f>L3113*G3113</f>
        <v/>
      </c>
      <c r="P3113" s="9" t="n"/>
    </row>
    <row r="3114">
      <c r="A3114" s="11" t="inlineStr">
        <is>
          <t>Voldaren Epicure / Epicurista Voldaren</t>
        </is>
      </c>
      <c r="B3114" s="11" t="inlineStr">
        <is>
          <t>Creature — Vampire / Criatura — Vampiro</t>
        </is>
      </c>
      <c r="C3114" s="11" t="inlineStr">
        <is>
          <t>Common / Comum</t>
        </is>
      </c>
      <c r="D3114" s="11" t="inlineStr">
        <is>
          <t>When this creature enters, it deals 1 damage to each opponent. Create a Blood token. (It's an artifact with "{1}, {T}, Discard a card, Sacrifice this token: Draw a card.") / Quando Epicurista Voldaren entra no campo de batalha, ele causa 1 ponto de dano a cada oponente. Crie uma ficha de Sangue. (Ela é um artefato com "{1}, {T}, descarte um card, sacrifique este artefato: Compre um card".)</t>
        </is>
      </c>
      <c r="E3114" s="11" t="inlineStr">
        <is>
          <t>{R}</t>
        </is>
      </c>
      <c r="F3114" s="11" t="inlineStr">
        <is>
          <t>Vermelho</t>
        </is>
      </c>
      <c r="G3114" s="8" t="n">
        <v>2.23</v>
      </c>
      <c r="H3114" s="11" t="inlineStr">
        <is>
          <t>Innistrad: Crimson Vow (VOW)</t>
        </is>
      </c>
      <c r="I3114" s="11" t="inlineStr">
        <is>
          <t>Não</t>
        </is>
      </c>
      <c r="J3114" s="11" t="n">
        <v>2021</v>
      </c>
      <c r="K3114" s="10" t="n">
        <v>46023</v>
      </c>
      <c r="L3114" s="11" t="n">
        <v>1</v>
      </c>
      <c r="M3114" s="8">
        <f>L3114*G3114</f>
        <v/>
      </c>
      <c r="N3114" s="11" t="inlineStr">
        <is>
          <t>Pasta</t>
        </is>
      </c>
      <c r="P3114" s="9" t="n"/>
    </row>
    <row r="3115">
      <c r="A3115" s="11" t="inlineStr">
        <is>
          <t>Falkenrath Celebrants / Celebradores Falkenrath</t>
        </is>
      </c>
      <c r="B3115" s="11" t="inlineStr">
        <is>
          <t>Creature — Vampire / Criatura — Vampiro</t>
        </is>
      </c>
      <c r="C3115" s="11" t="inlineStr">
        <is>
          <t>Common / Comum</t>
        </is>
      </c>
      <c r="D3115" s="11" t="inlineStr">
        <is>
          <t>Menace (This creature can't be blocked except by two or more creatures.) When this creature enters, create two Blood tokens. (They're artifacts with "{1}, {T}, Discard a card, Sacrifice this token: Draw a card.") / Ameaçar Quando Celebradores Falkenrath entrar no campo de batalha, crie duas fichas de Sangue.</t>
        </is>
      </c>
      <c r="E3115" s="11" t="inlineStr">
        <is>
          <t>{4}{R}</t>
        </is>
      </c>
      <c r="F3115" s="11" t="inlineStr">
        <is>
          <t>Vermelho</t>
        </is>
      </c>
      <c r="G3115" s="8" t="n">
        <v>0.09</v>
      </c>
      <c r="H3115" s="11" t="inlineStr">
        <is>
          <t>Innistrad: Crimson Vow (VOW)</t>
        </is>
      </c>
      <c r="I3115" s="11" t="inlineStr">
        <is>
          <t>Não</t>
        </is>
      </c>
      <c r="J3115" s="11" t="n">
        <v>2021</v>
      </c>
      <c r="K3115" s="10" t="n">
        <v>46116</v>
      </c>
      <c r="L3115" s="11" t="n">
        <v>1</v>
      </c>
      <c r="M3115" s="8">
        <f>L3115*G3115</f>
        <v/>
      </c>
      <c r="P3115" s="9" t="n"/>
    </row>
    <row r="3116">
      <c r="A3116" s="11" t="inlineStr">
        <is>
          <t>Blood Petal Celebrant / Celebradora das Pétalas de Sangue</t>
        </is>
      </c>
      <c r="B3116" s="11" t="inlineStr">
        <is>
          <t>Creature — Vampire / Criatura — Vampiro</t>
        </is>
      </c>
      <c r="C3116" s="11" t="inlineStr">
        <is>
          <t>Common / Comum</t>
        </is>
      </c>
      <c r="D3116" s="11" t="inlineStr">
        <is>
          <t>This creature has first strike as long as it's attacking. When this creature dies, create a Blood token. (It's an artifact with "{1}, {T}, Discard a card, Sacrifice this token: Draw a card.") / Celebradora das Pétalas de Sangue tem iniciativa enquanto estiver atacando. Quando Celebradora das Pétalas de Sangue morrer, crie uma ficha de Sangue. (Ela é um artefato com "{1}, {T}, descarte um card, sacrifique este artefato: Compre um card".)</t>
        </is>
      </c>
      <c r="E3116" s="11" t="inlineStr">
        <is>
          <t>{1}{R}</t>
        </is>
      </c>
      <c r="F3116" s="11" t="inlineStr">
        <is>
          <t>Vermelho</t>
        </is>
      </c>
      <c r="G3116" s="8" t="n">
        <v>0.09</v>
      </c>
      <c r="H3116" s="11" t="inlineStr">
        <is>
          <t>Innistrad: Crimson Vow (VOW)</t>
        </is>
      </c>
      <c r="I3116" s="11" t="inlineStr">
        <is>
          <t>Não</t>
        </is>
      </c>
      <c r="J3116" s="11" t="n">
        <v>2021</v>
      </c>
      <c r="K3116" s="10" t="n">
        <v>46024</v>
      </c>
      <c r="L3116" s="11" t="n">
        <v>1</v>
      </c>
      <c r="M3116" s="8">
        <f>L3116*G3116</f>
        <v/>
      </c>
      <c r="P3116" s="9" t="n"/>
    </row>
    <row r="3117">
      <c r="A3117" s="11" t="inlineStr">
        <is>
          <t>Alluring Suitor / Pretendente Fascinante</t>
        </is>
      </c>
      <c r="B3117" s="11" t="inlineStr">
        <is>
          <t>Creature — Vampire / Criatura — Vampiro</t>
        </is>
      </c>
      <c r="C3117" s="11" t="inlineStr">
        <is>
          <t>Uncommon / Incomum</t>
        </is>
      </c>
      <c r="D3117" s="11" t="inlineStr">
        <is>
          <t>When you attack with exactly two creatures, transform this creature. / Quando você atacar com exatamente duas criaturas, transforme Pretendente Fascinante.</t>
        </is>
      </c>
      <c r="E3117" s="11" t="inlineStr">
        <is>
          <t>{2}{R}</t>
        </is>
      </c>
      <c r="F3117" s="11" t="inlineStr">
        <is>
          <t>Vermelho</t>
        </is>
      </c>
      <c r="G3117" s="8" t="n">
        <v>0.09</v>
      </c>
      <c r="H3117" s="11" t="inlineStr">
        <is>
          <t>Innistrad: Crimson Vow (VOW)</t>
        </is>
      </c>
      <c r="I3117" s="11" t="inlineStr">
        <is>
          <t>Não</t>
        </is>
      </c>
      <c r="J3117" s="11" t="n">
        <v>2021</v>
      </c>
      <c r="K3117" s="10" t="n">
        <v>46083</v>
      </c>
      <c r="L3117" s="11" t="n">
        <v>1</v>
      </c>
      <c r="M3117" s="8">
        <f>L3117*G3117</f>
        <v/>
      </c>
      <c r="P3117" s="9" t="n"/>
    </row>
    <row r="3118">
      <c r="A3118" s="11" t="inlineStr">
        <is>
          <t>Abrade / Abrasão</t>
        </is>
      </c>
      <c r="B3118" s="11" t="inlineStr">
        <is>
          <t>Instant / Mágica Instantânea</t>
        </is>
      </c>
      <c r="C3118" s="11" t="inlineStr">
        <is>
          <t>Uncommon / Incomum</t>
        </is>
      </c>
      <c r="D3118" s="11" t="inlineStr">
        <is>
          <t>Choose one — • Abrade deals 3 damage to target creature. • Destroy target artifact. / Escolha um — • Abrasão causa 3 pontos de dano à criatura alvo. • Destrua o artefato alvo.</t>
        </is>
      </c>
      <c r="E3118" s="11" t="inlineStr">
        <is>
          <t>{1}{R}</t>
        </is>
      </c>
      <c r="F3118" s="11" t="inlineStr">
        <is>
          <t>Vermelho</t>
        </is>
      </c>
      <c r="G3118" s="8" t="n">
        <v>0.3</v>
      </c>
      <c r="H3118" s="11" t="inlineStr">
        <is>
          <t>Foundations (FDN)</t>
        </is>
      </c>
      <c r="I3118" s="11" t="inlineStr">
        <is>
          <t>Não</t>
        </is>
      </c>
      <c r="J3118" s="11" t="n">
        <v>2024</v>
      </c>
      <c r="L3118" s="11" t="n">
        <v>1</v>
      </c>
      <c r="M3118" s="8">
        <f>L3118*G3118</f>
        <v/>
      </c>
      <c r="P3118" s="9" t="n"/>
    </row>
    <row r="3119">
      <c r="A3119" s="11" t="inlineStr">
        <is>
          <t>Seismic Rupture / Ruptura Sísmica</t>
        </is>
      </c>
      <c r="B3119" s="11" t="inlineStr">
        <is>
          <t>Sorcery / Feitiço</t>
        </is>
      </c>
      <c r="C3119" s="11" t="inlineStr">
        <is>
          <t>Uncommon / Incomum</t>
        </is>
      </c>
      <c r="D3119" s="11" t="inlineStr">
        <is>
          <t>Seismic Rupture deals 2 damage to each creature without flying. / Ruptura Sísmica causa 2 pontos de dano a cada criatura sem voar.</t>
        </is>
      </c>
      <c r="E3119" s="11" t="inlineStr">
        <is>
          <t>{2}{R}</t>
        </is>
      </c>
      <c r="F3119" s="11" t="inlineStr">
        <is>
          <t>Vermelho</t>
        </is>
      </c>
      <c r="G3119" s="8" t="n">
        <v>0.05</v>
      </c>
      <c r="H3119" s="11" t="inlineStr">
        <is>
          <t>Foundations (FDN)</t>
        </is>
      </c>
      <c r="I3119" s="11" t="inlineStr">
        <is>
          <t>Não</t>
        </is>
      </c>
      <c r="J3119" s="11" t="n">
        <v>2024</v>
      </c>
      <c r="L3119" s="11" t="n">
        <v>1</v>
      </c>
      <c r="M3119" s="8">
        <f>L3119*G3119</f>
        <v/>
      </c>
      <c r="P3119" s="9" t="n"/>
    </row>
    <row r="3120">
      <c r="A3120" s="11" t="inlineStr">
        <is>
          <t>Vengeful Tracker / Rastreador Vingativo</t>
        </is>
      </c>
      <c r="B3120" s="11" t="inlineStr">
        <is>
          <t>Creature — Human Detective / Criatura — Humano Detetive</t>
        </is>
      </c>
      <c r="C3120" s="11" t="inlineStr">
        <is>
          <t>Uncommon / Incomum</t>
        </is>
      </c>
      <c r="D3120" s="11" t="inlineStr">
        <is>
          <t>Whenever an opponent sacrifices an artifact, this creature deals 2 damage to them. / Toda vez que um oponente sacrifica um artefato, Rastreador Vingativo causa 2 pontos de dano àquele jogador.</t>
        </is>
      </c>
      <c r="E3120" s="11" t="inlineStr">
        <is>
          <t>{1}{R}</t>
        </is>
      </c>
      <c r="F3120" s="11" t="inlineStr">
        <is>
          <t>Vermelho</t>
        </is>
      </c>
      <c r="G3120" s="8" t="n">
        <v>0.1</v>
      </c>
      <c r="H3120" s="11" t="inlineStr">
        <is>
          <t>Murders at Karlov Manor (MKM)</t>
        </is>
      </c>
      <c r="I3120" s="11" t="inlineStr">
        <is>
          <t>Não</t>
        </is>
      </c>
      <c r="J3120" s="11" t="n">
        <v>2024</v>
      </c>
      <c r="K3120" s="10" t="n">
        <v>46055</v>
      </c>
      <c r="L3120" s="11" t="n">
        <v>2</v>
      </c>
      <c r="M3120" s="8">
        <f>L3120*G3120</f>
        <v/>
      </c>
      <c r="P3120" s="9" t="n"/>
    </row>
    <row r="3121">
      <c r="A3121" s="11" t="inlineStr">
        <is>
          <t>Grab the Prize</t>
        </is>
      </c>
      <c r="B3121" s="11" t="inlineStr">
        <is>
          <t>Sorcery</t>
        </is>
      </c>
      <c r="C3121" s="11" t="inlineStr">
        <is>
          <t>Common / Comum</t>
        </is>
      </c>
      <c r="D3121" s="11" t="inlineStr">
        <is>
          <t>As an additional cost to cast this spell, discard a card. Draw two cards. If the discarded card wasn't a land card, Grab the Prize deals 2 damage to each opponent.</t>
        </is>
      </c>
      <c r="E3121" s="11" t="inlineStr">
        <is>
          <t>{1}{R}</t>
        </is>
      </c>
      <c r="F3121" s="11" t="inlineStr">
        <is>
          <t>Vermelho</t>
        </is>
      </c>
      <c r="G3121" s="8" t="n">
        <v>3.7</v>
      </c>
      <c r="H3121" s="11" t="inlineStr">
        <is>
          <t>Duskmourn: House of Horror (DSK)</t>
        </is>
      </c>
      <c r="I3121" s="11" t="inlineStr">
        <is>
          <t>Não</t>
        </is>
      </c>
      <c r="J3121" s="11" t="n">
        <v>2024</v>
      </c>
      <c r="L3121" s="11" t="n">
        <v>1</v>
      </c>
      <c r="M3121" s="8">
        <f>L3121*G3121</f>
        <v/>
      </c>
      <c r="N3121" s="11" t="inlineStr">
        <is>
          <t>Pasta</t>
        </is>
      </c>
      <c r="P3121" s="9" t="n"/>
    </row>
    <row r="3122">
      <c r="A3122" s="11" t="inlineStr">
        <is>
          <t>The First Eruption / A Primeira Erupção</t>
        </is>
      </c>
      <c r="B3122" s="11" t="inlineStr">
        <is>
          <t>Enchantment — Saga / Encantamento — Saga</t>
        </is>
      </c>
      <c r="C3122" s="11" t="inlineStr">
        <is>
          <t>Rare / Rara</t>
        </is>
      </c>
      <c r="D3122" s="11" t="inlineStr">
        <is>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is>
      </c>
      <c r="E3122" s="11" t="inlineStr">
        <is>
          <t>{2}{R}</t>
        </is>
      </c>
      <c r="F3122" s="11" t="inlineStr">
        <is>
          <t>Vermelho</t>
        </is>
      </c>
      <c r="G3122" s="8" t="n">
        <v>0.19</v>
      </c>
      <c r="H3122" s="11" t="inlineStr">
        <is>
          <t>Dominaria (DOM)</t>
        </is>
      </c>
      <c r="I3122" s="11" t="inlineStr">
        <is>
          <t>Não</t>
        </is>
      </c>
      <c r="J3122" s="11" t="n">
        <v>2018</v>
      </c>
      <c r="L3122" s="11" t="n">
        <v>2</v>
      </c>
      <c r="M3122" s="8">
        <f>L3122*G3122</f>
        <v/>
      </c>
      <c r="P3122" s="9" t="n"/>
    </row>
    <row r="3123">
      <c r="A3123" s="11" t="inlineStr">
        <is>
          <t>Sarpadian Simulacrum / Simulacro Sarpadiano</t>
        </is>
      </c>
      <c r="B3123" s="11" t="inlineStr">
        <is>
          <t>Artifact Creature — Goblin / Criatura Artefato — Goblin</t>
        </is>
      </c>
      <c r="C3123" s="11" t="inlineStr">
        <is>
          <t>Common / Comum</t>
        </is>
      </c>
      <c r="D3123" s="11" t="inlineStr">
        <is>
          <t>Haste {3}{R}, Sacrifice this creature: It deals 4 damage to target creature. / Ímpeto {3}{R}, sacrifique Simulacro Sarpadiano: Ele causa 4 pontos de dano à criatura alvo.</t>
        </is>
      </c>
      <c r="E3123" s="11" t="inlineStr">
        <is>
          <t>{R}</t>
        </is>
      </c>
      <c r="F3123" s="11" t="inlineStr">
        <is>
          <t>Vermelho</t>
        </is>
      </c>
      <c r="G3123" s="8" t="n">
        <v>0.06</v>
      </c>
      <c r="H3123" s="11" t="inlineStr">
        <is>
          <t>Modern Horizons 3 (MH3)</t>
        </is>
      </c>
      <c r="I3123" s="11" t="inlineStr">
        <is>
          <t>Não</t>
        </is>
      </c>
      <c r="J3123" s="11" t="n">
        <v>2024</v>
      </c>
      <c r="K3123" s="10" t="n">
        <v>46023</v>
      </c>
      <c r="L3123" s="11" t="n">
        <v>1</v>
      </c>
      <c r="M3123" s="8">
        <f>L3123*G3123</f>
        <v/>
      </c>
      <c r="P3123" s="9" t="n"/>
    </row>
    <row r="3124">
      <c r="A3124" s="11" t="inlineStr">
        <is>
          <t>Resistance Skywarden / Guardião Celeste da Resistência</t>
        </is>
      </c>
      <c r="B3124" s="11" t="inlineStr">
        <is>
          <t>Creature — Ogre Rebel / Criatura — Ogro Rebelde</t>
        </is>
      </c>
      <c r="C3124" s="11" t="inlineStr">
        <is>
          <t>Uncommon / Incomum</t>
        </is>
      </c>
      <c r="D3124" s="11" t="inlineStr">
        <is>
          <t>Menace (This creature can't be blocked except by two or more creatures.) Reach (This creature can block creatures with flying.) / Ameaçar, alcance</t>
        </is>
      </c>
      <c r="E3124" s="11" t="inlineStr">
        <is>
          <t>{3}{R}{R}</t>
        </is>
      </c>
      <c r="F3124" s="11" t="inlineStr">
        <is>
          <t>Vermelho</t>
        </is>
      </c>
      <c r="G3124" s="8" t="n">
        <v>0.04</v>
      </c>
      <c r="H3124" s="11" t="inlineStr">
        <is>
          <t>Phyrexia: All Will Be One (ONE)</t>
        </is>
      </c>
      <c r="I3124" s="11" t="inlineStr">
        <is>
          <t>Não</t>
        </is>
      </c>
      <c r="J3124" s="11" t="n">
        <v>2023</v>
      </c>
      <c r="K3124" s="10" t="n">
        <v>46147</v>
      </c>
      <c r="L3124" s="11" t="n">
        <v>1</v>
      </c>
      <c r="M3124" s="8">
        <f>L3124*G3124</f>
        <v/>
      </c>
      <c r="P3124" s="9" t="n"/>
    </row>
    <row r="3125">
      <c r="A3125" s="11" t="inlineStr">
        <is>
          <t>Magmatic Sprinter / Corredor Magmático</t>
        </is>
      </c>
      <c r="B3125" s="11" t="inlineStr">
        <is>
          <t>Creature — Phyrexian Warrior / Criatura — Phyrexiano Guerreiro</t>
        </is>
      </c>
      <c r="C3125" s="11" t="inlineStr">
        <is>
          <t>Uncommon / Incomum</t>
        </is>
      </c>
      <c r="D3125" s="11" t="inlineStr">
        <is>
          <t>Haste When this creature enters, put two oil counters on target artifact or creature you control. At the beginning of your end step, return this creature to its owner's hand unless you remove two oil counters from it. / Ímpeto Quando Corredor Magmático entrar no campo de batalha, coloque dois marcadores de óleo no artefato ou na criatura alvo que você controla. No início de sua etapa final, devolva Corredor Magmático para a mão de seu dono, a menos que você remova dois marcadores de óleo de Corredor Magmático.</t>
        </is>
      </c>
      <c r="E3125" s="11" t="inlineStr">
        <is>
          <t>{2}{R}</t>
        </is>
      </c>
      <c r="F3125" s="11" t="inlineStr">
        <is>
          <t>Vermelho</t>
        </is>
      </c>
      <c r="G3125" s="8" t="n">
        <v>0.04</v>
      </c>
      <c r="H3125" s="11" t="inlineStr">
        <is>
          <t>Phyrexia: All Will Be One (ONE)</t>
        </is>
      </c>
      <c r="I3125" s="11" t="inlineStr">
        <is>
          <t>Não</t>
        </is>
      </c>
      <c r="J3125" s="11" t="n">
        <v>2023</v>
      </c>
      <c r="K3125" s="10" t="n">
        <v>46056</v>
      </c>
      <c r="L3125" s="11" t="n">
        <v>1</v>
      </c>
      <c r="M3125" s="8">
        <f>L3125*G3125</f>
        <v/>
      </c>
      <c r="P3125" s="9" t="n"/>
    </row>
    <row r="3126">
      <c r="A3126" s="11" t="inlineStr">
        <is>
          <t>Hexgold Halberd / Alabarda de Hexouro</t>
        </is>
      </c>
      <c r="B3126" s="11" t="inlineStr">
        <is>
          <t>Artifact — Equipment / Artefato — Equipamento</t>
        </is>
      </c>
      <c r="C3126" s="11" t="inlineStr">
        <is>
          <t>Uncommon / Incomum</t>
        </is>
      </c>
      <c r="D3126" s="11" t="inlineStr">
        <is>
          <t>For Mirrodin! (When this Equipment enters, create a 2/2 red Rebel creature token, then attach this to it.) During your turn, equipped creature has first strike and trample. Equip {2}{R} / Por Mirrodin (Quando este Equipamento entrar no campo de batalha, crie uma ficha de criatura Rebelde vermelha 2/2 e anexe-o a ela.) Enquanto for o seu turno, a criatura equipada terá iniciativa e atropelar. Equipar {2}{R}</t>
        </is>
      </c>
      <c r="E3126" s="11" t="inlineStr">
        <is>
          <t>{1}{R}</t>
        </is>
      </c>
      <c r="F3126" s="11" t="inlineStr">
        <is>
          <t>Vermelho</t>
        </is>
      </c>
      <c r="G3126" s="8" t="n">
        <v>0.1</v>
      </c>
      <c r="H3126" s="11" t="inlineStr">
        <is>
          <t>Phyrexia: All Will Be One (ONE)</t>
        </is>
      </c>
      <c r="I3126" s="11" t="inlineStr">
        <is>
          <t>Não</t>
        </is>
      </c>
      <c r="J3126" s="11" t="n">
        <v>2023</v>
      </c>
      <c r="L3126" s="11" t="n">
        <v>1</v>
      </c>
      <c r="M3126" s="8">
        <f>L3126*G3126</f>
        <v/>
      </c>
      <c r="P3126" s="9" t="n"/>
    </row>
    <row r="3127">
      <c r="A3127" s="11" t="inlineStr">
        <is>
          <t>Gilded Ghoda</t>
        </is>
      </c>
      <c r="B3127" s="11" t="inlineStr">
        <is>
          <t>Creature — Horse Mount</t>
        </is>
      </c>
      <c r="C3127" s="11" t="inlineStr">
        <is>
          <t>Common / Comum</t>
        </is>
      </c>
      <c r="D3127" s="11" t="inlineStr">
        <is>
          <t>Whenever this creature attacks while saddled, create a Treasure token. (It's an artifact with "{T}, Sacrifice this token: Add one mana of any color.") Saddle 1 (Tap any number of other creatures you control with total power 1 or more: This Mount becomes saddled until end of turn. Saddle only as a sorcery.)</t>
        </is>
      </c>
      <c r="E3127" s="11" t="inlineStr">
        <is>
          <t>{1}{R}</t>
        </is>
      </c>
      <c r="F3127" s="11" t="inlineStr">
        <is>
          <t>Vermelho</t>
        </is>
      </c>
      <c r="G3127" s="8" t="n">
        <v>0.1</v>
      </c>
      <c r="H3127" s="11" t="inlineStr">
        <is>
          <t>Aetherdrift (DFT)</t>
        </is>
      </c>
      <c r="I3127" s="11" t="inlineStr">
        <is>
          <t>Não</t>
        </is>
      </c>
      <c r="J3127" s="11" t="n">
        <v>2025</v>
      </c>
      <c r="K3127" s="10" t="n">
        <v>46055</v>
      </c>
      <c r="L3127" s="11" t="n">
        <v>2</v>
      </c>
      <c r="M3127" s="8">
        <f>L3127*G3127</f>
        <v/>
      </c>
      <c r="P3127" s="9" t="n"/>
    </row>
    <row r="3128">
      <c r="A3128" s="11" t="inlineStr">
        <is>
          <t>Firespitter Whelp</t>
        </is>
      </c>
      <c r="B3128" s="11" t="inlineStr">
        <is>
          <t>Creature — Dragon</t>
        </is>
      </c>
      <c r="C3128" s="11" t="inlineStr">
        <is>
          <t>Uncommon / Incomum</t>
        </is>
      </c>
      <c r="D3128" s="11" t="inlineStr">
        <is>
          <t>Flying Whenever you cast a noncreature or Dragon spell, this creature deals 1 damage to each opponent.</t>
        </is>
      </c>
      <c r="E3128" s="11" t="inlineStr">
        <is>
          <t>{2}{R}</t>
        </is>
      </c>
      <c r="F3128" s="11" t="inlineStr">
        <is>
          <t>Vermelho</t>
        </is>
      </c>
      <c r="G3128" s="8" t="n">
        <v>0.99</v>
      </c>
      <c r="H3128" s="11" t="inlineStr">
        <is>
          <t>Foundations Jumpstart (J25)</t>
        </is>
      </c>
      <c r="I3128" s="11" t="inlineStr">
        <is>
          <t>Não</t>
        </is>
      </c>
      <c r="J3128" s="11" t="n">
        <v>2024</v>
      </c>
      <c r="K3128" s="10" t="n">
        <v>46055</v>
      </c>
      <c r="L3128" s="11" t="n">
        <v>1</v>
      </c>
      <c r="M3128" s="8">
        <f>L3128*G3128</f>
        <v/>
      </c>
      <c r="N3128" s="11" t="inlineStr">
        <is>
          <t>Pasta</t>
        </is>
      </c>
      <c r="P3128" s="9" t="n"/>
    </row>
    <row r="3129">
      <c r="A3129" s="11" t="inlineStr">
        <is>
          <t>Belligerent of the Ball / Beligerante do Baile</t>
        </is>
      </c>
      <c r="B3129" s="11" t="inlineStr">
        <is>
          <t>Creature — Ogre Warrior / Criatura — Ogro Guerreiro</t>
        </is>
      </c>
      <c r="C3129" s="11" t="inlineStr">
        <is>
          <t>Uncommon / Incomum</t>
        </is>
      </c>
      <c r="D3129" s="11" t="inlineStr">
        <is>
          <t>Celebration — At the beginning of combat on your turn, if two or more nonland permanents entered the battlefield under your control this turn, target creature you control gets +1/+0 and gains menace until end of turn. (It can't be blocked except by two or more creatures.) / Celebração — No início do combate no seu turno, se duas ou mais permanentes não de terreno tiverem entrado no campo de batalha sob seu controle neste turno, a criatura alvo que você controla recebe +1/+0 e ganha ameaçar até o final do turno. (Ela só pode ser bloqueada por duas ou mais criaturas.)</t>
        </is>
      </c>
      <c r="E3129" s="11" t="inlineStr">
        <is>
          <t>{2}{R}</t>
        </is>
      </c>
      <c r="F3129" s="11" t="inlineStr">
        <is>
          <t>Vermelho</t>
        </is>
      </c>
      <c r="G3129" s="8" t="n">
        <v>0.07000000000000001</v>
      </c>
      <c r="H3129" s="11" t="inlineStr">
        <is>
          <t>Wilds of Eldraine (WOE)</t>
        </is>
      </c>
      <c r="I3129" s="11" t="inlineStr">
        <is>
          <t>Não</t>
        </is>
      </c>
      <c r="J3129" s="11" t="n">
        <v>2023</v>
      </c>
      <c r="K3129" s="10" t="n">
        <v>46084</v>
      </c>
      <c r="L3129" s="11" t="n">
        <v>1</v>
      </c>
      <c r="M3129" s="8">
        <f>L3129*G3129</f>
        <v/>
      </c>
      <c r="P3129" s="9" t="n"/>
    </row>
    <row r="3130">
      <c r="A3130" s="11" t="inlineStr">
        <is>
          <t>Slice and Dice / Despedaçar</t>
        </is>
      </c>
      <c r="B3130" s="11" t="inlineStr">
        <is>
          <t>Sorcery / Feitiço</t>
        </is>
      </c>
      <c r="C3130" s="11" t="inlineStr">
        <is>
          <t>Uncommon / Incomum</t>
        </is>
      </c>
      <c r="D3130" s="11" t="inlineStr">
        <is>
          <t>Slice and Dice deals 4 damage to each creature. Cycling {2}{R} ({2}{R}, Discard this card: Draw a card.) When you cycle this card, you may have it deal 1 damage to each creature. / Despedaçar causa 4 pontos de dano a cada criatura. Reciclar {2}{R} ({2}{R}, descarte este card: Compre um card.) Quando recicla Despedaçar, você pode fazer com que ele cause 1 ponto de dano a cada criatura.</t>
        </is>
      </c>
      <c r="E3130" s="11" t="inlineStr">
        <is>
          <t>{4}{R}{R}</t>
        </is>
      </c>
      <c r="F3130" s="11" t="inlineStr">
        <is>
          <t>Vermelho</t>
        </is>
      </c>
      <c r="G3130" s="8" t="n">
        <v>0.25</v>
      </c>
      <c r="H3130" s="11" t="inlineStr">
        <is>
          <t>Commander Masters (CMM)</t>
        </is>
      </c>
      <c r="I3130" s="11" t="inlineStr">
        <is>
          <t>Não</t>
        </is>
      </c>
      <c r="J3130" s="11" t="n">
        <v>2023</v>
      </c>
      <c r="L3130" s="11" t="n">
        <v>2</v>
      </c>
      <c r="M3130" s="8">
        <f>L3130*G3130</f>
        <v/>
      </c>
      <c r="P3130" s="9" t="n"/>
    </row>
    <row r="3131">
      <c r="A3131" s="11" t="inlineStr">
        <is>
          <t>Ravaging Blaze / Incêndio Furioso</t>
        </is>
      </c>
      <c r="B3131" s="11" t="inlineStr">
        <is>
          <t>Instant / Mágica Instantânea</t>
        </is>
      </c>
      <c r="C3131" s="11" t="inlineStr">
        <is>
          <t>Uncommon / Incomum</t>
        </is>
      </c>
      <c r="D3131" s="11" t="inlineStr">
        <is>
          <t>Ravaging Blaze deals X damage to target creature. Spell mastery — If there are two or more instant and/or sorcery cards in your graveyard, Ravaging Blaze also deals X damage to that creature's controller. / Incêndio Furioso causa X pontos de dano à criatura alvo. Maestria em magia — Se houver dois ou mais cards de mágica instantânea ou feitiço no seu cemitério, Incêndio Furioso também causará X pontos de dano ao controlador daquela criatura.</t>
        </is>
      </c>
      <c r="E3131" s="11" t="inlineStr">
        <is>
          <t>{X}{R}{R}</t>
        </is>
      </c>
      <c r="F3131" s="11" t="inlineStr">
        <is>
          <t>Vermelho</t>
        </is>
      </c>
      <c r="G3131" s="8" t="n">
        <v>0.13</v>
      </c>
      <c r="H3131" s="11" t="inlineStr">
        <is>
          <t>Commander Masters (CMM)</t>
        </is>
      </c>
      <c r="I3131" s="11" t="inlineStr">
        <is>
          <t>Não</t>
        </is>
      </c>
      <c r="J3131" s="11" t="n">
        <v>2023</v>
      </c>
      <c r="L3131" s="11" t="n">
        <v>1</v>
      </c>
      <c r="M3131" s="8">
        <f>L3131*G3131</f>
        <v/>
      </c>
      <c r="P3131" s="9" t="n"/>
    </row>
    <row r="3132">
      <c r="A3132" s="11" t="inlineStr">
        <is>
          <t>Empty the Warrens / Esvaziar os Viveiros</t>
        </is>
      </c>
      <c r="B3132" s="11" t="inlineStr">
        <is>
          <t>Sorcery / Feitiço</t>
        </is>
      </c>
      <c r="C3132" s="11" t="inlineStr">
        <is>
          <t>Common / Comum</t>
        </is>
      </c>
      <c r="D3132" s="11" t="inlineStr">
        <is>
          <t>Create two 1/1 red Goblin creature tokens. Storm (When you cast this spell, copy it for each spell cast before it this turn.) / Crie duas fichas de criatura vermelhas 1/1 do tipo Goblin. Rajada (Quando você conjurar esta mágica, faça uma cópia dela para cada mágica conjurada antes dela neste turno.)</t>
        </is>
      </c>
      <c r="E3132" s="11" t="inlineStr">
        <is>
          <t>{3}{R}</t>
        </is>
      </c>
      <c r="F3132" s="11" t="inlineStr">
        <is>
          <t>Vermelho</t>
        </is>
      </c>
      <c r="G3132" s="8" t="n">
        <v>0.15</v>
      </c>
      <c r="H3132" s="11" t="inlineStr">
        <is>
          <t>Dominaria Remastered (DMR)</t>
        </is>
      </c>
      <c r="I3132" s="11" t="inlineStr">
        <is>
          <t>Não</t>
        </is>
      </c>
      <c r="J3132" s="11" t="n">
        <v>2023</v>
      </c>
      <c r="L3132" s="11" t="n">
        <v>1</v>
      </c>
      <c r="M3132" s="8">
        <f>L3132*G3132</f>
        <v/>
      </c>
      <c r="P3132" s="9" t="n"/>
    </row>
    <row r="3133">
      <c r="A3133" s="11" t="inlineStr">
        <is>
          <t>Krenko's Command / Comando de Krenko</t>
        </is>
      </c>
      <c r="B3133" s="11" t="inlineStr">
        <is>
          <t>Sorcery / Feitiço</t>
        </is>
      </c>
      <c r="C3133" s="11" t="inlineStr">
        <is>
          <t>Common / Comum</t>
        </is>
      </c>
      <c r="D3133" s="11" t="inlineStr">
        <is>
          <t>Create two 1/1 red Goblin creature tokens. / Coloque no campo de batalha duas fichas de criatura vermelhas 1/1 do tipo Goblin.</t>
        </is>
      </c>
      <c r="E3133" s="11" t="inlineStr">
        <is>
          <t>{1}{R}</t>
        </is>
      </c>
      <c r="F3133" s="11" t="inlineStr">
        <is>
          <t>Vermelho</t>
        </is>
      </c>
      <c r="G3133" s="8" t="n">
        <v>0.23</v>
      </c>
      <c r="H3133" s="11" t="inlineStr">
        <is>
          <t>Ravnica Remastered (RVR)</t>
        </is>
      </c>
      <c r="I3133" s="11" t="inlineStr">
        <is>
          <t>Não</t>
        </is>
      </c>
      <c r="J3133" s="11" t="n">
        <v>2024</v>
      </c>
      <c r="L3133" s="11" t="n">
        <v>1</v>
      </c>
      <c r="M3133" s="8">
        <f>L3133*G3133</f>
        <v/>
      </c>
      <c r="P3133" s="9" t="n"/>
    </row>
    <row r="3134">
      <c r="A3134" s="11" t="inlineStr">
        <is>
          <t>Skoa, Embermage / Skoa, Maga Ígnea</t>
        </is>
      </c>
      <c r="B3134" s="11" t="inlineStr">
        <is>
          <t>Legendary Creature — Goblin Wizard / Criatura Lendária — Goblin Mago</t>
        </is>
      </c>
      <c r="C3134" s="11" t="inlineStr">
        <is>
          <t>Common / Comum</t>
        </is>
      </c>
      <c r="D3134" s="11" t="inlineStr">
        <is>
          <t>When Skoa enters, it deals 4 damage to any target. Grandeur — Discard another card named Skoa, Embermage, Sacrifice two Mountains: Skoa deals 4 damage to any target. / Quando Skoa, Maga Ígnea, entra no campo de batalha, ela causa 4 pontos de dano a qualquer alvo. Grandeza — Descarte outro card com o nome Skoa, Maga Ígnea, sacrifique duas Montanhas: Skoa causa 4 pontos de dano a qualquer alvo.</t>
        </is>
      </c>
      <c r="E3134" s="11" t="inlineStr">
        <is>
          <t>{4}{R}{R}</t>
        </is>
      </c>
      <c r="F3134" s="11" t="inlineStr">
        <is>
          <t>Vermelho</t>
        </is>
      </c>
      <c r="G3134" s="8" t="n">
        <v>0.1</v>
      </c>
      <c r="H3134" s="11" t="inlineStr">
        <is>
          <t>Modern Horizons 3 (MH3)</t>
        </is>
      </c>
      <c r="I3134" s="11" t="inlineStr">
        <is>
          <t>Não</t>
        </is>
      </c>
      <c r="J3134" s="11" t="n">
        <v>2024</v>
      </c>
      <c r="K3134" s="10" t="n">
        <v>46116</v>
      </c>
      <c r="L3134" s="11" t="n">
        <v>1</v>
      </c>
      <c r="M3134" s="8">
        <f>L3134*G3134</f>
        <v/>
      </c>
      <c r="P3134" s="9" t="n"/>
    </row>
    <row r="3135">
      <c r="A3135" s="11" t="inlineStr">
        <is>
          <t>Thriving Skyclaw / Garra-aérea Vigorosa</t>
        </is>
      </c>
      <c r="B3135" s="11" t="inlineStr">
        <is>
          <t>Creature — Cat Dragon / Criatura — Felino Dragão</t>
        </is>
      </c>
      <c r="C3135" s="11" t="inlineStr">
        <is>
          <t>Common / Comum</t>
        </is>
      </c>
      <c r="D3135" s="11" t="inlineStr">
        <is>
          <t>Flying When this creature enters, you get {E}{E}{E} (three energy counters). Whenever this creature attacks, you may pay {E}{E}{E}. If you do, put a +1/+1 counter on it. / Voar Quando Garra-aérea Vigorosa entra no campo de batalha, você recebe {E}{E}{E} (três marcadores de energia). Toda vez que Garra-aérea Vigorosa ataca, você pode pagar {E}{E}{E}. Se fizer isso, coloque um marcador +1/+1 nele.</t>
        </is>
      </c>
      <c r="E3135" s="11" t="inlineStr">
        <is>
          <t>{2}{R}{R}</t>
        </is>
      </c>
      <c r="F3135" s="11" t="inlineStr">
        <is>
          <t>Vermelho</t>
        </is>
      </c>
      <c r="G3135" s="8" t="n">
        <v>0.05</v>
      </c>
      <c r="H3135" s="11" t="inlineStr">
        <is>
          <t>Modern Horizons 3 (MH3)</t>
        </is>
      </c>
      <c r="I3135" s="11" t="inlineStr">
        <is>
          <t>Não</t>
        </is>
      </c>
      <c r="J3135" s="11" t="n">
        <v>2024</v>
      </c>
      <c r="K3135" s="10" t="n">
        <v>46056</v>
      </c>
      <c r="L3135" s="11" t="n">
        <v>1</v>
      </c>
      <c r="M3135" s="8">
        <f>L3135*G3135</f>
        <v/>
      </c>
      <c r="P3135" s="9" t="n"/>
    </row>
    <row r="3136">
      <c r="A3136" s="11" t="inlineStr">
        <is>
          <t>Vicious Clown</t>
        </is>
      </c>
      <c r="B3136" s="11" t="inlineStr">
        <is>
          <t>Creature — Human Clown</t>
        </is>
      </c>
      <c r="C3136" s="11" t="inlineStr">
        <is>
          <t>Common / Comum</t>
        </is>
      </c>
      <c r="D3136" s="11" t="inlineStr">
        <is>
          <t>Whenever another creature you control with power 2 or less enters, this creature gets +2/+0 until end of turn.</t>
        </is>
      </c>
      <c r="E3136" s="11" t="inlineStr">
        <is>
          <t>{2}{R}</t>
        </is>
      </c>
      <c r="F3136" s="11" t="inlineStr">
        <is>
          <t>Vermelho</t>
        </is>
      </c>
      <c r="G3136" s="8" t="n">
        <v>0.05</v>
      </c>
      <c r="H3136" s="11" t="inlineStr">
        <is>
          <t>Duskmourn: House of Horror (DSK)</t>
        </is>
      </c>
      <c r="I3136" s="11" t="inlineStr">
        <is>
          <t>Não</t>
        </is>
      </c>
      <c r="J3136" s="11" t="n">
        <v>2024</v>
      </c>
      <c r="K3136" s="10" t="n">
        <v>46083</v>
      </c>
      <c r="L3136" s="11" t="n">
        <v>1</v>
      </c>
      <c r="M3136" s="8">
        <f>L3136*G3136</f>
        <v/>
      </c>
      <c r="P3136" s="9" t="n"/>
    </row>
    <row r="3137">
      <c r="A3137" s="11" t="inlineStr">
        <is>
          <t>Tectonic Hazard / Risco Tectônico</t>
        </is>
      </c>
      <c r="B3137" s="11" t="inlineStr">
        <is>
          <t>Sorcery / Feitiço</t>
        </is>
      </c>
      <c r="C3137" s="11" t="inlineStr">
        <is>
          <t>Common / Comum</t>
        </is>
      </c>
      <c r="D3137" s="11" t="inlineStr">
        <is>
          <t>Tectonic Hazard deals 1 damage to each opponent and each creature they control. / Risco Tectônico causa 1 ponto de dano a cada oponente e a cada criatura que ele controla.</t>
        </is>
      </c>
      <c r="E3137" s="11" t="inlineStr">
        <is>
          <t>{R}</t>
        </is>
      </c>
      <c r="F3137" s="11" t="inlineStr">
        <is>
          <t>Vermelho</t>
        </is>
      </c>
      <c r="G3137" s="8" t="n">
        <v>0.5</v>
      </c>
      <c r="H3137" s="11" t="inlineStr">
        <is>
          <t>The Lost Caverns of Ixalan (LCI)</t>
        </is>
      </c>
      <c r="I3137" s="11" t="inlineStr">
        <is>
          <t>Não</t>
        </is>
      </c>
      <c r="J3137" s="11" t="n">
        <v>2023</v>
      </c>
      <c r="L3137" s="11" t="n">
        <v>1</v>
      </c>
      <c r="M3137" s="8">
        <f>L3137*G3137</f>
        <v/>
      </c>
      <c r="P3137" s="9" t="n"/>
    </row>
    <row r="3138">
      <c r="A3138" s="11" t="inlineStr">
        <is>
          <t>Chain Devil / Diabo das Correntes</t>
        </is>
      </c>
      <c r="B3138" s="11" t="inlineStr">
        <is>
          <t>Creature — Devil / Criatura — Diabo</t>
        </is>
      </c>
      <c r="C3138" s="11" t="inlineStr">
        <is>
          <t>Common / Comum</t>
        </is>
      </c>
      <c r="D3138" s="11" t="inlineStr">
        <is>
          <t>Animate Chains — When this creature enters, each player sacrifices a nontoken creature of their choice. / Animar correntes — Quando Diabo das Correntes entra no campo de batalha, cada jogador sacrifica uma criatura não ficha.</t>
        </is>
      </c>
      <c r="E3138" s="11" t="inlineStr">
        <is>
          <t>{3}{B}</t>
        </is>
      </c>
      <c r="F3138" s="11" t="inlineStr">
        <is>
          <t>Preto</t>
        </is>
      </c>
      <c r="G3138" s="8" t="n">
        <v>0.1</v>
      </c>
      <c r="H3138" s="11" t="inlineStr">
        <is>
          <t>Commander Legends: Battle for Baldur's Gate (CLB)</t>
        </is>
      </c>
      <c r="I3138" s="11" t="inlineStr">
        <is>
          <t>Não</t>
        </is>
      </c>
      <c r="J3138" s="11" t="n">
        <v>2022</v>
      </c>
      <c r="K3138" s="10" t="n">
        <v>46057</v>
      </c>
      <c r="L3138" s="11" t="n">
        <v>1</v>
      </c>
      <c r="M3138" s="8">
        <f>L3138*G3138</f>
        <v/>
      </c>
      <c r="P3138" s="9" t="n"/>
    </row>
    <row r="3139">
      <c r="A3139" s="11" t="inlineStr">
        <is>
          <t>Derelict Attic // Widow's Walk</t>
        </is>
      </c>
      <c r="B3139" s="11" t="inlineStr">
        <is>
          <t>Enchantment — Room // Enchantment — Room</t>
        </is>
      </c>
      <c r="C3139" s="11" t="inlineStr">
        <is>
          <t>Common / Comum</t>
        </is>
      </c>
      <c r="D3139" s="11" t="inlineStr">
        <is>
          <t>Derelict Attic: When you unlock this door, you draw two cards and you lose 2 life. (You may cast either half. That door unlocks on the battlefield. As a sorcery, you may pay the mana cost of a locked door to unlock it.) // Widow's Walk: Whenever a creature you control attacks alone, it gets +1/+0 and gains deathtouch until end of turn. (You may cast either half. That door unlocks on the battlefield. As a sorcery, you may pay the mana cost of a locked door to unlock it.)</t>
        </is>
      </c>
      <c r="E3139" s="11" t="inlineStr">
        <is>
          <t>{2}{B} // {3}{B}</t>
        </is>
      </c>
      <c r="F3139" s="11" t="inlineStr">
        <is>
          <t>Preto</t>
        </is>
      </c>
      <c r="G3139" s="8" t="n">
        <v>0.05</v>
      </c>
      <c r="H3139" s="11" t="inlineStr">
        <is>
          <t>Duskmourn: House of Horror (DSK)</t>
        </is>
      </c>
      <c r="I3139" s="11" t="inlineStr">
        <is>
          <t>Não</t>
        </is>
      </c>
      <c r="J3139" s="11" t="n">
        <v>2024</v>
      </c>
      <c r="L3139" s="11" t="n">
        <v>1</v>
      </c>
      <c r="M3139" s="8">
        <f>L3139*G3139</f>
        <v/>
      </c>
      <c r="P3139" s="9" t="n"/>
    </row>
    <row r="3140">
      <c r="A3140" s="11" t="inlineStr">
        <is>
          <t>Infestation Sage</t>
        </is>
      </c>
      <c r="B3140" s="11" t="inlineStr">
        <is>
          <t>Creature — Elf Warlock</t>
        </is>
      </c>
      <c r="C3140" s="11" t="inlineStr">
        <is>
          <t>Common / Comum</t>
        </is>
      </c>
      <c r="D3140" s="11" t="inlineStr">
        <is>
          <t>When this creature dies, create a 1/1 black and green Insect creature token with flying.</t>
        </is>
      </c>
      <c r="E3140" s="11" t="inlineStr">
        <is>
          <t>{B}</t>
        </is>
      </c>
      <c r="F3140" s="11" t="inlineStr">
        <is>
          <t>Preto</t>
        </is>
      </c>
      <c r="G3140" s="8" t="n">
        <v>0.29</v>
      </c>
      <c r="H3140" s="11" t="inlineStr">
        <is>
          <t>Foundations (FDN)</t>
        </is>
      </c>
      <c r="I3140" s="11" t="inlineStr">
        <is>
          <t>Não</t>
        </is>
      </c>
      <c r="J3140" s="11" t="n">
        <v>2024</v>
      </c>
      <c r="K3140" s="10" t="n">
        <v>46023</v>
      </c>
      <c r="L3140" s="11" t="n">
        <v>1</v>
      </c>
      <c r="M3140" s="8">
        <f>L3140*G3140</f>
        <v/>
      </c>
      <c r="P3140" s="9" t="n"/>
    </row>
    <row r="3141">
      <c r="A3141" s="11" t="inlineStr">
        <is>
          <t>Phyrexian Rager / Raivoso Phyrexiano</t>
        </is>
      </c>
      <c r="B3141" s="11" t="inlineStr">
        <is>
          <t>Creature — Phyrexian Horror / Criatura — Phyrexiano Horror</t>
        </is>
      </c>
      <c r="C3141" s="11" t="inlineStr">
        <is>
          <t>Common / Comum</t>
        </is>
      </c>
      <c r="D3141" s="11" t="inlineStr">
        <is>
          <t>When this creature enters, you draw a card and you lose 1 life. / Quando Raivoso Phyrexiano entra no campo de batalha, você compra um card e perde 1 ponto de vida.</t>
        </is>
      </c>
      <c r="E3141" s="11" t="inlineStr">
        <is>
          <t>{2}{B}</t>
        </is>
      </c>
      <c r="F3141" s="11" t="inlineStr">
        <is>
          <t>Preto</t>
        </is>
      </c>
      <c r="G3141" s="8" t="n">
        <v>0.1</v>
      </c>
      <c r="H3141" s="11" t="inlineStr">
        <is>
          <t>Dominaria United (DMU)</t>
        </is>
      </c>
      <c r="I3141" s="11" t="inlineStr">
        <is>
          <t>Não</t>
        </is>
      </c>
      <c r="J3141" s="11" t="n">
        <v>2022</v>
      </c>
      <c r="K3141" s="10" t="n">
        <v>46055</v>
      </c>
      <c r="L3141" s="11" t="n">
        <v>1</v>
      </c>
      <c r="M3141" s="8">
        <f>L3141*G3141</f>
        <v/>
      </c>
      <c r="P3141" s="9" t="n"/>
    </row>
    <row r="3142">
      <c r="A3142" s="11" t="inlineStr">
        <is>
          <t>Midnight Scavengers</t>
        </is>
      </c>
      <c r="B3142" s="11" t="inlineStr">
        <is>
          <t>Creature — Human Rogue</t>
        </is>
      </c>
      <c r="C3142" s="11" t="inlineStr">
        <is>
          <t>Common / Comum</t>
        </is>
      </c>
      <c r="D3142" s="11" t="inlineStr">
        <is>
          <t>When this creature enters, you may return target creature card with mana value 3 or less from your graveyard to your hand. (Melds with Graf Rats.)</t>
        </is>
      </c>
      <c r="E3142" s="11" t="inlineStr">
        <is>
          <t>{4}{B}</t>
        </is>
      </c>
      <c r="F3142" s="11" t="inlineStr">
        <is>
          <t>Preto</t>
        </is>
      </c>
      <c r="G3142" s="8" t="n">
        <v>0.05</v>
      </c>
      <c r="H3142" s="11" t="inlineStr">
        <is>
          <t>Innistrad Remastered (INR)</t>
        </is>
      </c>
      <c r="I3142" s="11" t="inlineStr">
        <is>
          <t>Não</t>
        </is>
      </c>
      <c r="J3142" s="11" t="n">
        <v>2025</v>
      </c>
      <c r="K3142" s="10" t="n">
        <v>46084</v>
      </c>
      <c r="L3142" s="11" t="n">
        <v>1</v>
      </c>
      <c r="M3142" s="8">
        <f>L3142*G3142</f>
        <v/>
      </c>
      <c r="P3142" s="9" t="n"/>
    </row>
    <row r="3143">
      <c r="A3143" s="11" t="inlineStr">
        <is>
          <t>Archfiend of Ifnir / Arquidemônio de Ifnir</t>
        </is>
      </c>
      <c r="B3143" s="11" t="inlineStr">
        <is>
          <t>Creature — Demon / Criatura — Demônio</t>
        </is>
      </c>
      <c r="C3143" s="11" t="inlineStr">
        <is>
          <t>Rare / Rara</t>
        </is>
      </c>
      <c r="D3143" s="11" t="inlineStr">
        <is>
          <t>Flying Whenever you cycle or discard another card, put a -1/-1 counter on each creature your opponents control. Cycling {2} ({2}, Discard this card: Draw a card.) / Voar Toda vez que você reciclar ou descartar outro card, coloque um marcador -1/-1 em cada criatura que seus oponentes controlam. Reciclar {2} ({2}, Descarte este card: Compre um card.)</t>
        </is>
      </c>
      <c r="E3143" s="11" t="inlineStr">
        <is>
          <t>{3}{B}{B}</t>
        </is>
      </c>
      <c r="F3143" s="11" t="inlineStr">
        <is>
          <t>Preto</t>
        </is>
      </c>
      <c r="G3143" s="8" t="n">
        <v>3.25</v>
      </c>
      <c r="H3143" s="11" t="inlineStr">
        <is>
          <t>Amonkhet (AKH)</t>
        </is>
      </c>
      <c r="I3143" s="11" t="inlineStr">
        <is>
          <t>Não</t>
        </is>
      </c>
      <c r="J3143" s="11" t="n">
        <v>2017</v>
      </c>
      <c r="K3143" s="10" t="n">
        <v>46117</v>
      </c>
      <c r="L3143" s="11" t="n">
        <v>2</v>
      </c>
      <c r="M3143" s="8">
        <f>L3143*G3143</f>
        <v/>
      </c>
      <c r="N3143" s="11" t="inlineStr">
        <is>
          <t>Pasta</t>
        </is>
      </c>
      <c r="P3143" s="9" t="n"/>
    </row>
    <row r="3144">
      <c r="A3144" s="11" t="inlineStr">
        <is>
          <t>Glint-Sleeve Siphoner / Sifonadora Braçoluz</t>
        </is>
      </c>
      <c r="B3144" s="11" t="inlineStr">
        <is>
          <t>Creature — Human Rogue / Criatura — Humano Ladino</t>
        </is>
      </c>
      <c r="C3144" s="11" t="inlineStr">
        <is>
          <t>Rare / Rara</t>
        </is>
      </c>
      <c r="D3144" s="11" t="inlineStr">
        <is>
          <t>Menace Whenever this creature enters or attacks, you get {E} (an energy counter). At the beginning of your upkeep, you may pay {E}{E}. If you do, you draw a card and you lose 1 life. / Ameaçar Toda vez que Sifonadora Braçoluz entra no campo de batalha ou ataca, você recebe {E} (um marcador de energia). No início de sua manutenção, você pode pagar {E}{E}. Se fizer isso, você compra um card e perde 1 ponto de vida.</t>
        </is>
      </c>
      <c r="E3144" s="11" t="inlineStr">
        <is>
          <t>{1}{B}</t>
        </is>
      </c>
      <c r="F3144" s="11" t="inlineStr">
        <is>
          <t>Preto</t>
        </is>
      </c>
      <c r="G3144" s="8" t="n">
        <v>0.16</v>
      </c>
      <c r="H3144" s="11" t="inlineStr">
        <is>
          <t>Aether Revolt (AER)</t>
        </is>
      </c>
      <c r="I3144" s="11" t="inlineStr">
        <is>
          <t>Não</t>
        </is>
      </c>
      <c r="J3144" s="11" t="n">
        <v>2017</v>
      </c>
      <c r="K3144" s="10" t="n">
        <v>46024</v>
      </c>
      <c r="L3144" s="11" t="n">
        <v>3</v>
      </c>
      <c r="M3144" s="8">
        <f>L3144*G3144</f>
        <v/>
      </c>
      <c r="P3144" s="9" t="n"/>
    </row>
    <row r="3145">
      <c r="A3145" s="11" t="inlineStr">
        <is>
          <t>Yahenni's Expertise / Especialidade de Yahenni</t>
        </is>
      </c>
      <c r="B3145" s="11" t="inlineStr">
        <is>
          <t>Sorcery / Feitiço</t>
        </is>
      </c>
      <c r="C3145" s="11" t="inlineStr">
        <is>
          <t>Rare / Rara</t>
        </is>
      </c>
      <c r="D3145" s="11" t="inlineStr">
        <is>
          <t>All creatures get -3/-3 until end of turn. You may cast a spell with mana value 3 or less from your hand without paying its mana cost. / Todas as criaturas recebem -3/-3 até o final do turno. Você pode conjurar um card com custo de mana convertido igual ou inferior a 3 da sua mão sem pagar seu custo de mana.</t>
        </is>
      </c>
      <c r="E3145" s="11" t="inlineStr">
        <is>
          <t>{2}{B}{B}</t>
        </is>
      </c>
      <c r="F3145" s="11" t="inlineStr">
        <is>
          <t>Preto</t>
        </is>
      </c>
      <c r="G3145" s="8" t="n">
        <v>2</v>
      </c>
      <c r="H3145" s="11" t="inlineStr">
        <is>
          <t>Aether Revolt (AER)</t>
        </is>
      </c>
      <c r="I3145" s="11" t="inlineStr">
        <is>
          <t>Não</t>
        </is>
      </c>
      <c r="J3145" s="11" t="n">
        <v>2017</v>
      </c>
      <c r="L3145" s="11" t="n">
        <v>1</v>
      </c>
      <c r="M3145" s="8">
        <f>L3145*G3145</f>
        <v/>
      </c>
      <c r="N3145" s="11" t="inlineStr">
        <is>
          <t>Pasta</t>
        </is>
      </c>
      <c r="P3145" s="9" t="n"/>
    </row>
    <row r="3146">
      <c r="A3146" s="11" t="inlineStr">
        <is>
          <t>Gonti, Lord of Luxury / Gonti, Senhor da Opulência</t>
        </is>
      </c>
      <c r="B3146" s="11" t="inlineStr">
        <is>
          <t>Legendary Creature — Aetherborn Rogue / Criatura Lendária — Etergênito Ladino</t>
        </is>
      </c>
      <c r="C3146" s="11" t="inlineStr">
        <is>
          <t>Rare / Rara</t>
        </is>
      </c>
      <c r="D3146" s="11" t="inlineStr">
        <is>
          <t>Deathtouch When Gonti enters, look at the top four cards of target opponent's library, exile one of them face down, then put the rest on the bottom of that library in a random order. You may cast that card for as long as it remains exiled, and mana of any type can be spent to cast that spell. / Toque mortífero Quando Gonti, Senhor da Opulência, entrar no campo de batalha, olhe os quatro cards do topo do grimório do oponente alvo, exile um deles com a face voltada para baixo e, em seguida, coloque o restante no fundo daquele grimório em ordem aleatória. Enquanto o card permanecer exilado, você poderá olhá-lo, conjurá-lo e gastar mana como se fosse de qualquer tipo para conjurá-lo.</t>
        </is>
      </c>
      <c r="E3146" s="11" t="inlineStr">
        <is>
          <t>{2}{B}{B}</t>
        </is>
      </c>
      <c r="F3146" s="11" t="inlineStr">
        <is>
          <t>Preto</t>
        </is>
      </c>
      <c r="G3146" s="8" t="n">
        <v>0.25</v>
      </c>
      <c r="H3146" s="11" t="inlineStr">
        <is>
          <t>Kaladesh (KLD)</t>
        </is>
      </c>
      <c r="I3146" s="11" t="inlineStr">
        <is>
          <t>Não</t>
        </is>
      </c>
      <c r="J3146" s="11" t="n">
        <v>2016</v>
      </c>
      <c r="K3146" s="10" t="n">
        <v>46083</v>
      </c>
      <c r="L3146" s="11" t="n">
        <v>2</v>
      </c>
      <c r="M3146" s="8">
        <f>L3146*G3146</f>
        <v/>
      </c>
      <c r="P3146" s="9" t="n"/>
    </row>
    <row r="3147">
      <c r="A3147" s="11" t="inlineStr">
        <is>
          <t>Phyrexian Debaser / Degradador Phyrexiano</t>
        </is>
      </c>
      <c r="B3147" s="11" t="inlineStr">
        <is>
          <t>Creature — Phyrexian Carrier / Criatura — Phyrexiano Portador</t>
        </is>
      </c>
      <c r="C3147" s="11" t="inlineStr">
        <is>
          <t>Common / Comum</t>
        </is>
      </c>
      <c r="D3147" s="11" t="inlineStr">
        <is>
          <t>Flying {T}, Sacrifice this creature: Target creature gets -2/-2 until end of turn. / Voar {T}, sacrifique Degradador Phyrexiano: A criatura alvo recebe -2/-2 até o final do turno.</t>
        </is>
      </c>
      <c r="E3147" s="11" t="inlineStr">
        <is>
          <t>{3}{B}</t>
        </is>
      </c>
      <c r="F3147" s="11" t="inlineStr">
        <is>
          <t>Preto</t>
        </is>
      </c>
      <c r="G3147" s="8" t="n">
        <v>0.04</v>
      </c>
      <c r="H3147" s="11" t="inlineStr">
        <is>
          <t>Dominaria Remastered (DMR)</t>
        </is>
      </c>
      <c r="I3147" s="11" t="inlineStr">
        <is>
          <t>Não</t>
        </is>
      </c>
      <c r="J3147" s="11" t="n">
        <v>2023</v>
      </c>
      <c r="K3147" s="10" t="n">
        <v>46055</v>
      </c>
      <c r="L3147" s="11" t="n">
        <v>1</v>
      </c>
      <c r="M3147" s="8">
        <f>L3147*G3147</f>
        <v/>
      </c>
      <c r="P3147" s="9" t="n"/>
    </row>
    <row r="3148">
      <c r="A3148" s="11" t="inlineStr">
        <is>
          <t>Feaster of Fools / Devorador de Tolos</t>
        </is>
      </c>
      <c r="B3148" s="11" t="inlineStr">
        <is>
          <t>Creature — Demon / Criatura — Demônio</t>
        </is>
      </c>
      <c r="C3148" s="11" t="inlineStr">
        <is>
          <t>Uncommon / Incomum</t>
        </is>
      </c>
      <c r="D3148" s="11" t="inlineStr">
        <is>
          <t>Convoke (Your creatures can help cast this spell. Each creature you tap while casting this spell pays for {1} or one mana of that creature's color.) Flying Devour 2 (As this creature enters, you may sacrifice any number of creatures. It enters with twice that many +1/+1 counters on it.) / Convocar (Suas criaturas podem ajudar a conjurar esta mágica. Cada criatura que você vira ao conjurar esta mágica paga {1} ou um mana da cor daquela criatura.) Voar Devorar 2 (Conforme esta criatura entra no campo de batalha, você pode sacrificar um número qualquer de criaturas. Esta criatura entra no campo de batalha com o dobro daquela quantidade de marcadores +1/+1.)</t>
        </is>
      </c>
      <c r="E3148" s="11" t="inlineStr">
        <is>
          <t>{4}{B}{B}</t>
        </is>
      </c>
      <c r="F3148" s="11" t="inlineStr">
        <is>
          <t>Preto</t>
        </is>
      </c>
      <c r="G3148" s="8" t="n">
        <v>0.1</v>
      </c>
      <c r="H3148" s="11" t="inlineStr">
        <is>
          <t>Modern Horizons (MH1)</t>
        </is>
      </c>
      <c r="I3148" s="11" t="inlineStr">
        <is>
          <t>Não</t>
        </is>
      </c>
      <c r="J3148" s="11" t="n">
        <v>2019</v>
      </c>
      <c r="K3148" s="10" t="n">
        <v>46084</v>
      </c>
      <c r="L3148" s="11" t="n">
        <v>1</v>
      </c>
      <c r="M3148" s="8">
        <f>L3148*G3148</f>
        <v/>
      </c>
      <c r="P3148" s="9" t="n"/>
    </row>
    <row r="3149">
      <c r="A3149" s="11" t="inlineStr">
        <is>
          <t>Terror</t>
        </is>
      </c>
      <c r="B3149" s="11" t="inlineStr">
        <is>
          <t>Instant / Mágica Instantânea</t>
        </is>
      </c>
      <c r="C3149" s="11" t="inlineStr">
        <is>
          <t>Common / Comum</t>
        </is>
      </c>
      <c r="D3149" s="11" t="inlineStr">
        <is>
          <t>Destroy target nonartifact, nonblack creature. It can't be regenerated. / Destrua a criatura alvo que não seja preta e nem artefato. Ela não pode ser regenerada.</t>
        </is>
      </c>
      <c r="E3149" s="11" t="inlineStr">
        <is>
          <t>{1}{B}</t>
        </is>
      </c>
      <c r="F3149" s="11" t="inlineStr">
        <is>
          <t>Preto</t>
        </is>
      </c>
      <c r="G3149" s="8" t="n">
        <v>0.15</v>
      </c>
      <c r="H3149" s="11" t="inlineStr">
        <is>
          <t>Dominaria Remastered (DMR)</t>
        </is>
      </c>
      <c r="I3149" s="11" t="inlineStr">
        <is>
          <t>Não</t>
        </is>
      </c>
      <c r="J3149" s="11" t="n">
        <v>2023</v>
      </c>
      <c r="L3149" s="11" t="n">
        <v>1</v>
      </c>
      <c r="M3149" s="8">
        <f>L3149*G3149</f>
        <v/>
      </c>
      <c r="P3149" s="9" t="n"/>
    </row>
    <row r="3150">
      <c r="A3150" s="11" t="inlineStr">
        <is>
          <t>Noxious Grasp / Garras Nóxias</t>
        </is>
      </c>
      <c r="B3150" s="11" t="inlineStr">
        <is>
          <t>Instant / Mágica Instantânea</t>
        </is>
      </c>
      <c r="C3150" s="11" t="inlineStr">
        <is>
          <t>Uncommon / Incomum</t>
        </is>
      </c>
      <c r="D3150" s="11" t="inlineStr">
        <is>
          <t>Destroy target creature or planeswalker that's green or white. You gain 1 life. / Destrua a criatura ou o planeswalker alvo que seja verde ou branco. Você ganha 1 ponto de vida.</t>
        </is>
      </c>
      <c r="E3150" s="11" t="inlineStr">
        <is>
          <t>{1}{B}</t>
        </is>
      </c>
      <c r="F3150" s="11" t="inlineStr">
        <is>
          <t>Preto</t>
        </is>
      </c>
      <c r="G3150" s="8" t="n">
        <v>0.13</v>
      </c>
      <c r="H3150" s="11" t="inlineStr">
        <is>
          <t>Core Set 2020 (M20)</t>
        </is>
      </c>
      <c r="I3150" s="11" t="inlineStr">
        <is>
          <t>Não</t>
        </is>
      </c>
      <c r="J3150" s="11" t="n">
        <v>2019</v>
      </c>
      <c r="L3150" s="11" t="n">
        <v>2</v>
      </c>
      <c r="M3150" s="8">
        <f>L3150*G3150</f>
        <v/>
      </c>
      <c r="P3150" s="9" t="n"/>
    </row>
    <row r="3151">
      <c r="A3151" s="11" t="inlineStr">
        <is>
          <t>Long Goodbye / Longo Adeus</t>
        </is>
      </c>
      <c r="B3151" s="11" t="inlineStr">
        <is>
          <t>Instant / Mágica Instantânea</t>
        </is>
      </c>
      <c r="C3151" s="11" t="inlineStr">
        <is>
          <t>Uncommon / Incomum</t>
        </is>
      </c>
      <c r="D3151" s="11" t="inlineStr">
        <is>
          <t>This spell can't be countered. (This includes by the ward ability.) Destroy target creature or planeswalker with mana value 3 or less. / Esta mágica não pode ser anulada. (Isto inclui a habilidade salvaguarda.) Destrua a criatura ou o planeswalker alvo com valor de mana igual ou inferior a 3.</t>
        </is>
      </c>
      <c r="E3151" s="11" t="inlineStr">
        <is>
          <t>{1}{B}</t>
        </is>
      </c>
      <c r="F3151" s="11" t="inlineStr">
        <is>
          <t>Preto</t>
        </is>
      </c>
      <c r="G3151" s="8" t="n">
        <v>0.25</v>
      </c>
      <c r="H3151" s="11" t="inlineStr">
        <is>
          <t>Murders at Karlov Manor (MKM)</t>
        </is>
      </c>
      <c r="I3151" s="11" t="inlineStr">
        <is>
          <t>Não</t>
        </is>
      </c>
      <c r="J3151" s="11" t="n">
        <v>2024</v>
      </c>
      <c r="L3151" s="11" t="n">
        <v>1</v>
      </c>
      <c r="M3151" s="8">
        <f>L3151*G3151</f>
        <v/>
      </c>
      <c r="P3151" s="9" t="n"/>
    </row>
    <row r="3152">
      <c r="A3152" s="11" t="inlineStr">
        <is>
          <t>Invasão de Eldraine / Invasion of Eldraine</t>
        </is>
      </c>
      <c r="B3152" s="11" t="inlineStr">
        <is>
          <t>Batalha - Cerco / Battle - Siege</t>
        </is>
      </c>
      <c r="C3152" s="11" t="inlineStr">
        <is>
          <t>Incomum / Uncommon</t>
        </is>
      </c>
      <c r="D3152" s="11" t="inlineStr">
        <is>
          <t>(Conforme um Cerco entrar no campo de batalha, escolha um oponente para protegê-lo. Você e outros podem atacá-lo. Quando ele for derrotado, exile-o e depois o conjure transformado.) Quando Invasão de Eldraine entra no campo de batalha, o oponente alvo descarta dois cards.</t>
        </is>
      </c>
      <c r="E3152" s="11" t="inlineStr">
        <is>
          <t>{3}{B}</t>
        </is>
      </c>
      <c r="F3152" s="11" t="inlineStr">
        <is>
          <t>Preto</t>
        </is>
      </c>
      <c r="G3152" s="8" t="n">
        <v>0.04</v>
      </c>
      <c r="H3152" s="11" t="inlineStr">
        <is>
          <t>March of the Machine (MOM)</t>
        </is>
      </c>
      <c r="I3152" s="11" t="inlineStr">
        <is>
          <t>Não</t>
        </is>
      </c>
      <c r="J3152" s="11" t="n">
        <v>2023</v>
      </c>
      <c r="K3152" s="11" t="inlineStr">
        <is>
          <t>4 (Defesa)</t>
        </is>
      </c>
      <c r="L3152" s="11" t="n">
        <v>1</v>
      </c>
      <c r="M3152" s="8">
        <f>L3152*G3152</f>
        <v/>
      </c>
      <c r="P3152" s="9" t="n"/>
    </row>
    <row r="3153">
      <c r="A3153" s="11" t="inlineStr">
        <is>
          <t>Invasão de Ulgrotha / Invasion of Ulgrotha</t>
        </is>
      </c>
      <c r="B3153" s="11" t="inlineStr">
        <is>
          <t>Batalha - Cerco / Battle - Siege</t>
        </is>
      </c>
      <c r="C3153" s="11" t="inlineStr">
        <is>
          <t>Incomum / Uncommon</t>
        </is>
      </c>
      <c r="D3153" s="11" t="inlineStr">
        <is>
          <t>(Conforme um Cerco entrar no campo de batalha, escolha um oponente para protegê-lo. Você e outros podem atacá-lo. Quando ele for derrotado, exile-o e depois o conjure transformado.) Quando Invasão de Ulgrotha entra no campo de batalha, ela causa 3 pontos de dano a qualquer alvo e você ganha 3 pontos de vida.</t>
        </is>
      </c>
      <c r="E3153" s="11" t="inlineStr">
        <is>
          <t>{4}{B}</t>
        </is>
      </c>
      <c r="F3153" s="11" t="inlineStr">
        <is>
          <t>Preto</t>
        </is>
      </c>
      <c r="G3153" s="8" t="n">
        <v>0.04</v>
      </c>
      <c r="H3153" s="11" t="inlineStr">
        <is>
          <t>March of the Machine (MOM)</t>
        </is>
      </c>
      <c r="I3153" s="11" t="inlineStr">
        <is>
          <t>Não</t>
        </is>
      </c>
      <c r="J3153" s="11" t="n">
        <v>2023</v>
      </c>
      <c r="K3153" s="11" t="inlineStr">
        <is>
          <t>5 (Defesa)</t>
        </is>
      </c>
      <c r="L3153" s="11" t="n">
        <v>1</v>
      </c>
      <c r="M3153" s="8">
        <f>L3153*G3153</f>
        <v/>
      </c>
      <c r="P3153" s="9" t="n"/>
    </row>
    <row r="3154">
      <c r="A3154" s="11" t="inlineStr">
        <is>
          <t>Soul-Shackled Zombie</t>
        </is>
      </c>
      <c r="B3154" s="11" t="inlineStr">
        <is>
          <t>Creature — Zombie</t>
        </is>
      </c>
      <c r="C3154" s="11" t="inlineStr">
        <is>
          <t>Common / Comum</t>
        </is>
      </c>
      <c r="D3154" s="11" t="inlineStr">
        <is>
          <t>When this creature enters, exile up to two target cards from a single graveyard. If at least one creature card was exiled this way, each opponent loses 2 life and you gain 2 life.</t>
        </is>
      </c>
      <c r="E3154" s="11" t="inlineStr">
        <is>
          <t>{3}{B}</t>
        </is>
      </c>
      <c r="F3154" s="11" t="inlineStr">
        <is>
          <t>Preto</t>
        </is>
      </c>
      <c r="G3154" s="8" t="n">
        <v>0.04</v>
      </c>
      <c r="H3154" s="11" t="inlineStr">
        <is>
          <t>Foundations (FDN)</t>
        </is>
      </c>
      <c r="I3154" s="11" t="inlineStr">
        <is>
          <t>Não</t>
        </is>
      </c>
      <c r="J3154" s="11" t="n">
        <v>2024</v>
      </c>
      <c r="K3154" s="10" t="n">
        <v>46057</v>
      </c>
      <c r="L3154" s="11" t="n">
        <v>1</v>
      </c>
      <c r="M3154" s="8">
        <f>L3154*G3154</f>
        <v/>
      </c>
      <c r="P3154" s="9" t="n"/>
    </row>
    <row r="3155">
      <c r="A3155" s="11" t="inlineStr">
        <is>
          <t>Brain Maggot / Verme Cerebral</t>
        </is>
      </c>
      <c r="B3155" s="11" t="inlineStr">
        <is>
          <t>Enchantment Creature — Insect / Criatura Encantamento — Inseto</t>
        </is>
      </c>
      <c r="C3155" s="11" t="inlineStr">
        <is>
          <t>Uncommon / Incomum</t>
        </is>
      </c>
      <c r="D3155" s="11" t="inlineStr">
        <is>
          <t>When this creature enters, target opponent reveals their hand and you choose a nonland card from it. Exile that card until this creature leaves the battlefield. / Quando Verme Cerebral entra no campo de batalha, o oponente alvo revela a própria mão e você escolhe um card dela que não seja um terreno. Exile aquele card até Verme Cerebral deixar o campo de batalha.</t>
        </is>
      </c>
      <c r="E3155" s="11" t="inlineStr">
        <is>
          <t>{1}{B}</t>
        </is>
      </c>
      <c r="F3155" s="11" t="inlineStr">
        <is>
          <t>Preto</t>
        </is>
      </c>
      <c r="G3155" s="8" t="n">
        <v>0.1</v>
      </c>
      <c r="H3155" s="11" t="inlineStr">
        <is>
          <t>Journey into Nyx (JOU)</t>
        </is>
      </c>
      <c r="I3155" s="11" t="inlineStr">
        <is>
          <t>Não</t>
        </is>
      </c>
      <c r="J3155" s="11" t="n">
        <v>2014</v>
      </c>
      <c r="K3155" s="10" t="n">
        <v>46023</v>
      </c>
      <c r="L3155" s="11" t="n">
        <v>4</v>
      </c>
      <c r="M3155" s="8">
        <f>L3155*G3155</f>
        <v/>
      </c>
      <c r="P3155" s="9" t="n"/>
    </row>
    <row r="3156">
      <c r="A3156" s="11" t="inlineStr">
        <is>
          <t>Eaten Alive / Comido Vivo</t>
        </is>
      </c>
      <c r="B3156" s="11" t="inlineStr">
        <is>
          <t>Sorcery / Feitiço</t>
        </is>
      </c>
      <c r="C3156" s="11" t="inlineStr">
        <is>
          <t>Common / Comum</t>
        </is>
      </c>
      <c r="D3156" s="11" t="inlineStr">
        <is>
          <t>As an additional cost to cast this spell, sacrifice a creature or pay {3}{B}. Exile target creature or planeswalker. / Como custo adicional para conjurar esta mágica, sacrifique uma criatura ou pague {3}{B}. Exile a criatura ou o planeswalker alvo.</t>
        </is>
      </c>
      <c r="E3156" s="11" t="inlineStr">
        <is>
          <t>{B}</t>
        </is>
      </c>
      <c r="F3156" s="11" t="inlineStr">
        <is>
          <t>Preto</t>
        </is>
      </c>
      <c r="G3156" s="8" t="n">
        <v>0.1</v>
      </c>
      <c r="H3156" s="11" t="inlineStr">
        <is>
          <t>Foundations (FDN)</t>
        </is>
      </c>
      <c r="I3156" s="11" t="inlineStr">
        <is>
          <t>Não</t>
        </is>
      </c>
      <c r="J3156" s="11" t="n">
        <v>2024</v>
      </c>
      <c r="L3156" s="11" t="n">
        <v>1</v>
      </c>
      <c r="M3156" s="8">
        <f>L3156*G3156</f>
        <v/>
      </c>
      <c r="P3156" s="9" t="n"/>
    </row>
    <row r="3157">
      <c r="A3157" s="11" t="inlineStr">
        <is>
          <t>Bloodsoaked Altar / Altar Ensanguentado</t>
        </is>
      </c>
      <c r="B3157" s="11" t="inlineStr">
        <is>
          <t>Artifact / Artefato</t>
        </is>
      </c>
      <c r="C3157" s="11" t="inlineStr">
        <is>
          <t>Uncommon / Incomum</t>
        </is>
      </c>
      <c r="D3157" s="11" t="inlineStr">
        <is>
          <t>{T}, Pay 2 life, Discard a card, Sacrifice a creature: Create a 5/5 black Demon creature token with flying. Activate only as a sorcery. / {T}, pague 2 pontos de vida, descarte um card, sacrifique uma criatura: Crie uma ficha de criatura preta 5/5 do tipo Demônio com voar. Ative esta habilidade somente nos momentos em que poderia conjurar um feitiço.</t>
        </is>
      </c>
      <c r="E3157" s="11" t="inlineStr">
        <is>
          <t>{4}{B}{B}</t>
        </is>
      </c>
      <c r="F3157" s="11" t="inlineStr">
        <is>
          <t>Preto</t>
        </is>
      </c>
      <c r="G3157" s="8" t="n">
        <v>0.06</v>
      </c>
      <c r="H3157" s="11" t="inlineStr">
        <is>
          <t>Core Set 2020 (M20)</t>
        </is>
      </c>
      <c r="I3157" s="11" t="inlineStr">
        <is>
          <t>Não</t>
        </is>
      </c>
      <c r="J3157" s="11" t="n">
        <v>2019</v>
      </c>
      <c r="L3157" s="11" t="n">
        <v>1</v>
      </c>
      <c r="M3157" s="8">
        <f>L3157*G3157</f>
        <v/>
      </c>
      <c r="P3157" s="9" t="n"/>
    </row>
    <row r="3158">
      <c r="A3158" s="11" t="inlineStr">
        <is>
          <t>Drown in Sorrow / Afogar em Mágoas</t>
        </is>
      </c>
      <c r="B3158" s="11" t="inlineStr">
        <is>
          <t>Sorcery / Feitiço</t>
        </is>
      </c>
      <c r="C3158" s="11" t="inlineStr">
        <is>
          <t>Common / Comum</t>
        </is>
      </c>
      <c r="D3158" s="11" t="inlineStr">
        <is>
          <t>All creatures get -2/-2 until end of turn. Scry 1. (Look at the top card of your library. You may put that card on the bottom.) / Todas as criaturas recebem -2/-2 até o final do turno. Vidência 1. (Olhe o card do topo de seu grimório. Você pode colocar aquele card no fundo de seu grimório.)</t>
        </is>
      </c>
      <c r="E3158" s="11" t="inlineStr">
        <is>
          <t>{1}{B}{B}</t>
        </is>
      </c>
      <c r="F3158" s="11" t="inlineStr">
        <is>
          <t>Preto</t>
        </is>
      </c>
      <c r="G3158" s="8" t="n">
        <v>3.5</v>
      </c>
      <c r="H3158" s="11" t="inlineStr">
        <is>
          <t>Commander Masters (CMM)</t>
        </is>
      </c>
      <c r="I3158" s="11" t="inlineStr">
        <is>
          <t>Não</t>
        </is>
      </c>
      <c r="J3158" s="11" t="n">
        <v>2023</v>
      </c>
      <c r="L3158" s="11" t="n">
        <v>2</v>
      </c>
      <c r="M3158" s="8">
        <f>L3158*G3158</f>
        <v/>
      </c>
      <c r="N3158" s="11" t="inlineStr">
        <is>
          <t>Pasta</t>
        </is>
      </c>
      <c r="P3158" s="9" t="n"/>
    </row>
    <row r="3159">
      <c r="A3159" s="11" t="inlineStr">
        <is>
          <t>Macabre Waltz / Valsa Macabra</t>
        </is>
      </c>
      <c r="B3159" s="11" t="inlineStr">
        <is>
          <t>Sorcery / Feitiço</t>
        </is>
      </c>
      <c r="C3159" s="11" t="inlineStr">
        <is>
          <t>Common / Comum</t>
        </is>
      </c>
      <c r="D3159" s="11" t="inlineStr">
        <is>
          <t>Return up to two target creature cards from your graveyard to your hand, then discard a card. / Devolva até dois cards de criatura alvo de seu cemitério para sua mão e depois descarte um card.</t>
        </is>
      </c>
      <c r="E3159" s="11" t="inlineStr">
        <is>
          <t>{1}{B}</t>
        </is>
      </c>
      <c r="F3159" s="11" t="inlineStr">
        <is>
          <t>Preto</t>
        </is>
      </c>
      <c r="G3159" s="8" t="n">
        <v>0.08</v>
      </c>
      <c r="H3159" s="11" t="inlineStr">
        <is>
          <t>Foundations (FDN)</t>
        </is>
      </c>
      <c r="I3159" s="11" t="inlineStr">
        <is>
          <t>Não</t>
        </is>
      </c>
      <c r="J3159" s="11" t="n">
        <v>2024</v>
      </c>
      <c r="L3159" s="11" t="n">
        <v>1</v>
      </c>
      <c r="M3159" s="8">
        <f>L3159*G3159</f>
        <v/>
      </c>
      <c r="P3159" s="9" t="n"/>
    </row>
    <row r="3160">
      <c r="A3160" s="11" t="inlineStr">
        <is>
          <t>Breathe Your Last / Respire pela Última Vez</t>
        </is>
      </c>
      <c r="B3160" s="11" t="inlineStr">
        <is>
          <t>Instant / Mágica Instantânea</t>
        </is>
      </c>
      <c r="C3160" s="11" t="inlineStr">
        <is>
          <t>Common / Comum</t>
        </is>
      </c>
      <c r="D3160" s="11" t="inlineStr">
        <is>
          <t>Destroy target creature or planeswalker. You gain 1 life for each of its colors. / Destrua a criatura ou o planeswalker alvo. Você ganha 1 ponto de vida por cada uma de suas cores.</t>
        </is>
      </c>
      <c r="E3160" s="11" t="inlineStr">
        <is>
          <t>{1}{B}{B}</t>
        </is>
      </c>
      <c r="F3160" s="11" t="inlineStr">
        <is>
          <t>Preto</t>
        </is>
      </c>
      <c r="G3160" s="8" t="n">
        <v>0.05</v>
      </c>
      <c r="H3160" s="11" t="inlineStr">
        <is>
          <t>Modern Horizons 3 (MH3)</t>
        </is>
      </c>
      <c r="I3160" s="11" t="inlineStr">
        <is>
          <t>Não</t>
        </is>
      </c>
      <c r="J3160" s="11" t="n">
        <v>2024</v>
      </c>
      <c r="L3160" s="11" t="n">
        <v>1</v>
      </c>
      <c r="M3160" s="8">
        <f>L3160*G3160</f>
        <v/>
      </c>
      <c r="P3160" s="9" t="n"/>
    </row>
    <row r="3161">
      <c r="A3161" s="11" t="inlineStr">
        <is>
          <t>Knight of Dusk's Shadow / Cavaleira da Sombra do Ocaso</t>
        </is>
      </c>
      <c r="B3161" s="11" t="inlineStr">
        <is>
          <t>Creature — Human Knight / Criatura — Humano Cavaleiro</t>
        </is>
      </c>
      <c r="C3161" s="11" t="inlineStr">
        <is>
          <t>Uncommon / Incomum</t>
        </is>
      </c>
      <c r="D3161" s="11" t="inlineStr">
        <is>
          <t>Menace (This creature can't be blocked except by two or more creatures.) Your opponents can't gain life. {1}{B}: This creature gets +1/+1 until end of turn. / Ameaçar (Esta criatura só pode ser bloqueada por duas ou mais criaturas.) Seus oponentes não podem ganhar pontos de vida. {1}{B}: Cavaleira da Sombra do Ocaso recebe +1/+1 até o final do turno.</t>
        </is>
      </c>
      <c r="E3161" s="11" t="inlineStr">
        <is>
          <t>{1}{B}</t>
        </is>
      </c>
      <c r="F3161" s="11" t="inlineStr">
        <is>
          <t>Preto</t>
        </is>
      </c>
      <c r="G3161" s="8" t="n">
        <v>0.25</v>
      </c>
      <c r="H3161" s="11" t="inlineStr">
        <is>
          <t>Dominaria United (DMU)</t>
        </is>
      </c>
      <c r="I3161" s="11" t="inlineStr">
        <is>
          <t>Não</t>
        </is>
      </c>
      <c r="J3161" s="11" t="n">
        <v>2022</v>
      </c>
      <c r="K3161" s="10" t="n">
        <v>46055</v>
      </c>
      <c r="L3161" s="11" t="n">
        <v>1</v>
      </c>
      <c r="M3161" s="8">
        <f>L3161*G3161</f>
        <v/>
      </c>
      <c r="P3161" s="9" t="n"/>
    </row>
    <row r="3162">
      <c r="A3162" s="11" t="inlineStr">
        <is>
          <t>Bake into a Pie / Enfornar na Torta</t>
        </is>
      </c>
      <c r="B3162" s="11" t="inlineStr">
        <is>
          <t>Instant / Mágica Instantânea</t>
        </is>
      </c>
      <c r="C3162" s="11" t="inlineStr">
        <is>
          <t>Common / Comum</t>
        </is>
      </c>
      <c r="D3162" s="11" t="inlineStr">
        <is>
          <t>Destroy target creature. Create a Food token. (It's an artifact with "{2}, {T}, Sacrifice this token: You gain 3 life.") / Destrua a criatura alvo. Crie uma ficha de Comida. (Ela é um artefato com "{2}, {T}, sacrifique este artefato: Você ganha 3 pontos de vida.")</t>
        </is>
      </c>
      <c r="E3162" s="11" t="inlineStr">
        <is>
          <t>{2}{B}{B}</t>
        </is>
      </c>
      <c r="F3162" s="11" t="inlineStr">
        <is>
          <t>Preto</t>
        </is>
      </c>
      <c r="G3162" s="8" t="n">
        <v>0.05</v>
      </c>
      <c r="H3162" s="11" t="inlineStr">
        <is>
          <t>Foundations (FDN)</t>
        </is>
      </c>
      <c r="I3162" s="11" t="inlineStr">
        <is>
          <t>Não</t>
        </is>
      </c>
      <c r="J3162" s="11" t="n">
        <v>2024</v>
      </c>
      <c r="L3162" s="11" t="n">
        <v>2</v>
      </c>
      <c r="M3162" s="8">
        <f>L3162*G3162</f>
        <v/>
      </c>
      <c r="P3162" s="9" t="n"/>
    </row>
    <row r="3163">
      <c r="A3163" s="11" t="inlineStr">
        <is>
          <t>Witch's Cauldron / Caldeirão da Bruxa</t>
        </is>
      </c>
      <c r="B3163" s="11" t="inlineStr">
        <is>
          <t>Artifact / Artefato</t>
        </is>
      </c>
      <c r="C3163" s="11" t="inlineStr">
        <is>
          <t>Common / Comum</t>
        </is>
      </c>
      <c r="D3163" s="11" t="inlineStr">
        <is>
          <t>{1}{B}, {T}, Sacrifice a creature: You gain 1 life and draw a card. / {1}{B}, {T}: sacrifique uma criatura: Você ganha 1 ponto de vida e compra um card.</t>
        </is>
      </c>
      <c r="E3163" s="11" t="inlineStr">
        <is>
          <t>{B}</t>
        </is>
      </c>
      <c r="F3163" s="11" t="inlineStr">
        <is>
          <t>Preto</t>
        </is>
      </c>
      <c r="G3163" s="8" t="n">
        <v>0.25</v>
      </c>
      <c r="H3163" s="11" t="inlineStr">
        <is>
          <t>Commander Masters (CMM)</t>
        </is>
      </c>
      <c r="I3163" s="11" t="inlineStr">
        <is>
          <t>Não</t>
        </is>
      </c>
      <c r="J3163" s="11" t="n">
        <v>2023</v>
      </c>
      <c r="L3163" s="11" t="n">
        <v>1</v>
      </c>
      <c r="M3163" s="8">
        <f>L3163*G3163</f>
        <v/>
      </c>
      <c r="P3163" s="9" t="n"/>
    </row>
    <row r="3164">
      <c r="A3164" s="11" t="inlineStr">
        <is>
          <t>Ichor Slick / Gosma Icorídia</t>
        </is>
      </c>
      <c r="B3164" s="11" t="inlineStr">
        <is>
          <t>Sorcery / Feitiço</t>
        </is>
      </c>
      <c r="C3164" s="11" t="inlineStr">
        <is>
          <t>Common / Comum</t>
        </is>
      </c>
      <c r="D3164" s="11" t="inlineStr">
        <is>
          <t>Target creature gets -3/-3 until end of turn. Cycling {2} ({2}, Discard this card: Draw a card.) Madness {3}{B} (If you discard this card, discard it into exile. When you do, cast it for its madness cost or put it into your graveyard.) / A criatura alvo recebe -3/-3 até o final do turno. Reciclar {2} ({2}, descarte este card: Compre um card.) Loucura {3}{B} (Se você descartar este card, descarte-o para o exílio. Quando fizer isso, conjure-o por seu custo de loucura ou coloque-o em seu cemitério.)</t>
        </is>
      </c>
      <c r="E3164" s="11" t="inlineStr">
        <is>
          <t>{2}{B}</t>
        </is>
      </c>
      <c r="F3164" s="11" t="inlineStr">
        <is>
          <t>Preto</t>
        </is>
      </c>
      <c r="G3164" s="8" t="n">
        <v>0.07000000000000001</v>
      </c>
      <c r="H3164" s="11" t="inlineStr">
        <is>
          <t>Dominaria Remastered (DMR)</t>
        </is>
      </c>
      <c r="I3164" s="11" t="inlineStr">
        <is>
          <t>Não</t>
        </is>
      </c>
      <c r="J3164" s="11" t="n">
        <v>2023</v>
      </c>
      <c r="L3164" s="11" t="n">
        <v>1</v>
      </c>
      <c r="M3164" s="8">
        <f>L3164*G3164</f>
        <v/>
      </c>
      <c r="P3164" s="9" t="n"/>
    </row>
    <row r="3165">
      <c r="A3165" s="11" t="inlineStr">
        <is>
          <t>Festering Goblin / Goblin Apodrecido</t>
        </is>
      </c>
      <c r="B3165" s="11" t="inlineStr">
        <is>
          <t>Creature — Zombie Goblin / Criatura — Zumbi Goblin</t>
        </is>
      </c>
      <c r="C3165" s="11" t="inlineStr">
        <is>
          <t>Common / Comum</t>
        </is>
      </c>
      <c r="D3165" s="11" t="inlineStr">
        <is>
          <t>When this creature dies, target creature gets -1/-1 until end of turn. / Quando Goblin Apodrecido é colocado num cemitério vindo de jogo, a criatura alvo recebe -1/-1 até o final do turno.</t>
        </is>
      </c>
      <c r="E3165" s="11" t="inlineStr">
        <is>
          <t>{B}</t>
        </is>
      </c>
      <c r="F3165" s="11" t="inlineStr">
        <is>
          <t>Preto</t>
        </is>
      </c>
      <c r="G3165" s="8" t="n">
        <v>0.12</v>
      </c>
      <c r="H3165" s="11" t="inlineStr">
        <is>
          <t>Dominaria Remastered (DMR)</t>
        </is>
      </c>
      <c r="I3165" s="11" t="inlineStr">
        <is>
          <t>Não</t>
        </is>
      </c>
      <c r="J3165" s="11" t="n">
        <v>2023</v>
      </c>
      <c r="K3165" s="10" t="n">
        <v>46023</v>
      </c>
      <c r="L3165" s="11" t="n">
        <v>1</v>
      </c>
      <c r="M3165" s="8">
        <f>L3165*G3165</f>
        <v/>
      </c>
      <c r="P3165" s="9" t="n"/>
    </row>
    <row r="3166">
      <c r="A3166" s="11" t="inlineStr">
        <is>
          <t>Yawgmoth's Vile Offering / Oferenda Vil de Yawgmoth</t>
        </is>
      </c>
      <c r="B3166" s="11" t="inlineStr">
        <is>
          <t>Legendary Sorcery / Feitiço Lendário</t>
        </is>
      </c>
      <c r="C3166" s="11" t="inlineStr">
        <is>
          <t>Rare / Rara</t>
        </is>
      </c>
      <c r="D3166" s="11" t="inlineStr">
        <is>
          <t>(You may cast a legendary sorcery only if you control a legendary creature or planeswalker.) Put up to one target creature or planeswalker card from a graveyard onto the battlefield under your control. Destroy up to one target creature or planeswalker. Exile Yawgmoth's Vile Offering. / (Você só pode conjurar um feitiço lendário se controlar uma criatura lendária ou um planeswalker lendário.) Coloque até um card de criatura ou planeswalker alvo de um cemitério no campo de batalha sob o seu controle. Destrua até uma criatura ou planeswalker alvo. Exile Oferenda Vil de Yawgmoth.</t>
        </is>
      </c>
      <c r="E3166" s="11" t="inlineStr">
        <is>
          <t>{4}{B}</t>
        </is>
      </c>
      <c r="F3166" s="11" t="inlineStr">
        <is>
          <t>Preto</t>
        </is>
      </c>
      <c r="G3166" s="8" t="n">
        <v>1.98</v>
      </c>
      <c r="H3166" s="11" t="inlineStr">
        <is>
          <t>Dominaria (DOM)</t>
        </is>
      </c>
      <c r="I3166" s="11" t="inlineStr">
        <is>
          <t>Sim</t>
        </is>
      </c>
      <c r="J3166" s="11" t="n">
        <v>2018</v>
      </c>
      <c r="L3166" s="11" t="n">
        <v>1</v>
      </c>
      <c r="M3166" s="8">
        <f>L3166*G3166</f>
        <v/>
      </c>
      <c r="N3166" s="11" t="inlineStr">
        <is>
          <t>Pasta</t>
        </is>
      </c>
      <c r="P3166" s="9" t="n"/>
    </row>
    <row r="3167">
      <c r="A3167" s="11" t="inlineStr">
        <is>
          <t>Brazen Scourge / Praga Insolente</t>
        </is>
      </c>
      <c r="B3167" s="11" t="inlineStr">
        <is>
          <t>Creature — Gremlin / Criatura — Gremlin</t>
        </is>
      </c>
      <c r="C3167" s="11" t="inlineStr">
        <is>
          <t>Uncommon / Incomum</t>
        </is>
      </c>
      <c r="D3167" s="11" t="inlineStr">
        <is>
          <t>Haste (This creature can attack and {T} as soon as it comes under your control.) / Ímpeto</t>
        </is>
      </c>
      <c r="E3167" s="11" t="inlineStr">
        <is>
          <t>{1}{R}{R}</t>
        </is>
      </c>
      <c r="F3167" s="11" t="inlineStr">
        <is>
          <t>Vermelho</t>
        </is>
      </c>
      <c r="G3167" s="8" t="n">
        <v>0.05</v>
      </c>
      <c r="H3167" s="11" t="inlineStr">
        <is>
          <t>Foundations (FDN)</t>
        </is>
      </c>
      <c r="I3167" s="11" t="inlineStr">
        <is>
          <t>Não</t>
        </is>
      </c>
      <c r="J3167" s="11" t="n">
        <v>2024</v>
      </c>
      <c r="K3167" s="10" t="n">
        <v>46084</v>
      </c>
      <c r="L3167" s="11" t="n">
        <v>1</v>
      </c>
      <c r="M3167" s="8">
        <f>L3167*G3167</f>
        <v/>
      </c>
      <c r="P3167" s="9" t="n"/>
    </row>
    <row r="3168">
      <c r="A3168" s="11" t="inlineStr">
        <is>
          <t>Magic Missile / Mísseis Mágicos</t>
        </is>
      </c>
      <c r="B3168" s="11" t="inlineStr">
        <is>
          <t>Sorcery / Feitiço</t>
        </is>
      </c>
      <c r="C3168" s="11" t="inlineStr">
        <is>
          <t>Uncommon / Incomum</t>
        </is>
      </c>
      <c r="D3168" s="11" t="inlineStr">
        <is>
          <t>This spell can't be countered. Magic Missile deals 3 damage divided as you choose among one, two, or three targets. / Esta mágica não pode ser anulada. Mísseis Mágicos causa 3 pontos de dano divididos à sua escolha entre um, dois ou três alvos.</t>
        </is>
      </c>
      <c r="E3168" s="11" t="inlineStr">
        <is>
          <t>{1}{R}{R}</t>
        </is>
      </c>
      <c r="F3168" s="11" t="inlineStr">
        <is>
          <t>Vermelho</t>
        </is>
      </c>
      <c r="G3168" s="8" t="n">
        <v>0.13</v>
      </c>
      <c r="H3168" s="11" t="inlineStr">
        <is>
          <t>Adventures in the Forgotten Realms (AFR)</t>
        </is>
      </c>
      <c r="I3168" s="11" t="inlineStr">
        <is>
          <t>Não</t>
        </is>
      </c>
      <c r="J3168" s="11" t="n">
        <v>2021</v>
      </c>
      <c r="L3168" s="11" t="n">
        <v>1</v>
      </c>
      <c r="M3168" s="8">
        <f>L3168*G3168</f>
        <v/>
      </c>
      <c r="P3168" s="9" t="n"/>
    </row>
    <row r="3169">
      <c r="A3169" s="11" t="inlineStr">
        <is>
          <t>Greasewrench Goblin</t>
        </is>
      </c>
      <c r="B3169" s="11" t="inlineStr">
        <is>
          <t>Creature — Goblin Artificer</t>
        </is>
      </c>
      <c r="C3169" s="11" t="inlineStr">
        <is>
          <t>Uncommon / Incomum</t>
        </is>
      </c>
      <c r="D3169" s="11" t="inlineStr">
        <is>
          <t>Exhaust — {2}{R}: Discard up to two cards, then draw that many cards. Put a +1/+1 counter on this creature. (Activate each exhaust ability only once.)</t>
        </is>
      </c>
      <c r="E3169" s="11" t="inlineStr">
        <is>
          <t>{R}</t>
        </is>
      </c>
      <c r="F3169" s="11" t="inlineStr">
        <is>
          <t>Vermelho</t>
        </is>
      </c>
      <c r="G3169" s="8" t="n">
        <v>0.22</v>
      </c>
      <c r="H3169" s="11" t="inlineStr">
        <is>
          <t>Aetherdrift (DFT)</t>
        </is>
      </c>
      <c r="I3169" s="11" t="inlineStr">
        <is>
          <t>Não</t>
        </is>
      </c>
      <c r="J3169" s="11" t="n">
        <v>2025</v>
      </c>
      <c r="K3169" s="10" t="n">
        <v>46024</v>
      </c>
      <c r="L3169" s="11" t="n">
        <v>1</v>
      </c>
      <c r="M3169" s="8">
        <f>L3169*G3169</f>
        <v/>
      </c>
      <c r="P3169" s="9" t="n"/>
    </row>
    <row r="3170">
      <c r="A3170" s="11" t="inlineStr">
        <is>
          <t>Experimental Synthesizer / Sintetizador Experimental</t>
        </is>
      </c>
      <c r="B3170" s="11" t="inlineStr">
        <is>
          <t>Artifact / Artefato</t>
        </is>
      </c>
      <c r="C3170" s="11" t="inlineStr">
        <is>
          <t>Common / Comum</t>
        </is>
      </c>
      <c r="D3170" s="11" t="inlineStr">
        <is>
          <t>When this artifact enters or leaves the battlefield, exile the top card of your library. Until end of turn, you may play that card. {2}{R}, Sacrifice this artifact: Create a 2/2 white Samurai creature token with vigilance. Activate only as a sorcery. / Quando Sintetizador Experimental entrar no ou deixar o campo de batalha, exile o card do topo de seu grimório. Até o final do turno, você poderá jogar aquele card. {2}{R}, sacrifique Sintetizador Experimental: Crie uma ficha de criatura Samurai branca 2/2 com vigilância. Ative somente como um feitiço.</t>
        </is>
      </c>
      <c r="E3170" s="11" t="inlineStr">
        <is>
          <t>{R}</t>
        </is>
      </c>
      <c r="F3170" s="11" t="inlineStr">
        <is>
          <t>Vermelho</t>
        </is>
      </c>
      <c r="G3170" s="8" t="n">
        <v>4</v>
      </c>
      <c r="H3170" s="11" t="inlineStr">
        <is>
          <t>Kamigawa: Neon Dynasty (NEO)</t>
        </is>
      </c>
      <c r="I3170" s="11" t="inlineStr">
        <is>
          <t>Não</t>
        </is>
      </c>
      <c r="J3170" s="11" t="n">
        <v>2022</v>
      </c>
      <c r="L3170" s="11" t="n">
        <v>1</v>
      </c>
      <c r="M3170" s="8">
        <f>L3170*G3170</f>
        <v/>
      </c>
      <c r="N3170" s="11" t="inlineStr">
        <is>
          <t>Pasta</t>
        </is>
      </c>
      <c r="P3170" s="9" t="n"/>
    </row>
    <row r="3171">
      <c r="A3171" s="11" t="inlineStr">
        <is>
          <t>Demonic Ruckus / Tumulto Demoníaco</t>
        </is>
      </c>
      <c r="B3171" s="11" t="inlineStr">
        <is>
          <t>Enchantment — Aura / Encantamento — Aura</t>
        </is>
      </c>
      <c r="C3171" s="11" t="inlineStr">
        <is>
          <t>Uncommon / Incomum</t>
        </is>
      </c>
      <c r="D3171" s="11" t="inlineStr">
        <is>
          <t>Enchant creature Enchanted creature gets +1/+1 and has menace and trample. When this Aura is put into a graveyard from the battlefield, draw a card. Plot {R} (You may pay {R} and exile this card from your hand. Cast it as a sorcery on a later turn without paying its mana cost. Plot only as a sorcery.) / Encantar criatura A criatura encantada recebe +1/+1 e tem ameaçar e atropelar. Quando Tumulto Demoníaco for colocado num cemitério vindo do campo de batalha, compre um card. Tramar {R} (Você pode pagar {R} e exilar este card de sua mão. Conjure-o como um feitiço num turno posterior sem pagar seu custo de mana. Trame somente como um feitiço.)</t>
        </is>
      </c>
      <c r="E3171" s="11" t="inlineStr">
        <is>
          <t>{1}{R}</t>
        </is>
      </c>
      <c r="F3171" s="11" t="inlineStr">
        <is>
          <t>Vermelho</t>
        </is>
      </c>
      <c r="G3171" s="8" t="n">
        <v>0.25</v>
      </c>
      <c r="H3171" s="11" t="inlineStr">
        <is>
          <t>Outlaws of Thunder Junction (OTJ)</t>
        </is>
      </c>
      <c r="I3171" s="11" t="inlineStr">
        <is>
          <t>Não</t>
        </is>
      </c>
      <c r="J3171" s="11" t="n">
        <v>2024</v>
      </c>
      <c r="L3171" s="11" t="n">
        <v>1</v>
      </c>
      <c r="M3171" s="8">
        <f>L3171*G3171</f>
        <v/>
      </c>
      <c r="P3171" s="9" t="n"/>
    </row>
    <row r="3172">
      <c r="A3172" s="11" t="inlineStr">
        <is>
          <t>Painter's Studio // Defaced Gallery</t>
        </is>
      </c>
      <c r="B3172" s="11" t="inlineStr">
        <is>
          <t>Enchantment — Room // Enchantment — Room</t>
        </is>
      </c>
      <c r="C3172" s="11" t="inlineStr">
        <is>
          <t>Uncommon / Incomum</t>
        </is>
      </c>
      <c r="D3172" s="11" t="inlineStr">
        <is>
          <t>Painter's Studio: When you unlock this door, exile the top two cards of your library. You may play them until the end of your next turn. (You may cast either half. That door unlocks on the battlefield. As a sorcery, you may pay the mana cost of a locked door to unlock it.) // Defaced Gallery: Whenever you attack, attacking creatures you control get +1/+0 until end of turn. (You may cast either half. That door unlocks on the battlefield. As a sorcery, you may pay the mana cost of a locked door to unlock it.)</t>
        </is>
      </c>
      <c r="E3172" s="11" t="inlineStr">
        <is>
          <t>{2}{R} // {1}{R}</t>
        </is>
      </c>
      <c r="F3172" s="11" t="inlineStr">
        <is>
          <t>Vermelho</t>
        </is>
      </c>
      <c r="G3172" s="8" t="n">
        <v>0.1</v>
      </c>
      <c r="H3172" s="11" t="inlineStr">
        <is>
          <t>Duskmourn: House of Horror (DSK)</t>
        </is>
      </c>
      <c r="I3172" s="11" t="inlineStr">
        <is>
          <t>Não</t>
        </is>
      </c>
      <c r="J3172" s="11" t="n">
        <v>2024</v>
      </c>
      <c r="L3172" s="11" t="n">
        <v>1</v>
      </c>
      <c r="M3172" s="8">
        <f>L3172*G3172</f>
        <v/>
      </c>
      <c r="P3172" s="9" t="n"/>
    </row>
    <row r="3173">
      <c r="A3173" s="11" t="inlineStr">
        <is>
          <t>Hurloon Battle Hymn / Hino de Batalha de Hurloon</t>
        </is>
      </c>
      <c r="B3173" s="11" t="inlineStr">
        <is>
          <t>Instant / Mágica Instantânea</t>
        </is>
      </c>
      <c r="C3173" s="11" t="inlineStr">
        <is>
          <t>Uncommon / Incomum</t>
        </is>
      </c>
      <c r="D3173" s="11" t="inlineStr">
        <is>
          <t>Kicker {W} (You may pay an additional {W} as you cast this spell.) Hurloon Battle Hymn deals 4 damage to target creature or planeswalker. If this spell was kicked, you gain 4 life. / Reforçar {W} (Você pode pagar um custo adicional de {W} ao conjurar esta mágica.) Hino de Batalha de Hurloon causa 4 pontos de dano à criatura ou ao planeswalker alvo. Se esta mágica foi reforçada, você ganha 4 pontos de vida.</t>
        </is>
      </c>
      <c r="E3173" s="11" t="inlineStr">
        <is>
          <t>{2}{R}</t>
        </is>
      </c>
      <c r="F3173" s="11" t="inlineStr">
        <is>
          <t>Vermelho</t>
        </is>
      </c>
      <c r="G3173" s="8" t="n">
        <v>0.04</v>
      </c>
      <c r="H3173" s="11" t="inlineStr">
        <is>
          <t>Dominaria United (DMU)</t>
        </is>
      </c>
      <c r="I3173" s="11" t="inlineStr">
        <is>
          <t>Não</t>
        </is>
      </c>
      <c r="J3173" s="11" t="n">
        <v>2022</v>
      </c>
      <c r="L3173" s="11" t="n">
        <v>2</v>
      </c>
      <c r="M3173" s="8">
        <f>L3173*G3173</f>
        <v/>
      </c>
      <c r="P3173" s="9" t="n"/>
    </row>
    <row r="3174">
      <c r="A3174" s="11" t="inlineStr">
        <is>
          <t>Imodane's Recruiter // Train Troops / Recrutador de Imodane // Treinar Tropas</t>
        </is>
      </c>
      <c r="B3174" s="11" t="inlineStr">
        <is>
          <t>Creature — Human Knight // Sorcery — Adventure / Criatura — Humano Cavaleiro</t>
        </is>
      </c>
      <c r="C3174" s="11" t="inlineStr">
        <is>
          <t>Uncommon / Incomum</t>
        </is>
      </c>
      <c r="D3174" s="11" t="inlineStr">
        <is>
          <t>Imodane's Recruiter: When this creature enters, creatures you control get +1/+0 and gain haste until end of turn. // Train Troops: Create two 2/2 white Knight creature tokens with vigilance. (Then exile this card. You may cast the creature later from exile.) / Quando Recrutador de Imodane entra no campo de batalha, as criaturas que você controla recebem +1/+0 e ganham ímpeto até o final do turno.</t>
        </is>
      </c>
      <c r="E3174" s="11" t="inlineStr">
        <is>
          <t>{2}{R} // {4}{W}</t>
        </is>
      </c>
      <c r="F3174" s="11" t="inlineStr">
        <is>
          <t>Vermelho</t>
        </is>
      </c>
      <c r="G3174" s="8" t="n">
        <v>0.1</v>
      </c>
      <c r="H3174" s="11" t="inlineStr">
        <is>
          <t>Wilds of Eldraine (WOE)</t>
        </is>
      </c>
      <c r="I3174" s="11" t="inlineStr">
        <is>
          <t>Não</t>
        </is>
      </c>
      <c r="J3174" s="11" t="n">
        <v>2023</v>
      </c>
      <c r="K3174" s="10" t="n">
        <v>46055</v>
      </c>
      <c r="L3174" s="11" t="n">
        <v>1</v>
      </c>
      <c r="M3174" s="8">
        <f>L3174*G3174</f>
        <v/>
      </c>
      <c r="P3174" s="9" t="n"/>
    </row>
    <row r="3175">
      <c r="A3175" s="11" t="inlineStr">
        <is>
          <t>Dragon Cultist / Cultista do Dragão</t>
        </is>
      </c>
      <c r="B3175" s="11" t="inlineStr">
        <is>
          <t>Legendary Enchantment — Background / Encantamento Lendário — Antecedente</t>
        </is>
      </c>
      <c r="C3175" s="11" t="inlineStr">
        <is>
          <t>Uncommon / Incomum</t>
        </is>
      </c>
      <c r="D3175" s="11" t="inlineStr">
        <is>
          <t>Commander creatures you own have "At the beginning of your end step, if a source you controlled dealt 5 or more damage this turn, create a 4/4 red Dragon creature token with flying." / As criaturas comandantes que você possui têm "No início de sua etapa final, se uma fonte que você controlava tiver causado 5 ou mais pontos de dano neste turno, crie uma ficha de criatura Dragão vermelha 4/4 com voar".</t>
        </is>
      </c>
      <c r="E3175" s="11" t="inlineStr">
        <is>
          <t>{4}{R}</t>
        </is>
      </c>
      <c r="F3175" s="11" t="inlineStr">
        <is>
          <t>Vermelho</t>
        </is>
      </c>
      <c r="G3175" s="8" t="n">
        <v>0.13</v>
      </c>
      <c r="H3175" s="11" t="inlineStr">
        <is>
          <t>Commander Legends: Battle for Baldur's Gate (CLB)</t>
        </is>
      </c>
      <c r="I3175" s="11" t="inlineStr">
        <is>
          <t>Não</t>
        </is>
      </c>
      <c r="J3175" s="11" t="n">
        <v>2022</v>
      </c>
      <c r="L3175" s="11" t="n">
        <v>1</v>
      </c>
      <c r="M3175" s="8">
        <f>L3175*G3175</f>
        <v/>
      </c>
      <c r="P3175" s="9" t="n"/>
    </row>
    <row r="3176">
      <c r="A3176" s="11" t="inlineStr">
        <is>
          <t>Deadeye Duelist / Duelista Tirocerto</t>
        </is>
      </c>
      <c r="B3176" s="11" t="inlineStr">
        <is>
          <t>Creature — Human Assassin / Criatura — Humano Assassino</t>
        </is>
      </c>
      <c r="C3176" s="11" t="inlineStr">
        <is>
          <t>Common / Comum</t>
        </is>
      </c>
      <c r="D3176" s="11" t="inlineStr">
        <is>
          <t>Reach {1}, {T}: This creature deals 1 damage to target opponent. / Alcance {1}, {T}: Duelista Tirocerto causa 1 ponto de dano ao oponente alvo.</t>
        </is>
      </c>
      <c r="E3176" s="11" t="inlineStr">
        <is>
          <t>{1}{R}</t>
        </is>
      </c>
      <c r="F3176" s="11" t="inlineStr">
        <is>
          <t>Vermelho</t>
        </is>
      </c>
      <c r="G3176" s="8" t="n">
        <v>0.08</v>
      </c>
      <c r="H3176" s="11" t="inlineStr">
        <is>
          <t>Outlaws of Thunder Junction (OTJ)</t>
        </is>
      </c>
      <c r="I3176" s="11" t="inlineStr">
        <is>
          <t>Não</t>
        </is>
      </c>
      <c r="J3176" s="11" t="n">
        <v>2024</v>
      </c>
      <c r="K3176" s="10" t="n">
        <v>46082</v>
      </c>
      <c r="L3176" s="11" t="n">
        <v>1</v>
      </c>
      <c r="M3176" s="8">
        <f>L3176*G3176</f>
        <v/>
      </c>
      <c r="P3176" s="9" t="n"/>
    </row>
    <row r="3177">
      <c r="A3177" s="11" t="inlineStr">
        <is>
          <t>Blazing Rootwalla / Rizowalla Inflamado</t>
        </is>
      </c>
      <c r="B3177" s="11" t="inlineStr">
        <is>
          <t>Creature — Lizard / Criatura — Lagarto</t>
        </is>
      </c>
      <c r="C3177" s="11" t="inlineStr">
        <is>
          <t>Uncommon / Incomum</t>
        </is>
      </c>
      <c r="D3177" s="11" t="inlineStr">
        <is>
          <t>{R}: This creature gets +2/+0 until end of turn. Activate only once each turn. Madness {0} (If you discard this card, discard it into exile. When you do, cast it for its madness cost or put it into your graveyard.) / {R}: Rizowalla Inflamado recebe +2/+0 até o final do turno. Ative somente uma vez a cada turno. Loucura {0}</t>
        </is>
      </c>
      <c r="E3177" s="11" t="inlineStr">
        <is>
          <t>{R}</t>
        </is>
      </c>
      <c r="F3177" s="11" t="inlineStr">
        <is>
          <t>Vermelho</t>
        </is>
      </c>
      <c r="G3177" s="8" t="n">
        <v>0.34</v>
      </c>
      <c r="H3177" s="11" t="inlineStr">
        <is>
          <t>Modern Horizons 2 (MH2)</t>
        </is>
      </c>
      <c r="I3177" s="11" t="inlineStr">
        <is>
          <t>Não</t>
        </is>
      </c>
      <c r="J3177" s="11" t="n">
        <v>2021</v>
      </c>
      <c r="K3177" s="10" t="n">
        <v>46023</v>
      </c>
      <c r="L3177" s="11" t="n">
        <v>1</v>
      </c>
      <c r="M3177" s="8">
        <f>L3177*G3177</f>
        <v/>
      </c>
      <c r="P3177" s="9" t="n"/>
    </row>
    <row r="3178">
      <c r="A3178" s="11" t="inlineStr">
        <is>
          <t>Impulsive Pilferer / Gatuno Impulsivo</t>
        </is>
      </c>
      <c r="B3178" s="11" t="inlineStr">
        <is>
          <t>Creature — Goblin Pirate / Criatura — Goblin Pirata</t>
        </is>
      </c>
      <c r="C3178" s="11" t="inlineStr">
        <is>
          <t>Common / Comum</t>
        </is>
      </c>
      <c r="D3178" s="11" t="inlineStr">
        <is>
          <t>When this creature dies, create a Treasure token. (It's an artifact with "{T}, Sacrifice this token: Add one mana of any color.") Encore {3}{R} ({3}{R}, Exile this card from your graveyard: For each opponent, create a token copy that attacks that opponent this turn if able. They gain haste. Sacrifice them at the beginning of the next end step. Activate only as a sorcery.) / Quando Gatuno Impulsivo morrer, crie uma ficha de Tesouro. (Ela é um artefato com "{T}, sacrifique este artefato: Adicione um mana de qualquer cor".) Bis {3}{R} ({3}{R}, exile este card de seu cemitério: Para cada oponente, crie uma ficha que é uma cópia que ataca aquele oponente neste turno se estiver apta. Elas ganham ímpeto. Sacrifique-as no início da próxima etapa final. Ative somente como um feitiço.)</t>
        </is>
      </c>
      <c r="E3178" s="11" t="inlineStr">
        <is>
          <t>{R}</t>
        </is>
      </c>
      <c r="F3178" s="11" t="inlineStr">
        <is>
          <t>Vermelho</t>
        </is>
      </c>
      <c r="G3178" s="8" t="n">
        <v>0.5</v>
      </c>
      <c r="H3178" s="11" t="inlineStr">
        <is>
          <t>Commander Masters (CMM)</t>
        </is>
      </c>
      <c r="I3178" s="11" t="inlineStr">
        <is>
          <t>Não</t>
        </is>
      </c>
      <c r="J3178" s="11" t="n">
        <v>2023</v>
      </c>
      <c r="K3178" s="10" t="n">
        <v>46023</v>
      </c>
      <c r="L3178" s="11" t="n">
        <v>1</v>
      </c>
      <c r="M3178" s="8">
        <f>L3178*G3178</f>
        <v/>
      </c>
      <c r="P3178" s="9" t="n"/>
    </row>
    <row r="3179">
      <c r="A3179" s="11" t="inlineStr">
        <is>
          <t>Fists of Flame / Punhos Chamejantes</t>
        </is>
      </c>
      <c r="B3179" s="11" t="inlineStr">
        <is>
          <t>Instant / Mágica Instantânea</t>
        </is>
      </c>
      <c r="C3179" s="11" t="inlineStr">
        <is>
          <t>Common / Comum</t>
        </is>
      </c>
      <c r="D3179" s="11" t="inlineStr">
        <is>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is>
      </c>
      <c r="E3179" s="11" t="inlineStr">
        <is>
          <t>{1}{R}</t>
        </is>
      </c>
      <c r="F3179" s="11" t="inlineStr">
        <is>
          <t>Vermelho</t>
        </is>
      </c>
      <c r="G3179" s="8" t="n">
        <v>0.35</v>
      </c>
      <c r="H3179" s="11" t="inlineStr">
        <is>
          <t>Commander Masters (CMM)</t>
        </is>
      </c>
      <c r="I3179" s="11" t="inlineStr">
        <is>
          <t>Não</t>
        </is>
      </c>
      <c r="J3179" s="11" t="n">
        <v>2023</v>
      </c>
      <c r="L3179" s="11" t="n">
        <v>1</v>
      </c>
      <c r="M3179" s="8">
        <f>L3179*G3179</f>
        <v/>
      </c>
      <c r="P3179" s="9" t="n"/>
    </row>
    <row r="3180">
      <c r="A3180" s="11" t="inlineStr">
        <is>
          <t>Yotia Declares War / Yotia Declara Guerra</t>
        </is>
      </c>
      <c r="B3180" s="11" t="inlineStr">
        <is>
          <t>Enchantment — Saga / Encantamento — Saga</t>
        </is>
      </c>
      <c r="C3180" s="11" t="inlineStr">
        <is>
          <t>Uncommon / Incomum</t>
        </is>
      </c>
      <c r="D3180" s="11" t="inlineStr">
        <is>
          <t>Read ahead (Choose a chapter and start with that many lore counters. Add one after your draw step. Skipped chapters don't trigger. Sacrifice after III.) I — Create a 0/2 colorless Thopter artifact creature token with flying named Ornithopter. II — Tap any number of untapped artifacts you control. When you do, this Saga deals that much damage to target creature or planeswalker. III — Up to one target artifact you control becomes an artifact creature with base power and toughness 4/4 until end of turn. / Adiantar leitura (Escolha um capítulo e comece com aquela quantidade de marcadores de conhecimento. Adicione um após sua etapa de compra. Os capítulos pulados não são desencadeados. Sacrifique-a após III.) I — Crie uma ficha de criatura artefato Tóptero incolor 0/2 com voar com o nome Ornitóptero. II — Vire qualquer número de artefatos desvirados que você controla. Quando faz isso, Yotia Declara Guerra causa aquela quantidade de dano à criatura ou ao planeswalker alvo. III — Até um artefato alvo que você controla se torna uma criatura com poder e resistência básicos 4/4 até o final do turno.</t>
        </is>
      </c>
      <c r="E3180" s="11" t="inlineStr">
        <is>
          <t>{1}{R}</t>
        </is>
      </c>
      <c r="F3180" s="11" t="inlineStr">
        <is>
          <t>Vermelho</t>
        </is>
      </c>
      <c r="G3180" s="8" t="n">
        <v>0.04</v>
      </c>
      <c r="H3180" s="11" t="inlineStr">
        <is>
          <t>Dominaria United (DMU)</t>
        </is>
      </c>
      <c r="I3180" s="11" t="inlineStr">
        <is>
          <t>Não</t>
        </is>
      </c>
      <c r="J3180" s="11" t="n">
        <v>2022</v>
      </c>
      <c r="L3180" s="11" t="n">
        <v>1</v>
      </c>
      <c r="M3180" s="8">
        <f>L3180*G3180</f>
        <v/>
      </c>
      <c r="P3180" s="9" t="n"/>
    </row>
    <row r="3181">
      <c r="A3181" s="11" t="inlineStr">
        <is>
          <t>Lightning Mauler / Esmagador dos Relâmpagos</t>
        </is>
      </c>
      <c r="B3181" s="11" t="inlineStr">
        <is>
          <t>Creature — Human Berserker / Criatura — Humano Amoque</t>
        </is>
      </c>
      <c r="C3181" s="11" t="inlineStr">
        <is>
          <t>Uncommon / Incomum</t>
        </is>
      </c>
      <c r="D3181" s="11" t="inlineStr">
        <is>
          <t>Soulbond (You may pair this creature with another unpaired creature when either enters. They remain paired for as long as you control both of them.) As long as this creature is paired with another creature, both creatures have haste. / Elo espiritual (Você pode emparelhar esta criatura com outra criatura não emparelhada quando uma delas entrar no campo de batalha. Elas permanecem emparelhadas enquanto você controlar ambas.) Enquanto Esmagador dos Relâmpagos estiver emparelhado com outra criatura, ambas as criaturas terão ímpeto.</t>
        </is>
      </c>
      <c r="E3181" s="11" t="inlineStr">
        <is>
          <t>{1}{R}</t>
        </is>
      </c>
      <c r="F3181" s="11" t="inlineStr">
        <is>
          <t>Vermelho</t>
        </is>
      </c>
      <c r="G3181" s="8" t="n">
        <v>0.1</v>
      </c>
      <c r="H3181" s="11" t="inlineStr">
        <is>
          <t>Innistrad Remastered (INR)</t>
        </is>
      </c>
      <c r="I3181" s="11" t="inlineStr">
        <is>
          <t>Não</t>
        </is>
      </c>
      <c r="J3181" s="11" t="n">
        <v>2025</v>
      </c>
      <c r="K3181" s="10" t="n">
        <v>46024</v>
      </c>
      <c r="L3181" s="11" t="n">
        <v>1</v>
      </c>
      <c r="M3181" s="8">
        <f>L3181*G3181</f>
        <v/>
      </c>
      <c r="P3181" s="9" t="n"/>
    </row>
    <row r="3182">
      <c r="A3182" s="11" t="inlineStr">
        <is>
          <t>Furnace Celebration / Celebração na Fornalha</t>
        </is>
      </c>
      <c r="B3182" s="11" t="inlineStr">
        <is>
          <t>Enchantment / Encantamento</t>
        </is>
      </c>
      <c r="C3182" s="11" t="inlineStr">
        <is>
          <t>Uncommon / Incomum</t>
        </is>
      </c>
      <c r="D3182" s="11" t="inlineStr">
        <is>
          <t>Whenever you sacrifice another permanent, you may pay {2}. If you do, this enchantment deals 2 damage to any target. / Toda vez que sacrifica outra permanente, você pode pagar {2}. Se fizer isso, Celebração na Fornalha causará 2 pontos de dano à criatura ou ao jogador alvo.</t>
        </is>
      </c>
      <c r="E3182" s="11" t="inlineStr">
        <is>
          <t>{1}{R}{R}</t>
        </is>
      </c>
      <c r="F3182" s="11" t="inlineStr">
        <is>
          <t>Vermelho</t>
        </is>
      </c>
      <c r="G3182" s="8" t="n">
        <v>0.07000000000000001</v>
      </c>
      <c r="H3182" s="11" t="inlineStr">
        <is>
          <t>Scars of Mirrodin (SOM)</t>
        </is>
      </c>
      <c r="I3182" s="11" t="inlineStr">
        <is>
          <t>Não</t>
        </is>
      </c>
      <c r="J3182" s="11" t="n">
        <v>2010</v>
      </c>
      <c r="L3182" s="11" t="n">
        <v>1</v>
      </c>
      <c r="M3182" s="8">
        <f>L3182*G3182</f>
        <v/>
      </c>
      <c r="P3182" s="9" t="n"/>
    </row>
    <row r="3183">
      <c r="A3183" s="11" t="inlineStr">
        <is>
          <t>Sulfurous Blast / Explosão Sulfurosa</t>
        </is>
      </c>
      <c r="B3183" s="11" t="inlineStr">
        <is>
          <t>Instant / Mágica Instantânea</t>
        </is>
      </c>
      <c r="C3183" s="11" t="inlineStr">
        <is>
          <t>Common / Comum</t>
        </is>
      </c>
      <c r="D3183" s="11" t="inlineStr">
        <is>
          <t>Sulfurous Blast deals 2 damage to each creature and each player. If you cast this spell during your main phase, Sulfurous Blast deals 3 damage to each creature and each player instead. / Explosão Sulfurosa causa 2 pontos de dano a cada criatura e a cada jogador. Se você jogou esta mágica durante sua fase principal, em vez disso, Explosão Sulfurosa causa 3 pontos de dano a cada criatura e a cada jogador.</t>
        </is>
      </c>
      <c r="E3183" s="11" t="inlineStr">
        <is>
          <t>{2}{R}{R}</t>
        </is>
      </c>
      <c r="F3183" s="11" t="inlineStr">
        <is>
          <t>Vermelho</t>
        </is>
      </c>
      <c r="G3183" s="8" t="n">
        <v>0.24</v>
      </c>
      <c r="H3183" s="11" t="inlineStr">
        <is>
          <t>Commander Masters (CMM)</t>
        </is>
      </c>
      <c r="I3183" s="11" t="inlineStr">
        <is>
          <t>Não</t>
        </is>
      </c>
      <c r="J3183" s="11" t="n">
        <v>2023</v>
      </c>
      <c r="L3183" s="11" t="n">
        <v>1</v>
      </c>
      <c r="M3183" s="8">
        <f>L3183*G3183</f>
        <v/>
      </c>
      <c r="P3183" s="9" t="n"/>
    </row>
    <row r="3184">
      <c r="A3184" s="11" t="inlineStr">
        <is>
          <t>Cyclops Electromancer / Eletromante Ciclope</t>
        </is>
      </c>
      <c r="B3184" s="11" t="inlineStr">
        <is>
          <t>Creature — Cyclops Wizard / Criatura — Ciclope Mago</t>
        </is>
      </c>
      <c r="C3184" s="11" t="inlineStr">
        <is>
          <t>Common / Comum</t>
        </is>
      </c>
      <c r="D3184" s="11" t="inlineStr">
        <is>
          <t>When this creature enters, it deals X damage to target creature an opponent controls, where X is the number of instant and sorcery cards in your graveyard. / Quando Eletromante Ciclope entra no campo de batalha, ele causa X pontos de dano à criatura alvo que um oponente controla, sendo X o número de cards de mágica instantânea ou feitiço em seu cemitério.</t>
        </is>
      </c>
      <c r="E3184" s="11" t="inlineStr">
        <is>
          <t>{4}{R}</t>
        </is>
      </c>
      <c r="F3184" s="11" t="inlineStr">
        <is>
          <t>Vermelho</t>
        </is>
      </c>
      <c r="G3184" s="8" t="n">
        <v>0.05</v>
      </c>
      <c r="H3184" s="11" t="inlineStr">
        <is>
          <t>Commander Masters (CMM)</t>
        </is>
      </c>
      <c r="I3184" s="11" t="inlineStr">
        <is>
          <t>Não</t>
        </is>
      </c>
      <c r="J3184" s="11" t="n">
        <v>2023</v>
      </c>
      <c r="K3184" s="10" t="n">
        <v>46057</v>
      </c>
      <c r="L3184" s="11" t="n">
        <v>1</v>
      </c>
      <c r="M3184" s="8">
        <f>L3184*G3184</f>
        <v/>
      </c>
      <c r="P3184" s="9" t="n"/>
    </row>
    <row r="3185">
      <c r="A3185" s="11" t="inlineStr">
        <is>
          <t>Living Lightning / Relâmpago Vivo</t>
        </is>
      </c>
      <c r="B3185" s="11" t="inlineStr">
        <is>
          <t>Creature — Elemental Shaman / Criatura — Elemental Xamã</t>
        </is>
      </c>
      <c r="C3185" s="11" t="inlineStr">
        <is>
          <t>Common / Comum</t>
        </is>
      </c>
      <c r="D3185" s="11" t="inlineStr">
        <is>
          <t>When this creature dies, return target instant or sorcery card from your graveyard to your hand. / Quando Relâmpago Vivo morrer, devolva o card de mágica instantânea ou de feitiço alvo de seu cemitério para sua mão.</t>
        </is>
      </c>
      <c r="E3185" s="11" t="inlineStr">
        <is>
          <t>{3}{R}</t>
        </is>
      </c>
      <c r="F3185" s="11" t="inlineStr">
        <is>
          <t>Vermelho</t>
        </is>
      </c>
      <c r="G3185" s="8" t="n">
        <v>0.13</v>
      </c>
      <c r="H3185" s="11" t="inlineStr">
        <is>
          <t>Commander Masters (CMM)</t>
        </is>
      </c>
      <c r="I3185" s="11" t="inlineStr">
        <is>
          <t>Não</t>
        </is>
      </c>
      <c r="J3185" s="11" t="n">
        <v>2023</v>
      </c>
      <c r="K3185" s="10" t="n">
        <v>46056</v>
      </c>
      <c r="L3185" s="11" t="n">
        <v>1</v>
      </c>
      <c r="M3185" s="8">
        <f>L3185*G3185</f>
        <v/>
      </c>
      <c r="P3185" s="9" t="n"/>
    </row>
    <row r="3186">
      <c r="A3186" s="11" t="inlineStr">
        <is>
          <t>Makeshift Munitions / Munições Improvisadas</t>
        </is>
      </c>
      <c r="B3186" s="11" t="inlineStr">
        <is>
          <t>Enchantment / Encantamento</t>
        </is>
      </c>
      <c r="C3186" s="11" t="inlineStr">
        <is>
          <t>Common / Comum</t>
        </is>
      </c>
      <c r="D3186" s="11" t="inlineStr">
        <is>
          <t>{1}, Sacrifice an artifact or creature: This enchantment deals 1 damage to any target. / {1}, sacrifique um artefato ou uma criatura: Munições Improvisadas causa 1 ponto de dano à criatura ou ao jogador alvo.</t>
        </is>
      </c>
      <c r="E3186" s="11" t="inlineStr">
        <is>
          <t>{1}{R}</t>
        </is>
      </c>
      <c r="F3186" s="11" t="inlineStr">
        <is>
          <t>Vermelho</t>
        </is>
      </c>
      <c r="G3186" s="8" t="n">
        <v>0.9</v>
      </c>
      <c r="H3186" s="11" t="inlineStr">
        <is>
          <t>Commander Masters (CMM)</t>
        </is>
      </c>
      <c r="I3186" s="11" t="inlineStr">
        <is>
          <t>Não</t>
        </is>
      </c>
      <c r="J3186" s="11" t="n">
        <v>2023</v>
      </c>
      <c r="L3186" s="11" t="n">
        <v>1</v>
      </c>
      <c r="M3186" s="8">
        <f>L3186*G3186</f>
        <v/>
      </c>
      <c r="P3186" s="9" t="n"/>
    </row>
    <row r="3187">
      <c r="A3187" s="11" t="inlineStr">
        <is>
          <t>Blood Aspirant / Aspirante a Sanguinário</t>
        </is>
      </c>
      <c r="B3187" s="11" t="inlineStr">
        <is>
          <t>Creature — Satyr Berserker / Criatura — Sátiro Amoque</t>
        </is>
      </c>
      <c r="C3187" s="11" t="inlineStr">
        <is>
          <t>Common / Comum</t>
        </is>
      </c>
      <c r="D3187" s="11" t="inlineStr">
        <is>
          <t>Whenever you sacrifice a permanent, put a +1/+1 counter on this creature. {1}{R}, {T}, Sacrifice a creature or enchantment: This creature deals 1 damage to target creature. That creature can't block this turn. / Toda vez que você sacrificar uma permanente, coloque um marcador +1/+1 em Aspirante a Sanguinário. {1}{R}, {T}, sacrifique uma criatura ou um encantamento: Aspirante a Sanguinário causa 1 ponto de dano à criatura alvo. Aquela criatura não pode bloquear neste turno.</t>
        </is>
      </c>
      <c r="E3187" s="11" t="inlineStr">
        <is>
          <t>{1}{R}</t>
        </is>
      </c>
      <c r="F3187" s="11" t="inlineStr">
        <is>
          <t>Vermelho</t>
        </is>
      </c>
      <c r="G3187" s="8" t="n">
        <v>0.17</v>
      </c>
      <c r="H3187" s="11" t="inlineStr">
        <is>
          <t>Commander Masters (CMM)</t>
        </is>
      </c>
      <c r="I3187" s="11" t="inlineStr">
        <is>
          <t>Não</t>
        </is>
      </c>
      <c r="J3187" s="11" t="n">
        <v>2023</v>
      </c>
      <c r="K3187" s="10" t="n">
        <v>46023</v>
      </c>
      <c r="L3187" s="11" t="n">
        <v>1</v>
      </c>
      <c r="M3187" s="8">
        <f>L3187*G3187</f>
        <v/>
      </c>
      <c r="P3187" s="9" t="n"/>
    </row>
    <row r="3188">
      <c r="A3188" s="11" t="inlineStr">
        <is>
          <t>Axgard Cavalry / Cavalaria de Axgard</t>
        </is>
      </c>
      <c r="B3188" s="11" t="inlineStr">
        <is>
          <t>Creature — Dwarf Berserker / Criatura — Anão Amoque</t>
        </is>
      </c>
      <c r="C3188" s="11" t="inlineStr">
        <is>
          <t>Common / Comum</t>
        </is>
      </c>
      <c r="D3188" s="11" t="inlineStr">
        <is>
          <t>{T}: Target creature gains haste until end of turn. (It can attack and {T} this turn.) / {T}: A criatura alvo ganha ímpeto até o final do turno.</t>
        </is>
      </c>
      <c r="E3188" s="11" t="inlineStr">
        <is>
          <t>{1}{R}</t>
        </is>
      </c>
      <c r="F3188" s="11" t="inlineStr">
        <is>
          <t>Vermelho</t>
        </is>
      </c>
      <c r="G3188" s="8" t="n">
        <v>0.08</v>
      </c>
      <c r="H3188" s="11" t="inlineStr">
        <is>
          <t>Foundations (FDN)</t>
        </is>
      </c>
      <c r="I3188" s="11" t="inlineStr">
        <is>
          <t>Não</t>
        </is>
      </c>
      <c r="J3188" s="11" t="n">
        <v>2024</v>
      </c>
      <c r="K3188" s="10" t="n">
        <v>46055</v>
      </c>
      <c r="L3188" s="11" t="n">
        <v>1</v>
      </c>
      <c r="M3188" s="8">
        <f>L3188*G3188</f>
        <v/>
      </c>
      <c r="P3188" s="9" t="n"/>
    </row>
    <row r="3189">
      <c r="A3189" s="11" t="inlineStr">
        <is>
          <t>Rapacious One / O Opressor</t>
        </is>
      </c>
      <c r="B3189" s="11" t="inlineStr">
        <is>
          <t>Creature — Eldrazi Drone / Criatura — Zangão Eldrazi</t>
        </is>
      </c>
      <c r="C3189" s="11" t="inlineStr">
        <is>
          <t>Common / Comum</t>
        </is>
      </c>
      <c r="D3189" s="11" t="inlineStr">
        <is>
          <t>Trample Whenever this creature deals combat damage to a player, create that many 0/1 colorless Eldrazi Spawn creature tokens. They have "Sacrifice this token: Add {C}." / Atropelar Toda vez que O Opressor causar dano de combate a um jogador, coloque no campo de batalha uma quantidade equivalente de fichas de criatura incolores 0/1 do tipo Prole Eldrazi. Elas têm "Sacrifique esta criatura: Adicione {1} à sua reserva de mana."</t>
        </is>
      </c>
      <c r="E3189" s="11" t="inlineStr">
        <is>
          <t>{5}{R}</t>
        </is>
      </c>
      <c r="F3189" s="11" t="inlineStr">
        <is>
          <t>Vermelho</t>
        </is>
      </c>
      <c r="G3189" s="8" t="n">
        <v>0.2</v>
      </c>
      <c r="H3189" s="11" t="inlineStr">
        <is>
          <t>Commander Masters (CMM)</t>
        </is>
      </c>
      <c r="I3189" s="11" t="inlineStr">
        <is>
          <t>Não</t>
        </is>
      </c>
      <c r="J3189" s="11" t="n">
        <v>2023</v>
      </c>
      <c r="K3189" s="10" t="n">
        <v>46117</v>
      </c>
      <c r="L3189" s="11" t="n">
        <v>1</v>
      </c>
      <c r="M3189" s="8">
        <f>L3189*G3189</f>
        <v/>
      </c>
      <c r="P3189" s="9" t="n"/>
    </row>
    <row r="3190">
      <c r="A3190" s="11" t="inlineStr">
        <is>
          <t>Rapacious Dragon / Dragão Edaz</t>
        </is>
      </c>
      <c r="B3190" s="11" t="inlineStr">
        <is>
          <t>Creature — Dragon / Criatura — Dragão</t>
        </is>
      </c>
      <c r="C3190" s="11" t="inlineStr">
        <is>
          <t>Common / Comum</t>
        </is>
      </c>
      <c r="D3190" s="11" t="inlineStr">
        <is>
          <t>Flying When this creature enters, create two Treasure tokens. (They're artifacts with "{T}, Sacrifice this token: Add one mana of any color.") / Voar Quando Dragão Edaz entrar no campo de batalha, crie duas fichas de Tesouro. (Elas são artefatos com "{T}, sacrifique este artefato: Adicione um mana de qualquer cor.")</t>
        </is>
      </c>
      <c r="E3190" s="11" t="inlineStr">
        <is>
          <t>{4}{R}</t>
        </is>
      </c>
      <c r="F3190" s="11" t="inlineStr">
        <is>
          <t>Vermelho</t>
        </is>
      </c>
      <c r="G3190" s="8" t="n">
        <v>0.18</v>
      </c>
      <c r="H3190" s="11" t="inlineStr">
        <is>
          <t>Commander Masters (CMM)</t>
        </is>
      </c>
      <c r="I3190" s="11" t="inlineStr">
        <is>
          <t>Não</t>
        </is>
      </c>
      <c r="J3190" s="11" t="n">
        <v>2023</v>
      </c>
      <c r="K3190" s="10" t="n">
        <v>46084</v>
      </c>
      <c r="L3190" s="11" t="n">
        <v>1</v>
      </c>
      <c r="M3190" s="8">
        <f>L3190*G3190</f>
        <v/>
      </c>
      <c r="P3190" s="9" t="n"/>
    </row>
    <row r="3191">
      <c r="A3191" s="11" t="inlineStr">
        <is>
          <t>Impossible Inferno</t>
        </is>
      </c>
      <c r="B3191" s="11" t="inlineStr">
        <is>
          <t>Instant</t>
        </is>
      </c>
      <c r="C3191" s="11" t="inlineStr">
        <is>
          <t>Common / Comum</t>
        </is>
      </c>
      <c r="D3191" s="11" t="inlineStr">
        <is>
          <t>Impossible Inferno deals 6 damage to target creature. Delirium — If there are four or more card types among cards in your graveyard, exile the top card of your library. You may play it until the end of your next turn.</t>
        </is>
      </c>
      <c r="E3191" s="11" t="inlineStr">
        <is>
          <t>{4}{R}</t>
        </is>
      </c>
      <c r="F3191" s="11" t="inlineStr">
        <is>
          <t>Vermelho</t>
        </is>
      </c>
      <c r="G3191" s="8" t="n">
        <v>0.05</v>
      </c>
      <c r="H3191" s="11" t="inlineStr">
        <is>
          <t>Duskmourn: House of Horror (DSK)</t>
        </is>
      </c>
      <c r="I3191" s="11" t="inlineStr">
        <is>
          <t>Não</t>
        </is>
      </c>
      <c r="J3191" s="11" t="n">
        <v>2024</v>
      </c>
      <c r="L3191" s="11" t="n">
        <v>1</v>
      </c>
      <c r="M3191" s="8">
        <f>L3191*G3191</f>
        <v/>
      </c>
      <c r="P3191" s="9" t="n"/>
    </row>
    <row r="3192">
      <c r="A3192" s="11" t="inlineStr">
        <is>
          <t>Incinerating Blast</t>
        </is>
      </c>
      <c r="B3192" s="11" t="inlineStr">
        <is>
          <t>Sorcery</t>
        </is>
      </c>
      <c r="C3192" s="11" t="inlineStr">
        <is>
          <t>Common / Comum</t>
        </is>
      </c>
      <c r="D3192" s="11" t="inlineStr">
        <is>
          <t>Incinerating Blast deals 6 damage to target creature. You may discard a card. If you do, draw a card.</t>
        </is>
      </c>
      <c r="E3192" s="11" t="inlineStr">
        <is>
          <t>{4}{R}</t>
        </is>
      </c>
      <c r="F3192" s="11" t="inlineStr">
        <is>
          <t>Vermelho</t>
        </is>
      </c>
      <c r="G3192" s="8" t="n">
        <v>0.05</v>
      </c>
      <c r="H3192" s="11" t="inlineStr">
        <is>
          <t>Foundations (FDN)</t>
        </is>
      </c>
      <c r="I3192" s="11" t="inlineStr">
        <is>
          <t>Não</t>
        </is>
      </c>
      <c r="J3192" s="11" t="n">
        <v>2024</v>
      </c>
      <c r="L3192" s="11" t="n">
        <v>1</v>
      </c>
      <c r="M3192" s="8">
        <f>L3192*G3192</f>
        <v/>
      </c>
      <c r="P3192" s="9" t="n"/>
    </row>
    <row r="3193">
      <c r="A3193" s="11" t="inlineStr">
        <is>
          <t>Rampaging Soulrager</t>
        </is>
      </c>
      <c r="B3193" s="11" t="inlineStr">
        <is>
          <t>Creature — Spirit</t>
        </is>
      </c>
      <c r="C3193" s="11" t="inlineStr">
        <is>
          <t>Common / Comum</t>
        </is>
      </c>
      <c r="D3193" s="11" t="inlineStr">
        <is>
          <t>This creature gets +3/+0 as long as there are two or more unlocked doors among Rooms you control.</t>
        </is>
      </c>
      <c r="E3193" s="11" t="inlineStr">
        <is>
          <t>{2}{R}</t>
        </is>
      </c>
      <c r="F3193" s="11" t="inlineStr">
        <is>
          <t>Vermelho</t>
        </is>
      </c>
      <c r="G3193" s="8" t="n">
        <v>0.05</v>
      </c>
      <c r="H3193" s="11" t="inlineStr">
        <is>
          <t>Duskmourn: House of Horror (DSK)</t>
        </is>
      </c>
      <c r="I3193" s="11" t="inlineStr">
        <is>
          <t>Não</t>
        </is>
      </c>
      <c r="J3193" s="11" t="n">
        <v>2024</v>
      </c>
      <c r="K3193" s="10" t="n">
        <v>46113</v>
      </c>
      <c r="L3193" s="11" t="n">
        <v>1</v>
      </c>
      <c r="M3193" s="8">
        <f>L3193*G3193</f>
        <v/>
      </c>
      <c r="P3193" s="9" t="n"/>
    </row>
    <row r="3194">
      <c r="A3194" s="11" t="inlineStr">
        <is>
          <t>Lightning Strike / Golpe Relampejante</t>
        </is>
      </c>
      <c r="B3194" s="11" t="inlineStr">
        <is>
          <t>Instant / Mágica Instantânea</t>
        </is>
      </c>
      <c r="C3194" s="11" t="inlineStr">
        <is>
          <t>Common / Comum</t>
        </is>
      </c>
      <c r="D3194" s="11" t="inlineStr">
        <is>
          <t>Lightning Strike deals 3 damage to any target. / Golpe Relampejante causa 3 pontos de dano à criatura ou ao jogador alvo.</t>
        </is>
      </c>
      <c r="E3194" s="11" t="inlineStr">
        <is>
          <t>{1}{R}</t>
        </is>
      </c>
      <c r="F3194" s="11" t="inlineStr">
        <is>
          <t>Vermelho</t>
        </is>
      </c>
      <c r="G3194" s="8" t="n">
        <v>0.15</v>
      </c>
      <c r="H3194" s="11" t="inlineStr">
        <is>
          <t>Dominaria United (DMU)</t>
        </is>
      </c>
      <c r="I3194" s="11" t="inlineStr">
        <is>
          <t>Não</t>
        </is>
      </c>
      <c r="J3194" s="11" t="n">
        <v>2022</v>
      </c>
      <c r="L3194" s="11" t="n">
        <v>1</v>
      </c>
      <c r="M3194" s="8">
        <f>L3194*G3194</f>
        <v/>
      </c>
      <c r="P3194" s="9" t="n"/>
    </row>
    <row r="3195">
      <c r="A3195" s="11" t="inlineStr">
        <is>
          <t>Razorkin Hordecaller</t>
        </is>
      </c>
      <c r="B3195" s="11" t="inlineStr">
        <is>
          <t>Creature — Human Clown Berserker</t>
        </is>
      </c>
      <c r="C3195" s="11" t="inlineStr">
        <is>
          <t>Uncommon / Incomum</t>
        </is>
      </c>
      <c r="D3195" s="11" t="inlineStr">
        <is>
          <t>Haste Whenever you attack, create a 1/1 red Gremlin creature token.</t>
        </is>
      </c>
      <c r="E3195" s="11" t="inlineStr">
        <is>
          <t>{4}{R}</t>
        </is>
      </c>
      <c r="F3195" s="11" t="inlineStr">
        <is>
          <t>Vermelho</t>
        </is>
      </c>
      <c r="G3195" s="8" t="n">
        <v>0.07000000000000001</v>
      </c>
      <c r="H3195" s="11" t="inlineStr">
        <is>
          <t>Duskmourn: House of Horror (DSK)</t>
        </is>
      </c>
      <c r="I3195" s="11" t="inlineStr">
        <is>
          <t>Não</t>
        </is>
      </c>
      <c r="J3195" s="11" t="n">
        <v>2024</v>
      </c>
      <c r="K3195" s="10" t="n">
        <v>46116</v>
      </c>
      <c r="L3195" s="11" t="n">
        <v>1</v>
      </c>
      <c r="M3195" s="8">
        <f>L3195*G3195</f>
        <v/>
      </c>
      <c r="P3195" s="9" t="n"/>
    </row>
    <row r="3196">
      <c r="A3196" s="11" t="inlineStr">
        <is>
          <t>Young Pyromancer / Piromante Jovem</t>
        </is>
      </c>
      <c r="B3196" s="11" t="inlineStr">
        <is>
          <t>Creature — Human Shaman / Criatura — Humano Xamã</t>
        </is>
      </c>
      <c r="C3196" s="11" t="inlineStr">
        <is>
          <t>Uncommon / Incomum</t>
        </is>
      </c>
      <c r="D3196" s="11" t="inlineStr">
        <is>
          <t>Whenever you cast an instant or sorcery spell, create a 1/1 red Elemental creature token. / Toda vez que você conjurar uma mágica instantânea ou feitiço, coloque no campo de batalha uma ficha de criatura vermelha 1/1 do tipo Elemental.</t>
        </is>
      </c>
      <c r="E3196" s="11" t="inlineStr">
        <is>
          <t>{1}{R}</t>
        </is>
      </c>
      <c r="F3196" s="11" t="inlineStr">
        <is>
          <t>Vermelho</t>
        </is>
      </c>
      <c r="G3196" s="8" t="n">
        <v>1.89</v>
      </c>
      <c r="H3196" s="11" t="inlineStr">
        <is>
          <t>Foundations Jumpstart (J25)</t>
        </is>
      </c>
      <c r="I3196" s="11" t="inlineStr">
        <is>
          <t>Não</t>
        </is>
      </c>
      <c r="J3196" s="11" t="n">
        <v>2024</v>
      </c>
      <c r="K3196" s="10" t="n">
        <v>46024</v>
      </c>
      <c r="L3196" s="11" t="n">
        <v>1</v>
      </c>
      <c r="M3196" s="8">
        <f>L3196*G3196</f>
        <v/>
      </c>
      <c r="N3196" s="11" t="inlineStr">
        <is>
          <t>Pasta</t>
        </is>
      </c>
      <c r="P3196" s="9" t="n"/>
    </row>
    <row r="3197">
      <c r="A3197" s="11" t="inlineStr">
        <is>
          <t>Amped Raptor / Raptor Amplificado</t>
        </is>
      </c>
      <c r="B3197" s="11" t="inlineStr">
        <is>
          <t>Creature — Dinosaur / Criatura — Dinossauro</t>
        </is>
      </c>
      <c r="C3197" s="11" t="inlineStr">
        <is>
          <t>Uncommon / Incomum</t>
        </is>
      </c>
      <c r="D3197" s="11" t="inlineStr">
        <is>
          <t>First strike When this creature enters, you get {E}{E} (two energy counters). Then if you cast it from your hand, exile cards from the top of your library until you exile a nonland card. You may cast that card by paying an amount of {E} equal to its mana value rather than paying its mana cost. / Iniciativa Quando Raptor Amplificado entra no campo de batalha, você recebe {E}{E} (dois marcadores de energia). Em seguida, se você o tiver conjurado de sua mão, exile cards do topo de seu grimório até exilar um card não de terreno. Você pode conjurar aquele card pagando uma quantidade de {E} igual a seu valor de mana em vez de pagar seu custo de mana.</t>
        </is>
      </c>
      <c r="E3197" s="11" t="inlineStr">
        <is>
          <t>{1}{R}</t>
        </is>
      </c>
      <c r="F3197" s="11" t="inlineStr">
        <is>
          <t>Vermelho</t>
        </is>
      </c>
      <c r="G3197" s="8" t="n">
        <v>0.16</v>
      </c>
      <c r="H3197" s="11" t="inlineStr">
        <is>
          <t>Modern Horizons 3 (MH3)</t>
        </is>
      </c>
      <c r="I3197" s="11" t="inlineStr">
        <is>
          <t>Sim</t>
        </is>
      </c>
      <c r="J3197" s="11" t="n">
        <v>2024</v>
      </c>
      <c r="K3197" s="10" t="n">
        <v>46024</v>
      </c>
      <c r="L3197" s="11" t="n">
        <v>1</v>
      </c>
      <c r="M3197" s="8">
        <f>L3197*G3197</f>
        <v/>
      </c>
      <c r="P3197" s="9" t="n"/>
    </row>
    <row r="3198">
      <c r="A3198" s="11" t="inlineStr">
        <is>
          <t>Unstable Amulet / Amuleto Instável</t>
        </is>
      </c>
      <c r="B3198" s="11" t="inlineStr">
        <is>
          <t>Artifact / Artefato</t>
        </is>
      </c>
      <c r="C3198" s="11" t="inlineStr">
        <is>
          <t>Uncommon / Incomum</t>
        </is>
      </c>
      <c r="D3198" s="11" t="inlineStr">
        <is>
          <t>When this artifact enters, you get {E}{E} (two energy counters). Whenever you cast a spell from anywhere other than your hand, this artifact deals 1 damage to each opponent. {T}, Pay {E}{E}: Exile the top card of your library. You may play it until you exile another card with this artifact. / Quando Amuleto Instável entra no campo de batalha, você recebe {E}{E}. Toda vez que você conjura uma mágica vinda de qualquer lugar que não seja sua mão, Amuleto Instável causa 1 ponto de dano a cada oponente. {T}, pague {E}{E}: Exile o card do topo de seu grimório. Você pode jogá-lo até exilar outro card com Amuleto Instável.</t>
        </is>
      </c>
      <c r="E3198" s="11" t="inlineStr">
        <is>
          <t>{1}{R}</t>
        </is>
      </c>
      <c r="F3198" s="11" t="inlineStr">
        <is>
          <t>Vermelho</t>
        </is>
      </c>
      <c r="G3198" s="8" t="n">
        <v>0.17</v>
      </c>
      <c r="H3198" s="11" t="inlineStr">
        <is>
          <t>Modern Horizons 3 (MH3)</t>
        </is>
      </c>
      <c r="I3198" s="11" t="inlineStr">
        <is>
          <t>Não</t>
        </is>
      </c>
      <c r="J3198" s="11" t="n">
        <v>2024</v>
      </c>
      <c r="L3198" s="11" t="n">
        <v>1</v>
      </c>
      <c r="M3198" s="8">
        <f>L3198*G3198</f>
        <v/>
      </c>
      <c r="P3198" s="9" t="n"/>
    </row>
    <row r="3199">
      <c r="A3199" s="11" t="inlineStr">
        <is>
          <t>Seize the Storm / Apreender a Tempestade</t>
        </is>
      </c>
      <c r="B3199" s="11" t="inlineStr">
        <is>
          <t>Sorcery / Feitiço</t>
        </is>
      </c>
      <c r="C3199" s="11" t="inlineStr">
        <is>
          <t>Common / Comum</t>
        </is>
      </c>
      <c r="D3199" s="11" t="inlineStr">
        <is>
          <t>Create a red Elemental creature token with trample and "This token's power and toughness are each equal to the number of instant and sorcery cards in your graveyard plus the number of cards with flashback you own in exile." Flashback {6}{R} (You may cast this card from your graveyard for its flashback cost. Then exile it.) / Crie uma ficha de criatura Elemental vermelha com atropelar e "O poder e a resistência desta criatura são ambos iguais ao número de cards de mágica instantânea e feitiço em seu cemitério mais o número de cards com recapitular seus no exílio". Recapitular {6}{R} (Você pode conjurar este card de seu cemitério pagando seu custo de recapitular. Depois, exile-o.)</t>
        </is>
      </c>
      <c r="E3199" s="11" t="inlineStr">
        <is>
          <t>{4}{R}</t>
        </is>
      </c>
      <c r="F3199" s="11" t="inlineStr">
        <is>
          <t>Vermelho</t>
        </is>
      </c>
      <c r="G3199" s="8" t="n">
        <v>0.1</v>
      </c>
      <c r="H3199" s="11" t="inlineStr">
        <is>
          <t>Innistrad Remastered (INR)</t>
        </is>
      </c>
      <c r="I3199" s="11" t="inlineStr">
        <is>
          <t>Não</t>
        </is>
      </c>
      <c r="J3199" s="11" t="n">
        <v>2025</v>
      </c>
      <c r="L3199" s="11" t="n">
        <v>1</v>
      </c>
      <c r="M3199" s="8">
        <f>L3199*G3199</f>
        <v/>
      </c>
      <c r="P3199" s="9" t="n"/>
    </row>
    <row r="3200">
      <c r="A3200" s="11" t="inlineStr">
        <is>
          <t>Firebrand Archer / Arqueira Agitadora</t>
        </is>
      </c>
      <c r="B3200" s="11" t="inlineStr">
        <is>
          <t>Creature — Human Archer / Criatura — Humano Arqueiro</t>
        </is>
      </c>
      <c r="C3200" s="11" t="inlineStr">
        <is>
          <t>Common / Comum</t>
        </is>
      </c>
      <c r="D3200" s="11" t="inlineStr">
        <is>
          <t>Whenever you cast a noncreature spell, this creature deals 1 damage to each opponent. / Toda vez que você conjura uma mágica que não seja de criatura, Arqueira Agitadora causa 1 ponto de dano a cada oponente.</t>
        </is>
      </c>
      <c r="E3200" s="11" t="inlineStr">
        <is>
          <t>{1}{R}</t>
        </is>
      </c>
      <c r="F3200" s="11" t="inlineStr">
        <is>
          <t>Vermelho</t>
        </is>
      </c>
      <c r="G3200" s="8" t="n">
        <v>0.2</v>
      </c>
      <c r="H3200" s="11" t="inlineStr">
        <is>
          <t>Foundations (FDN)</t>
        </is>
      </c>
      <c r="I3200" s="11" t="inlineStr">
        <is>
          <t>Não</t>
        </is>
      </c>
      <c r="J3200" s="11" t="n">
        <v>2024</v>
      </c>
      <c r="K3200" s="10" t="n">
        <v>46024</v>
      </c>
      <c r="L3200" s="11" t="n">
        <v>1</v>
      </c>
      <c r="M3200" s="8">
        <f>L3200*G3200</f>
        <v/>
      </c>
      <c r="P3200" s="9" t="n"/>
    </row>
    <row r="3201">
      <c r="A3201" s="11" t="inlineStr">
        <is>
          <t>Goblin Boarders</t>
        </is>
      </c>
      <c r="B3201" s="11" t="inlineStr">
        <is>
          <t>Creature — Goblin Pirate</t>
        </is>
      </c>
      <c r="C3201" s="11" t="inlineStr">
        <is>
          <t>Common / Comum</t>
        </is>
      </c>
      <c r="D3201" s="11" t="inlineStr">
        <is>
          <t>Raid — This creature enters with a +1/+1 counter on it if you attacked this turn.</t>
        </is>
      </c>
      <c r="E3201" s="11" t="inlineStr">
        <is>
          <t>{2}{R}</t>
        </is>
      </c>
      <c r="F3201" s="11" t="inlineStr">
        <is>
          <t>Vermelho</t>
        </is>
      </c>
      <c r="G3201" s="8" t="n">
        <v>0.09</v>
      </c>
      <c r="H3201" s="11" t="inlineStr">
        <is>
          <t>Foundations (FDN)</t>
        </is>
      </c>
      <c r="I3201" s="11" t="inlineStr">
        <is>
          <t>Não</t>
        </is>
      </c>
      <c r="J3201" s="11" t="n">
        <v>2024</v>
      </c>
      <c r="K3201" s="10" t="n">
        <v>46056</v>
      </c>
      <c r="L3201" s="11" t="n">
        <v>1</v>
      </c>
      <c r="M3201" s="8">
        <f>L3201*G3201</f>
        <v/>
      </c>
      <c r="P3201" s="9" t="n"/>
    </row>
    <row r="3202">
      <c r="A3202" s="11" t="inlineStr">
        <is>
          <t>Subira, Tulzidi Caravanner / Subira, Caravaneira Tulzidi</t>
        </is>
      </c>
      <c r="B3202" s="11" t="inlineStr">
        <is>
          <t>Legendary Creature — Human Shaman / Criatura Lendária — Humano Xamã</t>
        </is>
      </c>
      <c r="C3202" s="11" t="inlineStr">
        <is>
          <t>Uncommon / Incomum</t>
        </is>
      </c>
      <c r="D3202" s="11"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3202" s="11" t="inlineStr">
        <is>
          <t>{2}{R}</t>
        </is>
      </c>
      <c r="F3202" s="11" t="inlineStr">
        <is>
          <t>Vermelho</t>
        </is>
      </c>
      <c r="G3202" s="8" t="n">
        <v>0.48</v>
      </c>
      <c r="H3202" s="11" t="inlineStr">
        <is>
          <t>Commander Masters (CMM)</t>
        </is>
      </c>
      <c r="I3202" s="11" t="inlineStr">
        <is>
          <t>Não</t>
        </is>
      </c>
      <c r="J3202" s="11" t="n">
        <v>2023</v>
      </c>
      <c r="K3202" s="10" t="n">
        <v>46083</v>
      </c>
      <c r="L3202" s="11" t="n">
        <v>1</v>
      </c>
      <c r="M3202" s="8">
        <f>L3202*G3202</f>
        <v/>
      </c>
      <c r="P3202" s="9" t="n"/>
    </row>
    <row r="3203">
      <c r="A3203" s="11" t="inlineStr">
        <is>
          <t>Ghitu Amplifier / Amplificadora Ghitu</t>
        </is>
      </c>
      <c r="B3203" s="11" t="inlineStr">
        <is>
          <t>Creature — Human Wizard / Criatura — Humano Mago</t>
        </is>
      </c>
      <c r="C3203" s="11" t="inlineStr">
        <is>
          <t>Common / Comum</t>
        </is>
      </c>
      <c r="D3203" s="11" t="inlineStr">
        <is>
          <t>Kicker {2}{U} (You may pay an additional {2}{U} as you cast this spell.) When this creature enters, if it was kicked, return target creature an opponent controls to its owner's hand. Whenever you cast an instant or sorcery spell, this creature gets +2/+0 until end of turn. / Reforçar {2}{U} (Você pode pagar um custo adicional de {2}{U} ao conjurar esta mágica.) Quando Amplificadora Ghitu entra no campo de batalha, se ela foi reforçada, devolva a criatura alvo que um oponente controla para a mão de seu dono. Toda vez que você conjura uma mágica instantânea ou um feitiço, Amplificadora Ghitu recebe +2/+0 até o final do turno.</t>
        </is>
      </c>
      <c r="E3203" s="11" t="inlineStr">
        <is>
          <t>{1}{R}</t>
        </is>
      </c>
      <c r="F3203" s="11" t="inlineStr">
        <is>
          <t>Vermelho</t>
        </is>
      </c>
      <c r="G3203" s="8" t="n">
        <v>0.05</v>
      </c>
      <c r="H3203" s="11" t="inlineStr">
        <is>
          <t>Dominaria United (DMU)</t>
        </is>
      </c>
      <c r="I3203" s="11" t="inlineStr">
        <is>
          <t>Não</t>
        </is>
      </c>
      <c r="J3203" s="11" t="n">
        <v>2022</v>
      </c>
      <c r="K3203" s="10" t="n">
        <v>46054</v>
      </c>
      <c r="L3203" s="11" t="n">
        <v>1</v>
      </c>
      <c r="M3203" s="8">
        <f>L3203*G3203</f>
        <v/>
      </c>
      <c r="P3203" s="9" t="n"/>
    </row>
    <row r="3204">
      <c r="A3204" s="11" t="inlineStr">
        <is>
          <t>Viashino Branchrider / Surfista da Mata Viashino</t>
        </is>
      </c>
      <c r="B3204" s="11" t="inlineStr">
        <is>
          <t>Creature — Lizard Warrior / Criatura — Viashino Guerreiro</t>
        </is>
      </c>
      <c r="C3204" s="11" t="inlineStr">
        <is>
          <t>Common / Comum</t>
        </is>
      </c>
      <c r="D3204" s="11" t="inlineStr">
        <is>
          <t>Kicker {2}{G} (You may pay an additional {2}{G} as you cast this spell.) Haste If this creature was kicked, it enters with two +1/+1 counters on it. {2}{R}: This creature gets +2/+0 until end of turn. / Reforçar {2}{G} (Você pode pagar um custo adicional de {2}{G} ao conjurar esta mágica.) Ímpeto Se Surfista da Mata Viashino foi reforçado, ele entra no campo de batalha com dois marcadores +1/+1. {2}{R}: Surfista da Mata Viashino recebe +2/+0 até o final do turno.</t>
        </is>
      </c>
      <c r="E3204" s="11" t="inlineStr">
        <is>
          <t>{R}</t>
        </is>
      </c>
      <c r="F3204" s="11" t="inlineStr">
        <is>
          <t>Vermelho</t>
        </is>
      </c>
      <c r="G3204" s="8" t="n">
        <v>0.04</v>
      </c>
      <c r="H3204" s="11" t="inlineStr">
        <is>
          <t>Dominaria United (DMU)</t>
        </is>
      </c>
      <c r="I3204" s="11" t="inlineStr">
        <is>
          <t>Não</t>
        </is>
      </c>
      <c r="J3204" s="11" t="n">
        <v>2022</v>
      </c>
      <c r="K3204" s="10" t="n">
        <v>46023</v>
      </c>
      <c r="L3204" s="11" t="n">
        <v>1</v>
      </c>
      <c r="M3204" s="8">
        <f>L3204*G3204</f>
        <v/>
      </c>
      <c r="P3204" s="9" t="n"/>
    </row>
    <row r="3205">
      <c r="A3205" s="11" t="inlineStr">
        <is>
          <t>Cinderheart Giant / Gigante do Coração Ardente</t>
        </is>
      </c>
      <c r="B3205" s="11" t="inlineStr">
        <is>
          <t>Creature — Giant Berserker / Criatura — Gigante Amoque</t>
        </is>
      </c>
      <c r="C3205" s="11" t="inlineStr">
        <is>
          <t>Common / Comum</t>
        </is>
      </c>
      <c r="D3205" s="11" t="inlineStr">
        <is>
          <t>Trample When this creature dies, it deals 7 damage to a creature an opponent controls chosen at random. / Atropelar Quando Gigante do Coração Ardente morre, ele causa 7 pontos de dano a uma criatura que um oponente controla escolhida aleatoriamente.</t>
        </is>
      </c>
      <c r="E3205" s="11" t="inlineStr">
        <is>
          <t>{5}{R}{R}</t>
        </is>
      </c>
      <c r="F3205" s="11" t="inlineStr">
        <is>
          <t>Vermelho</t>
        </is>
      </c>
      <c r="G3205" s="8" t="n">
        <v>0.06</v>
      </c>
      <c r="H3205" s="11" t="inlineStr">
        <is>
          <t>Kaldheim (KHM)</t>
        </is>
      </c>
      <c r="I3205" s="11" t="inlineStr">
        <is>
          <t>Não</t>
        </is>
      </c>
      <c r="J3205" s="11" t="n">
        <v>2021</v>
      </c>
      <c r="K3205" s="10" t="n">
        <v>46180</v>
      </c>
      <c r="L3205" s="11" t="n">
        <v>1</v>
      </c>
      <c r="M3205" s="8">
        <f>L3205*G3205</f>
        <v/>
      </c>
      <c r="P3205" s="9" t="n"/>
    </row>
    <row r="3206">
      <c r="A3206" s="11" t="inlineStr">
        <is>
          <t>Dragonspark Reactor / Reator de Centelha Dracônica</t>
        </is>
      </c>
      <c r="B3206" s="11" t="inlineStr">
        <is>
          <t>Artifact / Artefato</t>
        </is>
      </c>
      <c r="C3206" s="11" t="inlineStr">
        <is>
          <t>Uncommon / Incomum</t>
        </is>
      </c>
      <c r="D3206" s="11" t="inlineStr">
        <is>
          <t>Whenever this artifact or another artifact you control enters, put a charge counter on this artifact. {4}, Sacrifice this artifact: It deals damage equal to the number of charge counters on it to target player and that much damage to up to one target creature. / Toda vez que Reator de Centelha Dracônica ou outro artefato entrar no campo de batalha sob seu controle, coloque um marcador de carga em Reator de Centelha Dracônica. {4}, sacrifique Reator de Centelha Dracônica: Ele causa dano igual ao número de marcadores de carga nele ao jogador alvo e aquela quantidade de dano a até uma criatura alvo.</t>
        </is>
      </c>
      <c r="E3206" s="11" t="inlineStr">
        <is>
          <t>{1}{R}</t>
        </is>
      </c>
      <c r="F3206" s="11" t="inlineStr">
        <is>
          <t>Vermelho</t>
        </is>
      </c>
      <c r="G3206" s="8" t="n">
        <v>0.1</v>
      </c>
      <c r="H3206" s="11" t="inlineStr">
        <is>
          <t>Kamigawa: Neon Dynasty (NEO)</t>
        </is>
      </c>
      <c r="I3206" s="11" t="inlineStr">
        <is>
          <t>Não</t>
        </is>
      </c>
      <c r="J3206" s="11" t="n">
        <v>2022</v>
      </c>
      <c r="L3206" s="11" t="n">
        <v>1</v>
      </c>
      <c r="M3206" s="8">
        <f>L3206*G3206</f>
        <v/>
      </c>
      <c r="P3206" s="9" t="n"/>
    </row>
    <row r="3207">
      <c r="A3207" s="11" t="inlineStr">
        <is>
          <t>Chandra's Incinerator / Incinerador de Chandra</t>
        </is>
      </c>
      <c r="B3207" s="11" t="inlineStr">
        <is>
          <t>Creature — Elemental / Criatura — Elemental</t>
        </is>
      </c>
      <c r="C3207" s="11" t="inlineStr">
        <is>
          <t>Rare / Rara</t>
        </is>
      </c>
      <c r="D3207" s="11" t="inlineStr">
        <is>
          <t>This spell costs {X} less to cast, where X is the total amount of noncombat damage dealt to your opponents this turn. Trample Whenever a source you control deals noncombat damage to an opponent, this creature deals that much damage to target creature or planeswalker that player controls. / Esta mágica custa {X} a menos para ser conjurada, sendo X a quantidade total de dano que não seja de combate causada a seus oponentes neste turno. Atropelar Toda vez que uma fonte que você controla causa dano que não seja de combate a um oponente, Incinerador de Chandra causa aquela quantidade de dano à criatura ou ao planeswalker alvo que aquele jogador controla.</t>
        </is>
      </c>
      <c r="E3207" s="11" t="inlineStr">
        <is>
          <t>{5}{R}</t>
        </is>
      </c>
      <c r="F3207" s="11" t="inlineStr">
        <is>
          <t>Vermelho</t>
        </is>
      </c>
      <c r="G3207" s="8" t="n">
        <v>13.5</v>
      </c>
      <c r="H3207" s="11" t="inlineStr">
        <is>
          <t>Core Set 2021 (M21)</t>
        </is>
      </c>
      <c r="I3207" s="11" t="inlineStr">
        <is>
          <t>Não</t>
        </is>
      </c>
      <c r="J3207" s="11" t="n">
        <v>2020</v>
      </c>
      <c r="K3207" s="10" t="n">
        <v>46179</v>
      </c>
      <c r="L3207" s="11" t="n">
        <v>1</v>
      </c>
      <c r="M3207" s="8">
        <f>L3207*G3207</f>
        <v/>
      </c>
      <c r="N3207" s="11" t="inlineStr">
        <is>
          <t>Pasta</t>
        </is>
      </c>
      <c r="P3207" s="9" t="n"/>
    </row>
    <row r="3208">
      <c r="A3208" s="11" t="inlineStr">
        <is>
          <t>Vault Robber / Ladrão de Catacumba</t>
        </is>
      </c>
      <c r="B3208" s="11" t="inlineStr">
        <is>
          <t>Creature — Dwarf Rogue / Criatura — Anão Ladino</t>
        </is>
      </c>
      <c r="C3208" s="11" t="inlineStr">
        <is>
          <t>Common / Comum</t>
        </is>
      </c>
      <c r="D3208" s="11" t="inlineStr">
        <is>
          <t>{1}, {T}, Exile a creature card from your graveyard: Create a Treasure token. (It's an artifact with "{T}, Sacrifice this token: Add one mana of any color.") / {1}, {T}, exile um card de criatura de seu cemitério: Crie uma ficha de Tesouro. (Ela é um artefato com "{T}, sacrifique este artefato: Adicione um mana de qualquer cor".)</t>
        </is>
      </c>
      <c r="E3208" s="11" t="inlineStr">
        <is>
          <t>{1}{R}</t>
        </is>
      </c>
      <c r="F3208" s="11" t="inlineStr">
        <is>
          <t>Vermelho</t>
        </is>
      </c>
      <c r="G3208" s="8" t="n">
        <v>0.06</v>
      </c>
      <c r="H3208" s="11" t="inlineStr">
        <is>
          <t>Kaldheim (KHM)</t>
        </is>
      </c>
      <c r="I3208" s="11" t="inlineStr">
        <is>
          <t>Não</t>
        </is>
      </c>
      <c r="J3208" s="11" t="n">
        <v>2021</v>
      </c>
      <c r="K3208" s="10" t="n">
        <v>46082</v>
      </c>
      <c r="L3208" s="11" t="n">
        <v>1</v>
      </c>
      <c r="M3208" s="8">
        <f>L3208*G3208</f>
        <v/>
      </c>
      <c r="P3208" s="9" t="n"/>
    </row>
    <row r="3209">
      <c r="A3209" s="11" t="inlineStr">
        <is>
          <t>Plundering Pirate / Pirata a Pilhar</t>
        </is>
      </c>
      <c r="B3209" s="11" t="inlineStr">
        <is>
          <t>Creature — Orc Pirate / Criatura — Orc Pirata</t>
        </is>
      </c>
      <c r="C3209" s="11" t="inlineStr">
        <is>
          <t>Common / Comum</t>
        </is>
      </c>
      <c r="D3209" s="11" t="inlineStr">
        <is>
          <t>When this creature enters, create a Treasure token. (It's an artifact with "{T}, Sacrifice this token: Add one mana of any color.") / Quando Pirata a Pilhar entrar no campo de batalha, crie uma ficha de Tesouro. (Ela é um artefato com "{T}, sacrifique este artefato: Adicione um mana de qualquer cor".)</t>
        </is>
      </c>
      <c r="E3209" s="11" t="inlineStr">
        <is>
          <t>{2}{R}</t>
        </is>
      </c>
      <c r="F3209" s="11" t="inlineStr">
        <is>
          <t>Vermelho</t>
        </is>
      </c>
      <c r="G3209" s="8" t="n">
        <v>0.1</v>
      </c>
      <c r="H3209" s="11" t="inlineStr">
        <is>
          <t>The Lost Caverns of Ixalan (LCI)</t>
        </is>
      </c>
      <c r="I3209" s="11" t="inlineStr">
        <is>
          <t>Não</t>
        </is>
      </c>
      <c r="J3209" s="11" t="n">
        <v>2023</v>
      </c>
      <c r="K3209" s="10" t="n">
        <v>46056</v>
      </c>
      <c r="L3209" s="11" t="n">
        <v>1</v>
      </c>
      <c r="M3209" s="8">
        <f>L3209*G3209</f>
        <v/>
      </c>
      <c r="P3209" s="9" t="n"/>
    </row>
    <row r="3210">
      <c r="A3210" s="11" t="inlineStr">
        <is>
          <t>Goblin Tomb Raider / Goblin Saqueador de Túmulos</t>
        </is>
      </c>
      <c r="B3210" s="11" t="inlineStr">
        <is>
          <t>Creature — Goblin Pirate / Criatura — Goblin Pirata</t>
        </is>
      </c>
      <c r="C3210" s="11" t="inlineStr">
        <is>
          <t>Common / Comum</t>
        </is>
      </c>
      <c r="D3210" s="11" t="inlineStr">
        <is>
          <t>As long as you control an artifact, this creature gets +1/+0 and has haste. / Enquanto você controlar um artefato, Goblin Saqueador de Túmulos receberá +1/+0 e terá ímpeto.</t>
        </is>
      </c>
      <c r="E3210" s="11" t="inlineStr">
        <is>
          <t>{R}</t>
        </is>
      </c>
      <c r="F3210" s="11" t="inlineStr">
        <is>
          <t>Vermelho</t>
        </is>
      </c>
      <c r="G3210" s="8" t="n">
        <v>0.6899999999999999</v>
      </c>
      <c r="H3210" s="11" t="inlineStr">
        <is>
          <t>The Lost Caverns of Ixalan (LCI)</t>
        </is>
      </c>
      <c r="I3210" s="11" t="inlineStr">
        <is>
          <t>Não</t>
        </is>
      </c>
      <c r="J3210" s="11" t="n">
        <v>2023</v>
      </c>
      <c r="K3210" s="10" t="n">
        <v>46054</v>
      </c>
      <c r="L3210" s="11" t="n">
        <v>1</v>
      </c>
      <c r="M3210" s="8">
        <f>L3210*G3210</f>
        <v/>
      </c>
      <c r="P3210" s="9" t="n"/>
    </row>
    <row r="3211">
      <c r="A3211" s="11" t="inlineStr">
        <is>
          <t>Mugging / Assaltar</t>
        </is>
      </c>
      <c r="B3211" s="11" t="inlineStr">
        <is>
          <t>Sorcery / Feitiço</t>
        </is>
      </c>
      <c r="C3211" s="11" t="inlineStr">
        <is>
          <t>Common / Comum</t>
        </is>
      </c>
      <c r="D3211" s="11" t="inlineStr">
        <is>
          <t>Mugging deals 2 damage to target creature. That creature can't block this turn. / Assaltar causa 2 pontos de dano à criatura alvo. Aquela criatura não pode bloquear neste turno.</t>
        </is>
      </c>
      <c r="E3211" s="11" t="inlineStr">
        <is>
          <t>{R}</t>
        </is>
      </c>
      <c r="F3211" s="11" t="inlineStr">
        <is>
          <t>Vermelho</t>
        </is>
      </c>
      <c r="G3211" s="8" t="n">
        <v>0.13</v>
      </c>
      <c r="H3211" s="11" t="inlineStr">
        <is>
          <t>Ravnica Remastered (RVR)</t>
        </is>
      </c>
      <c r="I3211" s="11" t="inlineStr">
        <is>
          <t>Não</t>
        </is>
      </c>
      <c r="J3211" s="11" t="n">
        <v>2024</v>
      </c>
      <c r="L3211" s="11" t="n">
        <v>1</v>
      </c>
      <c r="M3211" s="8">
        <f>L3211*G3211</f>
        <v/>
      </c>
      <c r="P3211" s="9" t="n"/>
    </row>
    <row r="3212">
      <c r="A3212" s="11" t="inlineStr">
        <is>
          <t>Abrade / Abrasão</t>
        </is>
      </c>
      <c r="B3212" s="11" t="inlineStr">
        <is>
          <t>Instant / Mágica Instantânea</t>
        </is>
      </c>
      <c r="C3212" s="11" t="inlineStr">
        <is>
          <t>Common / Comum</t>
        </is>
      </c>
      <c r="D3212" s="11" t="inlineStr">
        <is>
          <t>Choose one — • Abrade deals 3 damage to target creature. • Destroy target artifact. / Escolha um — • Abrasão causa 3 pontos de dano à criatura alvo. • Destrua o artefato alvo.</t>
        </is>
      </c>
      <c r="E3212" s="11" t="inlineStr">
        <is>
          <t>{1}{R}</t>
        </is>
      </c>
      <c r="F3212" s="11" t="inlineStr">
        <is>
          <t>Vermelho</t>
        </is>
      </c>
      <c r="G3212" s="8" t="n">
        <v>0.25</v>
      </c>
      <c r="H3212" s="11" t="inlineStr">
        <is>
          <t>Innistrad: Crimson Vow (VOW)</t>
        </is>
      </c>
      <c r="I3212" s="11" t="inlineStr">
        <is>
          <t>Não</t>
        </is>
      </c>
      <c r="J3212" s="11" t="n">
        <v>2021</v>
      </c>
      <c r="L3212" s="11" t="n">
        <v>1</v>
      </c>
      <c r="M3212" s="8">
        <f>L3212*G3212</f>
        <v/>
      </c>
      <c r="P3212" s="9" t="n"/>
    </row>
    <row r="3213">
      <c r="A3213" s="11" t="inlineStr">
        <is>
          <t>Kessig Flamebreather / Sopra-fogo de Kessig</t>
        </is>
      </c>
      <c r="B3213" s="11" t="inlineStr">
        <is>
          <t>Creature — Human Shaman / Criatura — Humano Xamã</t>
        </is>
      </c>
      <c r="C3213" s="11" t="inlineStr">
        <is>
          <t>Common / Comum</t>
        </is>
      </c>
      <c r="D3213" s="11" t="inlineStr">
        <is>
          <t>Whenever you cast a noncreature spell, this creature deals 1 damage to each opponent. / Toda vez que você conjura uma mágica não de criatura, Sopra-fogo de Kessig causa 1 ponto de dano a cada oponente.</t>
        </is>
      </c>
      <c r="E3213" s="11" t="inlineStr">
        <is>
          <t>{1}{R}</t>
        </is>
      </c>
      <c r="F3213" s="11" t="inlineStr">
        <is>
          <t>Vermelho</t>
        </is>
      </c>
      <c r="G3213" s="8" t="n">
        <v>18.98</v>
      </c>
      <c r="H3213" s="11" t="inlineStr">
        <is>
          <t>Innistrad: Crimson Vow (VOW)</t>
        </is>
      </c>
      <c r="I3213" s="11" t="inlineStr">
        <is>
          <t>Não</t>
        </is>
      </c>
      <c r="J3213" s="11" t="n">
        <v>2021</v>
      </c>
      <c r="K3213" s="10" t="n">
        <v>46082</v>
      </c>
      <c r="L3213" s="11" t="n">
        <v>1</v>
      </c>
      <c r="M3213" s="8">
        <f>L3213*G3213</f>
        <v/>
      </c>
      <c r="N3213" s="11" t="inlineStr">
        <is>
          <t>Pasta</t>
        </is>
      </c>
      <c r="P3213" s="9" t="n"/>
    </row>
    <row r="3214">
      <c r="A3214" s="11" t="inlineStr">
        <is>
          <t>Weary Prisoner / Prisioneira Fatigada</t>
        </is>
      </c>
      <c r="B3214" s="11" t="inlineStr">
        <is>
          <t>Creature — Human Werewolf / Criatura — Humano Lobisomem</t>
        </is>
      </c>
      <c r="C3214" s="11" t="inlineStr">
        <is>
          <t>Common / Comum</t>
        </is>
      </c>
      <c r="D3214" s="11" t="inlineStr">
        <is>
          <t>Defender Daybound (If a player casts no spells during their own turn, it becomes night next turn.) / Defensor Diurno (Se um jogador não conjura nenhuma mágica durante o próprio turno, torna-se noite no turno seguinte.)</t>
        </is>
      </c>
      <c r="E3214" s="11" t="inlineStr">
        <is>
          <t>{3}{R}</t>
        </is>
      </c>
      <c r="F3214" s="11" t="inlineStr">
        <is>
          <t>Vermelho</t>
        </is>
      </c>
      <c r="G3214" s="8" t="n">
        <v>0.05</v>
      </c>
      <c r="H3214" s="11" t="inlineStr">
        <is>
          <t>Innistrad: Crimson Vow (VOW)</t>
        </is>
      </c>
      <c r="I3214" s="11" t="inlineStr">
        <is>
          <t>Não</t>
        </is>
      </c>
      <c r="J3214" s="11" t="n">
        <v>2021</v>
      </c>
      <c r="K3214" s="10" t="n">
        <v>46175</v>
      </c>
      <c r="L3214" s="11" t="n">
        <v>1</v>
      </c>
      <c r="M3214" s="8">
        <f>L3214*G3214</f>
        <v/>
      </c>
      <c r="P3214" s="9" t="n"/>
    </row>
    <row r="3215">
      <c r="A3215" s="11" t="inlineStr">
        <is>
          <t>Sure Strike / Golpe Certeiro</t>
        </is>
      </c>
      <c r="B3215" s="11" t="inlineStr">
        <is>
          <t>Instant / Mágica Instantânea</t>
        </is>
      </c>
      <c r="C3215" s="11" t="inlineStr">
        <is>
          <t>Common / Comum</t>
        </is>
      </c>
      <c r="D3215" s="11" t="inlineStr">
        <is>
          <t>Target creature gets +3/+0 and gains first strike until end of turn. (It deals combat damage before creatures without first strike.) / A criatura alvo recebe +3/+0 e ganha iniciativa até o final do turno.</t>
        </is>
      </c>
      <c r="E3215" s="11" t="inlineStr">
        <is>
          <t>{1}{R}</t>
        </is>
      </c>
      <c r="F3215" s="11" t="inlineStr">
        <is>
          <t>Vermelho</t>
        </is>
      </c>
      <c r="G3215" s="8" t="n">
        <v>0.05</v>
      </c>
      <c r="H3215" s="11" t="inlineStr">
        <is>
          <t>Innistrad: Crimson Vow (VOW)</t>
        </is>
      </c>
      <c r="I3215" s="11" t="inlineStr">
        <is>
          <t>Não</t>
        </is>
      </c>
      <c r="J3215" s="11" t="n">
        <v>2021</v>
      </c>
      <c r="L3215" s="11" t="n">
        <v>1</v>
      </c>
      <c r="M3215" s="8">
        <f>L3215*G3215</f>
        <v/>
      </c>
      <c r="P3215" s="9" t="n"/>
    </row>
    <row r="3216">
      <c r="A3216" s="11" t="inlineStr">
        <is>
          <t>Flame-Blessed Bolt / Virote da Chama Abençoada</t>
        </is>
      </c>
      <c r="B3216" s="11" t="inlineStr">
        <is>
          <t>Instant / Mágica Instantânea</t>
        </is>
      </c>
      <c r="C3216" s="11" t="inlineStr">
        <is>
          <t>Common / Comum</t>
        </is>
      </c>
      <c r="D3216" s="11" t="inlineStr">
        <is>
          <t>Flame-Blessed Bolt deals 2 damage to target creature or planeswalker. If that creature or planeswalker would die this turn, exile it instead. / Virote da Chama Abençoada causa 2 pontos de dano à criatura ou ao planeswalker alvo. Se aquela criatura ou aquele planeswalker morreria neste turno, em vez disso, exile-o.</t>
        </is>
      </c>
      <c r="E3216" s="11" t="inlineStr">
        <is>
          <t>{R}</t>
        </is>
      </c>
      <c r="F3216" s="11" t="inlineStr">
        <is>
          <t>Vermelho</t>
        </is>
      </c>
      <c r="G3216" s="8" t="n">
        <v>0.04</v>
      </c>
      <c r="H3216" s="11" t="inlineStr">
        <is>
          <t>Innistrad: Crimson Vow (VOW)</t>
        </is>
      </c>
      <c r="I3216" s="11" t="inlineStr">
        <is>
          <t>Não</t>
        </is>
      </c>
      <c r="J3216" s="11" t="n">
        <v>2021</v>
      </c>
      <c r="L3216" s="11" t="n">
        <v>1</v>
      </c>
      <c r="M3216" s="8">
        <f>L3216*G3216</f>
        <v/>
      </c>
      <c r="P3216" s="9" t="n"/>
    </row>
    <row r="3217">
      <c r="A3217" s="11" t="inlineStr">
        <is>
          <t>East Wind Avatar</t>
        </is>
      </c>
      <c r="B3217" s="11" t="inlineStr">
        <is>
          <t>Creature — Bird Spirit Avatar</t>
        </is>
      </c>
      <c r="C3217" s="11" t="inlineStr">
        <is>
          <t>Common / Comum</t>
        </is>
      </c>
      <c r="D3217" s="11" t="inlineStr">
        <is>
          <t>Flying, vigilance Alliance — Whenever another creature you control enters, this creature gets +1/+0 until end of turn.</t>
        </is>
      </c>
      <c r="E3217" s="11" t="inlineStr">
        <is>
          <t>{3}{W}</t>
        </is>
      </c>
      <c r="F3217" s="11" t="inlineStr">
        <is>
          <t>Branco</t>
        </is>
      </c>
      <c r="G3217" s="8" t="n">
        <v>0.2</v>
      </c>
      <c r="H3217" s="11" t="inlineStr">
        <is>
          <t>Teenage Mutant Ninja Turtles (TMT)</t>
        </is>
      </c>
      <c r="I3217" s="11" t="inlineStr">
        <is>
          <t>Sim</t>
        </is>
      </c>
      <c r="J3217" s="11" t="n">
        <v>2026</v>
      </c>
      <c r="K3217" s="10" t="n">
        <v>46114</v>
      </c>
      <c r="L3217" s="11" t="n">
        <v>2</v>
      </c>
      <c r="M3217" s="8">
        <f>L3217*G3217</f>
        <v/>
      </c>
      <c r="P3217" s="9" t="n"/>
    </row>
    <row r="3218">
      <c r="A3218" s="11" t="inlineStr">
        <is>
          <t>East Wind Avatar</t>
        </is>
      </c>
      <c r="B3218" s="11" t="inlineStr">
        <is>
          <t>Creature — Bird Spirit Avatar</t>
        </is>
      </c>
      <c r="C3218" s="11" t="inlineStr">
        <is>
          <t>Common / Comum</t>
        </is>
      </c>
      <c r="D3218" s="11" t="inlineStr">
        <is>
          <t>Flying, vigilance Alliance — Whenever another creature you control enters, this creature gets +1/+0 until end of turn.</t>
        </is>
      </c>
      <c r="E3218" s="11" t="inlineStr">
        <is>
          <t>{3}{W}</t>
        </is>
      </c>
      <c r="F3218" s="11" t="inlineStr">
        <is>
          <t>Branco</t>
        </is>
      </c>
      <c r="G3218" s="8" t="n">
        <v>0.1</v>
      </c>
      <c r="H3218" s="11" t="inlineStr">
        <is>
          <t>Teenage Mutant Ninja Turtles (TMT)</t>
        </is>
      </c>
      <c r="I3218" s="11" t="inlineStr">
        <is>
          <t>Não</t>
        </is>
      </c>
      <c r="J3218" s="11" t="n">
        <v>2026</v>
      </c>
      <c r="K3218" s="10" t="n">
        <v>46114</v>
      </c>
      <c r="L3218" s="11" t="n">
        <v>3</v>
      </c>
      <c r="M3218" s="8">
        <f>L3218*G3218</f>
        <v/>
      </c>
      <c r="P3218" s="9" t="n"/>
    </row>
    <row r="3219">
      <c r="A3219" s="11" t="inlineStr">
        <is>
          <t>Jennika, Bad Apple Big Sister</t>
        </is>
      </c>
      <c r="B3219" s="11" t="inlineStr">
        <is>
          <t>Legendary Creature — Mutant Ninja Turtle</t>
        </is>
      </c>
      <c r="C3219" s="11" t="inlineStr">
        <is>
          <t>Common / Comum</t>
        </is>
      </c>
      <c r="D3219" s="11" t="inlineStr">
        <is>
          <t>When Jennika enters, create a 2/2 red Mutant creature token. Plainscycling {2} ({2}, Discard this card: Search your library for a Plains card, reveal it, put it into your hand, then shuffle.)</t>
        </is>
      </c>
      <c r="E3219" s="11" t="inlineStr">
        <is>
          <t>{4}{W}</t>
        </is>
      </c>
      <c r="F3219" s="11" t="inlineStr">
        <is>
          <t>Branco</t>
        </is>
      </c>
      <c r="G3219" s="8" t="n">
        <v>0.1</v>
      </c>
      <c r="H3219" s="11" t="inlineStr">
        <is>
          <t>Teenage Mutant Ninja Turtles (TMT)</t>
        </is>
      </c>
      <c r="I3219" s="11" t="inlineStr">
        <is>
          <t>Não</t>
        </is>
      </c>
      <c r="J3219" s="11" t="n">
        <v>2026</v>
      </c>
      <c r="K3219" s="10" t="n">
        <v>46084</v>
      </c>
      <c r="L3219" s="11" t="n">
        <v>1</v>
      </c>
      <c r="M3219" s="8">
        <f>L3219*G3219</f>
        <v/>
      </c>
      <c r="P3219" s="9" t="n"/>
    </row>
    <row r="3220">
      <c r="A3220" s="11" t="inlineStr">
        <is>
          <t>Action News Crew</t>
        </is>
      </c>
      <c r="B3220" s="11" t="inlineStr">
        <is>
          <t>Creature — Human Citizen</t>
        </is>
      </c>
      <c r="C3220" s="11" t="inlineStr">
        <is>
          <t>Common / Comum</t>
        </is>
      </c>
      <c r="D3220" s="11" t="inlineStr">
        <is>
          <t>Vigilance Channel — {6}, Discard this card: Put a +1/+1 counter on each creature you control. Draw a card.</t>
        </is>
      </c>
      <c r="E3220" s="11" t="inlineStr">
        <is>
          <t>{1}{W}</t>
        </is>
      </c>
      <c r="F3220" s="11" t="inlineStr">
        <is>
          <t>Branco</t>
        </is>
      </c>
      <c r="G3220" s="8" t="n">
        <v>0.1</v>
      </c>
      <c r="H3220" s="11" t="inlineStr">
        <is>
          <t>Teenage Mutant Ninja Turtles (TMT)</t>
        </is>
      </c>
      <c r="I3220" s="11" t="inlineStr">
        <is>
          <t>Não</t>
        </is>
      </c>
      <c r="J3220" s="11" t="n">
        <v>2026</v>
      </c>
      <c r="K3220" s="10" t="n">
        <v>46055</v>
      </c>
      <c r="L3220" s="11" t="n">
        <v>2</v>
      </c>
      <c r="M3220" s="8">
        <f>L3220*G3220</f>
        <v/>
      </c>
      <c r="P3220" s="9" t="n"/>
    </row>
    <row r="3221">
      <c r="A3221" s="11" t="inlineStr">
        <is>
          <t>Grounded for Life</t>
        </is>
      </c>
      <c r="B3221" s="11" t="inlineStr">
        <is>
          <t>Instant</t>
        </is>
      </c>
      <c r="C3221" s="11" t="inlineStr">
        <is>
          <t>Common / Comum</t>
        </is>
      </c>
      <c r="D3221" s="11" t="inlineStr">
        <is>
          <t>This spell costs {3} less to cast if it targets a tapped creature. Destroy target creature.</t>
        </is>
      </c>
      <c r="E3221" s="11" t="inlineStr">
        <is>
          <t>{4}{W}</t>
        </is>
      </c>
      <c r="F3221" s="11" t="inlineStr">
        <is>
          <t>Branco</t>
        </is>
      </c>
      <c r="G3221" s="8" t="n">
        <v>0.1</v>
      </c>
      <c r="H3221" s="11" t="inlineStr">
        <is>
          <t>Teenage Mutant Ninja Turtles (TMT)</t>
        </is>
      </c>
      <c r="I3221" s="11" t="inlineStr">
        <is>
          <t>Não</t>
        </is>
      </c>
      <c r="J3221" s="11" t="n">
        <v>2026</v>
      </c>
      <c r="L3221" s="11" t="n">
        <v>2</v>
      </c>
      <c r="M3221" s="8">
        <f>L3221*G3221</f>
        <v/>
      </c>
      <c r="P3221" s="9" t="n"/>
    </row>
    <row r="3222">
      <c r="A3222" s="11" t="inlineStr">
        <is>
          <t>Uneasy Alliance</t>
        </is>
      </c>
      <c r="B3222" s="11" t="inlineStr">
        <is>
          <t>Enchantment — Aura</t>
        </is>
      </c>
      <c r="C3222" s="11" t="inlineStr">
        <is>
          <t>Common / Comum</t>
        </is>
      </c>
      <c r="D3222" s="11" t="inlineStr">
        <is>
          <t>Enchant creature Enchanted creature can't attack or block. {5}, Sacrifice this Aura: Exile enchanted creature. You create a 1/1 black Ninja creature token. Activate only as a sorcery.</t>
        </is>
      </c>
      <c r="E3222" s="11" t="inlineStr">
        <is>
          <t>{1}{W}</t>
        </is>
      </c>
      <c r="F3222" s="11" t="inlineStr">
        <is>
          <t>Branco</t>
        </is>
      </c>
      <c r="G3222" s="8" t="n">
        <v>0.1</v>
      </c>
      <c r="H3222" s="11" t="inlineStr">
        <is>
          <t>Teenage Mutant Ninja Turtles (TMT)</t>
        </is>
      </c>
      <c r="I3222" s="11" t="inlineStr">
        <is>
          <t>Não</t>
        </is>
      </c>
      <c r="J3222" s="11" t="n">
        <v>2026</v>
      </c>
      <c r="L3222" s="11" t="n">
        <v>2</v>
      </c>
      <c r="M3222" s="8">
        <f>L3222*G3222</f>
        <v/>
      </c>
      <c r="P3222" s="9" t="n"/>
    </row>
    <row r="3223">
      <c r="A3223" s="11" t="inlineStr">
        <is>
          <t>April O'Neil, Kunoichi Trainee</t>
        </is>
      </c>
      <c r="B3223" s="11" t="inlineStr">
        <is>
          <t>Legendary Creature — Human Ninja</t>
        </is>
      </c>
      <c r="C3223" s="11" t="inlineStr">
        <is>
          <t>Common / Comum</t>
        </is>
      </c>
      <c r="D3223" s="11" t="inlineStr">
        <is>
          <t>When April O'Neil enters, scry 2. (Look at the top two cards of your library, then put any number of them on the bottom and the rest on top in any order.) April O'Neil can't be blocked by creatures with power 3 or greater.</t>
        </is>
      </c>
      <c r="E3223" s="11" t="inlineStr">
        <is>
          <t>{1}{W}</t>
        </is>
      </c>
      <c r="F3223" s="11" t="inlineStr">
        <is>
          <t>Branco</t>
        </is>
      </c>
      <c r="G3223" s="8" t="n">
        <v>0.1</v>
      </c>
      <c r="H3223" s="11" t="inlineStr">
        <is>
          <t>Teenage Mutant Ninja Turtles (TMT)</t>
        </is>
      </c>
      <c r="I3223" s="11" t="inlineStr">
        <is>
          <t>Não</t>
        </is>
      </c>
      <c r="J3223" s="11" t="n">
        <v>2026</v>
      </c>
      <c r="K3223" s="10" t="n">
        <v>46055</v>
      </c>
      <c r="L3223" s="11" t="n">
        <v>2</v>
      </c>
      <c r="M3223" s="8">
        <f>L3223*G3223</f>
        <v/>
      </c>
      <c r="P3223" s="9" t="n"/>
    </row>
    <row r="3224">
      <c r="A3224" s="11" t="inlineStr">
        <is>
          <t>Make Your Move / Faça Sua Jogada</t>
        </is>
      </c>
      <c r="B3224" s="11" t="inlineStr">
        <is>
          <t>Instant / Mágica Instantânea</t>
        </is>
      </c>
      <c r="C3224" s="11" t="inlineStr">
        <is>
          <t>Common / Comum</t>
        </is>
      </c>
      <c r="D3224" s="11" t="inlineStr">
        <is>
          <t>Destroy target artifact, enchantment, or creature with power 4 or greater. / Destrua o artefato, o encantamento ou a criatura com poder igual ou superior a 4 alvo.</t>
        </is>
      </c>
      <c r="E3224" s="11" t="inlineStr">
        <is>
          <t>{2}{W}</t>
        </is>
      </c>
      <c r="F3224" s="11" t="inlineStr">
        <is>
          <t>Branco</t>
        </is>
      </c>
      <c r="G3224" s="8" t="n">
        <v>0.05</v>
      </c>
      <c r="H3224" s="11" t="inlineStr">
        <is>
          <t>Teenage Mutant Ninja Turtles (TMT)</t>
        </is>
      </c>
      <c r="I3224" s="11" t="inlineStr">
        <is>
          <t>Não</t>
        </is>
      </c>
      <c r="J3224" s="11" t="n">
        <v>2026</v>
      </c>
      <c r="L3224" s="11" t="n">
        <v>2</v>
      </c>
      <c r="M3224" s="8">
        <f>L3224*G3224</f>
        <v/>
      </c>
      <c r="P3224" s="9" t="n"/>
    </row>
    <row r="3225">
      <c r="A3225" s="11" t="inlineStr">
        <is>
          <t>Kyoshi Warriors</t>
        </is>
      </c>
      <c r="B3225" s="11" t="inlineStr">
        <is>
          <t>Creature — Human Warrior Ally</t>
        </is>
      </c>
      <c r="C3225" s="11" t="inlineStr">
        <is>
          <t>Common / Comum</t>
        </is>
      </c>
      <c r="D3225" s="11" t="inlineStr">
        <is>
          <t>When this creature enters, create a 1/1 white Ally creature token.</t>
        </is>
      </c>
      <c r="E3225" s="11" t="inlineStr">
        <is>
          <t>{3}{W}</t>
        </is>
      </c>
      <c r="F3225" s="11" t="inlineStr">
        <is>
          <t>Branco</t>
        </is>
      </c>
      <c r="G3225" s="8" t="n">
        <v>0.08</v>
      </c>
      <c r="H3225" s="11" t="inlineStr">
        <is>
          <t>Avatar: The Last Airbender (TLA)</t>
        </is>
      </c>
      <c r="I3225" s="11" t="inlineStr">
        <is>
          <t>Não</t>
        </is>
      </c>
      <c r="J3225" s="11" t="n">
        <v>2025</v>
      </c>
      <c r="K3225" s="10" t="n">
        <v>46084</v>
      </c>
      <c r="L3225" s="11" t="n">
        <v>9</v>
      </c>
      <c r="M3225" s="8">
        <f>L3225*G3225</f>
        <v/>
      </c>
      <c r="P3225" s="9" t="n"/>
    </row>
    <row r="3226">
      <c r="A3226" s="11" t="inlineStr">
        <is>
          <t>Glider Kids</t>
        </is>
      </c>
      <c r="B3226" s="11" t="inlineStr">
        <is>
          <t>Creature — Human Pilot Ally</t>
        </is>
      </c>
      <c r="C3226" s="11" t="inlineStr">
        <is>
          <t>Common / Comum</t>
        </is>
      </c>
      <c r="D3226" s="11" t="inlineStr">
        <is>
          <t>Flying When this creature enters, scry 1. (Look at the top card of your library. You may put it on the bottom.)</t>
        </is>
      </c>
      <c r="E3226" s="11" t="inlineStr">
        <is>
          <t>{2}{W}</t>
        </is>
      </c>
      <c r="F3226" s="11" t="inlineStr">
        <is>
          <t>Branco</t>
        </is>
      </c>
      <c r="G3226" s="8" t="n">
        <v>0.05</v>
      </c>
      <c r="H3226" s="11" t="inlineStr">
        <is>
          <t>Avatar: The Last Airbender (TLA)</t>
        </is>
      </c>
      <c r="I3226" s="11" t="inlineStr">
        <is>
          <t>Não</t>
        </is>
      </c>
      <c r="J3226" s="11" t="n">
        <v>2025</v>
      </c>
      <c r="K3226" s="10" t="n">
        <v>46083</v>
      </c>
      <c r="L3226" s="11" t="n">
        <v>5</v>
      </c>
      <c r="M3226" s="8">
        <f>L3226*G3226</f>
        <v/>
      </c>
      <c r="P3226" s="9" t="n"/>
    </row>
    <row r="3227">
      <c r="A3227" s="11" t="inlineStr">
        <is>
          <t>Rabaroo Troop</t>
        </is>
      </c>
      <c r="B3227" s="11" t="inlineStr">
        <is>
          <t>Creature — Rabbit Kangaroo</t>
        </is>
      </c>
      <c r="C3227" s="11" t="inlineStr">
        <is>
          <t>Common / Comum</t>
        </is>
      </c>
      <c r="D3227" s="11" t="inlineStr">
        <is>
          <t>Landfall — Whenever a land you control enters, this creature gains flying until end of turn and you gain 1 life. Plainscycling {2} ({2}, Discard this card: Search your library for a Plains card, reveal it, put it into your hand, then shuffle.)</t>
        </is>
      </c>
      <c r="E3227" s="11" t="inlineStr">
        <is>
          <t>{3}{W}{W}</t>
        </is>
      </c>
      <c r="F3227" s="11" t="inlineStr">
        <is>
          <t>Branco</t>
        </is>
      </c>
      <c r="G3227" s="8" t="n">
        <v>0.04</v>
      </c>
      <c r="H3227" s="11" t="inlineStr">
        <is>
          <t>Avatar: The Last Airbender (TLA)</t>
        </is>
      </c>
      <c r="I3227" s="11" t="inlineStr">
        <is>
          <t>Não</t>
        </is>
      </c>
      <c r="J3227" s="11" t="n">
        <v>2025</v>
      </c>
      <c r="K3227" s="10" t="n">
        <v>46145</v>
      </c>
      <c r="L3227" s="11" t="n">
        <v>4</v>
      </c>
      <c r="M3227" s="8">
        <f>L3227*G3227</f>
        <v/>
      </c>
      <c r="P3227" s="9" t="n"/>
    </row>
    <row r="3228">
      <c r="A3228" s="11" t="inlineStr">
        <is>
          <t>Inspired Insurgent</t>
        </is>
      </c>
      <c r="B3228" s="11" t="inlineStr">
        <is>
          <t>Creature — Human Peasant Ally</t>
        </is>
      </c>
      <c r="C3228" s="11" t="inlineStr">
        <is>
          <t>Common / Comum</t>
        </is>
      </c>
      <c r="D3228" s="11" t="inlineStr">
        <is>
          <t>{1}, Sacrifice this creature: Destroy target artifact or enchantment.</t>
        </is>
      </c>
      <c r="E3228" s="11" t="inlineStr">
        <is>
          <t>{1}{W}</t>
        </is>
      </c>
      <c r="F3228" s="11" t="inlineStr">
        <is>
          <t>Branco</t>
        </is>
      </c>
      <c r="G3228" s="8" t="n">
        <v>0.15</v>
      </c>
      <c r="H3228" s="11" t="inlineStr">
        <is>
          <t>Avatar: The Last Airbender Eternal (TLE)</t>
        </is>
      </c>
      <c r="I3228" s="11" t="inlineStr">
        <is>
          <t>Não</t>
        </is>
      </c>
      <c r="J3228" s="11" t="n">
        <v>2025</v>
      </c>
      <c r="K3228" s="10" t="n">
        <v>46055</v>
      </c>
      <c r="L3228" s="11" t="n">
        <v>2</v>
      </c>
      <c r="M3228" s="8">
        <f>L3228*G3228</f>
        <v/>
      </c>
      <c r="P3228" s="9" t="n"/>
    </row>
    <row r="3229">
      <c r="A3229" s="11" t="inlineStr">
        <is>
          <t>Avatar Enthusiasts</t>
        </is>
      </c>
      <c r="B3229" s="11" t="inlineStr">
        <is>
          <t>Creature — Human Peasant Ally</t>
        </is>
      </c>
      <c r="C3229" s="11" t="inlineStr">
        <is>
          <t>Common / Comum</t>
        </is>
      </c>
      <c r="D3229" s="11" t="inlineStr">
        <is>
          <t>Whenever another Ally you control enters, put a +1/+1 counter on this creature.</t>
        </is>
      </c>
      <c r="E3229" s="11" t="inlineStr">
        <is>
          <t>{2}{W}</t>
        </is>
      </c>
      <c r="F3229" s="11" t="inlineStr">
        <is>
          <t>Branco</t>
        </is>
      </c>
      <c r="G3229" s="8" t="n">
        <v>0.05</v>
      </c>
      <c r="H3229" s="11" t="inlineStr">
        <is>
          <t>Avatar: The Last Airbender (TLA)</t>
        </is>
      </c>
      <c r="I3229" s="11" t="inlineStr">
        <is>
          <t>Não</t>
        </is>
      </c>
      <c r="J3229" s="11" t="n">
        <v>2025</v>
      </c>
      <c r="K3229" s="10" t="n">
        <v>46055</v>
      </c>
      <c r="L3229" s="11" t="n">
        <v>2</v>
      </c>
      <c r="M3229" s="8">
        <f>L3229*G3229</f>
        <v/>
      </c>
      <c r="P3229" s="9" t="n"/>
    </row>
    <row r="3230">
      <c r="A3230" s="11" t="inlineStr">
        <is>
          <t>Jeong Jeong's Deserters</t>
        </is>
      </c>
      <c r="B3230" s="11" t="inlineStr">
        <is>
          <t>Creature — Human Rebel Ally</t>
        </is>
      </c>
      <c r="C3230" s="11" t="inlineStr">
        <is>
          <t>Common / Comum</t>
        </is>
      </c>
      <c r="D3230" s="11" t="inlineStr">
        <is>
          <t>When this creature enters, put a +1/+1 counter on target creature.</t>
        </is>
      </c>
      <c r="E3230" s="11" t="inlineStr">
        <is>
          <t>{1}{W}</t>
        </is>
      </c>
      <c r="F3230" s="11" t="inlineStr">
        <is>
          <t>Branco</t>
        </is>
      </c>
      <c r="G3230" s="8" t="n">
        <v>0.07000000000000001</v>
      </c>
      <c r="H3230" s="11" t="inlineStr">
        <is>
          <t>Avatar: The Last Airbender (TLA)</t>
        </is>
      </c>
      <c r="I3230" s="11" t="inlineStr">
        <is>
          <t>Não</t>
        </is>
      </c>
      <c r="J3230" s="11" t="n">
        <v>2025</v>
      </c>
      <c r="K3230" s="10" t="n">
        <v>46054</v>
      </c>
      <c r="L3230" s="11" t="n">
        <v>3</v>
      </c>
      <c r="M3230" s="8">
        <f>L3230*G3230</f>
        <v/>
      </c>
      <c r="P3230" s="9" t="n"/>
    </row>
    <row r="3231">
      <c r="A3231" s="11" t="inlineStr">
        <is>
          <t>Curious Farm Animals</t>
        </is>
      </c>
      <c r="B3231" s="11" t="inlineStr">
        <is>
          <t>Creature — Boar Elk Bird Ox</t>
        </is>
      </c>
      <c r="C3231" s="11" t="inlineStr">
        <is>
          <t>Common / Comum</t>
        </is>
      </c>
      <c r="D3231" s="11" t="inlineStr">
        <is>
          <t>When this creature dies, you gain 3 life. {2}, Sacrifice this creature: Destroy up to one target artifact or enchantment.</t>
        </is>
      </c>
      <c r="E3231" s="11" t="inlineStr">
        <is>
          <t>{W}</t>
        </is>
      </c>
      <c r="F3231" s="11" t="inlineStr">
        <is>
          <t>Branco</t>
        </is>
      </c>
      <c r="G3231" s="8" t="n">
        <v>0.05</v>
      </c>
      <c r="H3231" s="11" t="inlineStr">
        <is>
          <t>Avatar: The Last Airbender (TLA)</t>
        </is>
      </c>
      <c r="I3231" s="11" t="inlineStr">
        <is>
          <t>Não</t>
        </is>
      </c>
      <c r="J3231" s="11" t="n">
        <v>2025</v>
      </c>
      <c r="K3231" s="10" t="n">
        <v>46023</v>
      </c>
      <c r="L3231" s="11" t="n">
        <v>3</v>
      </c>
      <c r="M3231" s="8">
        <f>L3231*G3231</f>
        <v/>
      </c>
      <c r="P3231" s="9" t="n"/>
    </row>
    <row r="3232">
      <c r="A3232" s="11" t="inlineStr">
        <is>
          <t>Cut Short / Encurtar</t>
        </is>
      </c>
      <c r="B3232" s="11" t="inlineStr">
        <is>
          <t>Instant / Mágica Instantânea</t>
        </is>
      </c>
      <c r="C3232" s="11" t="inlineStr">
        <is>
          <t>Common / Comum</t>
        </is>
      </c>
      <c r="D3232" s="11" t="inlineStr">
        <is>
          <t>Convoke (Your creatures can help cast this spell. Each creature you tap while casting this spell pays for {1} or one mana of that creature's color.) Destroy target planeswalker that was activated this turn or tapped creature. / Convocar (Suas criaturas podem ajudar a conjurar esta mágica. Cada criatura que você vira ao conjurar esta mágica paga {1} ou um mana da cor daquela criatura.) Destrua o planeswalker que tenha sido ativado neste turno ou a criatura virada alvo.</t>
        </is>
      </c>
      <c r="E3232" s="11" t="inlineStr">
        <is>
          <t>{2}{W}</t>
        </is>
      </c>
      <c r="F3232" s="11" t="inlineStr">
        <is>
          <t>Branco</t>
        </is>
      </c>
      <c r="G3232" s="8" t="n">
        <v>0.04</v>
      </c>
      <c r="H3232" s="11" t="inlineStr">
        <is>
          <t>March of the Machine (MOM)</t>
        </is>
      </c>
      <c r="I3232" s="11" t="inlineStr">
        <is>
          <t>Não</t>
        </is>
      </c>
      <c r="J3232" s="11" t="n">
        <v>2023</v>
      </c>
      <c r="L3232" s="11" t="n">
        <v>2</v>
      </c>
      <c r="M3232" s="8">
        <f>L3232*G3232</f>
        <v/>
      </c>
      <c r="P3232" s="9" t="n"/>
    </row>
    <row r="3233">
      <c r="A3233" s="11" t="inlineStr">
        <is>
          <t>Path to Redemption</t>
        </is>
      </c>
      <c r="B3233" s="11" t="inlineStr">
        <is>
          <t>Enchantment — Aura</t>
        </is>
      </c>
      <c r="C3233" s="11" t="inlineStr">
        <is>
          <t>Common / Comum</t>
        </is>
      </c>
      <c r="D3233" s="11" t="inlineStr">
        <is>
          <t>Enchant creature Enchanted creature can't attack or block. {5}, Sacrifice this Aura: Exile enchanted creature. Create a 1/1 white Ally creature token. Activate only during your turn.</t>
        </is>
      </c>
      <c r="E3233" s="11" t="inlineStr">
        <is>
          <t>{1}{W}</t>
        </is>
      </c>
      <c r="F3233" s="11" t="inlineStr">
        <is>
          <t>Branco</t>
        </is>
      </c>
      <c r="G3233" s="8" t="n">
        <v>0.05</v>
      </c>
      <c r="H3233" s="11" t="inlineStr">
        <is>
          <t>Avatar: The Last Airbender (TLA)</t>
        </is>
      </c>
      <c r="I3233" s="11" t="inlineStr">
        <is>
          <t>Não</t>
        </is>
      </c>
      <c r="J3233" s="11" t="n">
        <v>2025</v>
      </c>
      <c r="L3233" s="11" t="n">
        <v>3</v>
      </c>
      <c r="M3233" s="8">
        <f>L3233*G3233</f>
        <v/>
      </c>
      <c r="P3233" s="9" t="n"/>
    </row>
    <row r="3234">
      <c r="A3234" s="11" t="inlineStr">
        <is>
          <t>Airbending Lesson</t>
        </is>
      </c>
      <c r="B3234" s="11" t="inlineStr">
        <is>
          <t>Instant — Lesson</t>
        </is>
      </c>
      <c r="C3234" s="11" t="inlineStr">
        <is>
          <t>Common / Comum</t>
        </is>
      </c>
      <c r="D3234" s="11" t="inlineStr">
        <is>
          <t>Airbend target nonland permanent. (Exile it. While it's exiled, its owner may cast it for {2} rather than its mana cost.) Draw a card.</t>
        </is>
      </c>
      <c r="E3234" s="11" t="inlineStr">
        <is>
          <t>{2}{W}</t>
        </is>
      </c>
      <c r="F3234" s="11" t="inlineStr">
        <is>
          <t>Branco</t>
        </is>
      </c>
      <c r="G3234" s="8" t="n">
        <v>0.1</v>
      </c>
      <c r="H3234" s="11" t="inlineStr">
        <is>
          <t>Avatar: The Last Airbender (TLA)</t>
        </is>
      </c>
      <c r="I3234" s="11" t="inlineStr">
        <is>
          <t>Não</t>
        </is>
      </c>
      <c r="J3234" s="11" t="n">
        <v>2025</v>
      </c>
      <c r="L3234" s="11" t="n">
        <v>2</v>
      </c>
      <c r="M3234" s="8">
        <f>L3234*G3234</f>
        <v/>
      </c>
      <c r="P3234" s="9" t="n"/>
    </row>
    <row r="3235">
      <c r="A3235" s="11" t="inlineStr">
        <is>
          <t>Water Tribe Captain</t>
        </is>
      </c>
      <c r="B3235" s="11" t="inlineStr">
        <is>
          <t>Creature — Human Soldier Ally</t>
        </is>
      </c>
      <c r="C3235" s="11" t="inlineStr">
        <is>
          <t>Common / Comum</t>
        </is>
      </c>
      <c r="D3235" s="11" t="inlineStr">
        <is>
          <t>{5}: Creatures you control get +1/+1 until end of turn.</t>
        </is>
      </c>
      <c r="E3235" s="11" t="inlineStr">
        <is>
          <t>{2}{W}</t>
        </is>
      </c>
      <c r="F3235" s="11" t="inlineStr">
        <is>
          <t>Branco</t>
        </is>
      </c>
      <c r="G3235" s="8" t="n">
        <v>0.1</v>
      </c>
      <c r="H3235" s="11" t="inlineStr">
        <is>
          <t>Avatar: The Last Airbender (TLA)</t>
        </is>
      </c>
      <c r="I3235" s="11" t="inlineStr">
        <is>
          <t>Não</t>
        </is>
      </c>
      <c r="J3235" s="11" t="n">
        <v>2025</v>
      </c>
      <c r="K3235" s="10" t="n">
        <v>46084</v>
      </c>
      <c r="L3235" s="11" t="n">
        <v>2</v>
      </c>
      <c r="M3235" s="8">
        <f>L3235*G3235</f>
        <v/>
      </c>
      <c r="P3235" s="9" t="n"/>
    </row>
    <row r="3236">
      <c r="A3236" s="11" t="inlineStr">
        <is>
          <t>Razor Rings</t>
        </is>
      </c>
      <c r="B3236" s="11" t="inlineStr">
        <is>
          <t>Instant</t>
        </is>
      </c>
      <c r="C3236" s="11" t="inlineStr">
        <is>
          <t>Common / Comum</t>
        </is>
      </c>
      <c r="D3236" s="11" t="inlineStr">
        <is>
          <t>Razor Rings deals 4 damage to target attacking or blocking creature. You gain life equal to the excess damage dealt this way.</t>
        </is>
      </c>
      <c r="E3236" s="11" t="inlineStr">
        <is>
          <t>{1}{W}</t>
        </is>
      </c>
      <c r="F3236" s="11" t="inlineStr">
        <is>
          <t>Branco</t>
        </is>
      </c>
      <c r="G3236" s="8" t="n">
        <v>0.05</v>
      </c>
      <c r="H3236" s="11" t="inlineStr">
        <is>
          <t>Avatar: The Last Airbender (TLA)</t>
        </is>
      </c>
      <c r="I3236" s="11" t="inlineStr">
        <is>
          <t>Não</t>
        </is>
      </c>
      <c r="J3236" s="11" t="n">
        <v>2025</v>
      </c>
      <c r="L3236" s="11" t="n">
        <v>2</v>
      </c>
      <c r="M3236" s="8">
        <f>L3236*G3236</f>
        <v/>
      </c>
      <c r="P3236" s="9" t="n"/>
    </row>
    <row r="3237">
      <c r="A3237" s="11" t="inlineStr">
        <is>
          <t>Yip Yip!</t>
        </is>
      </c>
      <c r="B3237" s="11" t="inlineStr">
        <is>
          <t>Instant — Lesson</t>
        </is>
      </c>
      <c r="C3237" s="11" t="inlineStr">
        <is>
          <t>Common / Comum</t>
        </is>
      </c>
      <c r="D3237" s="11" t="inlineStr">
        <is>
          <t>Target creature you control gets +2/+2 until end of turn. If that creature is an Ally, it also gains flying until end of turn.</t>
        </is>
      </c>
      <c r="E3237" s="11" t="inlineStr">
        <is>
          <t>{W}</t>
        </is>
      </c>
      <c r="F3237" s="11" t="inlineStr">
        <is>
          <t>Branco</t>
        </is>
      </c>
      <c r="G3237" s="8" t="n">
        <v>0.06</v>
      </c>
      <c r="H3237" s="11" t="inlineStr">
        <is>
          <t>Avatar: The Last Airbender (TLA)</t>
        </is>
      </c>
      <c r="I3237" s="11" t="inlineStr">
        <is>
          <t>Não</t>
        </is>
      </c>
      <c r="J3237" s="11" t="n">
        <v>2025</v>
      </c>
      <c r="L3237" s="11" t="n">
        <v>3</v>
      </c>
      <c r="M3237" s="8">
        <f>L3237*G3237</f>
        <v/>
      </c>
      <c r="P3237" s="9" t="n"/>
    </row>
    <row r="3238">
      <c r="A3238" s="11" t="inlineStr">
        <is>
          <t>Koala-Sheep</t>
        </is>
      </c>
      <c r="B3238" s="11" t="inlineStr">
        <is>
          <t>Creature — Bear Sheep</t>
        </is>
      </c>
      <c r="C3238" s="11" t="inlineStr">
        <is>
          <t>Common / Comum</t>
        </is>
      </c>
      <c r="D3238" s="11" t="inlineStr">
        <is>
          <t>When this creature enters, you gain 3 life.</t>
        </is>
      </c>
      <c r="E3238" s="11" t="inlineStr">
        <is>
          <t>{2}{W}</t>
        </is>
      </c>
      <c r="F3238" s="11" t="inlineStr">
        <is>
          <t>Branco</t>
        </is>
      </c>
      <c r="G3238" s="8" t="n">
        <v>0.15</v>
      </c>
      <c r="H3238" s="11" t="inlineStr">
        <is>
          <t>Avatar: The Last Airbender Eternal (TLE)</t>
        </is>
      </c>
      <c r="I3238" s="11" t="inlineStr">
        <is>
          <t>Não</t>
        </is>
      </c>
      <c r="J3238" s="11" t="n">
        <v>2025</v>
      </c>
      <c r="K3238" s="10" t="n">
        <v>46056</v>
      </c>
      <c r="L3238" s="11" t="n">
        <v>1</v>
      </c>
      <c r="M3238" s="8">
        <f>L3238*G3238</f>
        <v/>
      </c>
      <c r="P3238" s="9" t="n"/>
    </row>
    <row r="3239">
      <c r="A3239" s="11" t="inlineStr">
        <is>
          <t>Compassionate Healer</t>
        </is>
      </c>
      <c r="B3239" s="11" t="inlineStr">
        <is>
          <t>Creature — Human Cleric Ally</t>
        </is>
      </c>
      <c r="C3239" s="11" t="inlineStr">
        <is>
          <t>Common / Comum</t>
        </is>
      </c>
      <c r="D3239" s="11" t="inlineStr">
        <is>
          <t>Whenever this creature becomes tapped, you gain 1 life and scry 1. (Look at the top card of your library. You may put it on the bottom.)</t>
        </is>
      </c>
      <c r="E3239" s="11" t="inlineStr">
        <is>
          <t>{1}{W}</t>
        </is>
      </c>
      <c r="F3239" s="11" t="inlineStr">
        <is>
          <t>Branco</t>
        </is>
      </c>
      <c r="G3239" s="8" t="n">
        <v>0.11</v>
      </c>
      <c r="H3239" s="11" t="inlineStr">
        <is>
          <t>Avatar: The Last Airbender (TLA)</t>
        </is>
      </c>
      <c r="I3239" s="11" t="inlineStr">
        <is>
          <t>Não</t>
        </is>
      </c>
      <c r="J3239" s="11" t="n">
        <v>2025</v>
      </c>
      <c r="K3239" s="10" t="n">
        <v>46055</v>
      </c>
      <c r="L3239" s="11" t="n">
        <v>1</v>
      </c>
      <c r="M3239" s="8">
        <f>L3239*G3239</f>
        <v/>
      </c>
      <c r="P3239" s="9" t="n"/>
    </row>
    <row r="3240">
      <c r="A3240" s="11" t="inlineStr">
        <is>
          <t>Sokka's Sword Training</t>
        </is>
      </c>
      <c r="B3240" s="11" t="inlineStr">
        <is>
          <t>Instant — Lesson</t>
        </is>
      </c>
      <c r="C3240" s="11" t="inlineStr">
        <is>
          <t>Common / Comum</t>
        </is>
      </c>
      <c r="D3240" s="11" t="inlineStr">
        <is>
          <t>Target creature gets +2/+2 until end of turn. Create a Clue token. (It's an artifact with "{2}, Sacrifice this token: Draw a card.")</t>
        </is>
      </c>
      <c r="E3240" s="11" t="inlineStr">
        <is>
          <t>{1}{W}</t>
        </is>
      </c>
      <c r="F3240" s="11" t="inlineStr">
        <is>
          <t>Branco</t>
        </is>
      </c>
      <c r="G3240" s="8" t="n">
        <v>0.35</v>
      </c>
      <c r="H3240" s="11" t="inlineStr">
        <is>
          <t>Avatar: The Last Airbender Eternal (TLE)</t>
        </is>
      </c>
      <c r="I3240" s="11" t="inlineStr">
        <is>
          <t>Não</t>
        </is>
      </c>
      <c r="J3240" s="11" t="n">
        <v>2025</v>
      </c>
      <c r="L3240" s="11" t="n">
        <v>1</v>
      </c>
      <c r="M3240" s="8">
        <f>L3240*G3240</f>
        <v/>
      </c>
      <c r="P3240" s="9" t="n"/>
    </row>
    <row r="3241">
      <c r="A3241" s="11" t="inlineStr">
        <is>
          <t>Acrobatic Leap / Salto Acrobático</t>
        </is>
      </c>
      <c r="B3241" s="11" t="inlineStr">
        <is>
          <t>Instant / Mágica Instantânea</t>
        </is>
      </c>
      <c r="C3241" s="11" t="inlineStr">
        <is>
          <t>Common / Comum</t>
        </is>
      </c>
      <c r="D3241" s="11" t="inlineStr">
        <is>
          <t>Target creature gets +1/+3 and gains flying until end of turn. Untap it. / A criatura alvo recebe +1/+3 e ganha voar até o final do turno. Desvire-a.</t>
        </is>
      </c>
      <c r="E3241" s="11" t="inlineStr">
        <is>
          <t>{W}</t>
        </is>
      </c>
      <c r="F3241" s="11" t="inlineStr">
        <is>
          <t>Branco</t>
        </is>
      </c>
      <c r="G3241" s="8" t="n">
        <v>0.15</v>
      </c>
      <c r="H3241" s="11" t="inlineStr">
        <is>
          <t>Avatar: The Last Airbender Eternal (TLE)</t>
        </is>
      </c>
      <c r="I3241" s="11" t="inlineStr">
        <is>
          <t>Não</t>
        </is>
      </c>
      <c r="J3241" s="11" t="n">
        <v>2025</v>
      </c>
      <c r="L3241" s="11" t="n">
        <v>1</v>
      </c>
      <c r="M3241" s="8">
        <f>L3241*G3241</f>
        <v/>
      </c>
      <c r="P3241" s="9" t="n"/>
    </row>
    <row r="3242">
      <c r="A3242" s="11" t="inlineStr">
        <is>
          <t>Sandbenders' Storm</t>
        </is>
      </c>
      <c r="B3242" s="11" t="inlineStr">
        <is>
          <t>Instant</t>
        </is>
      </c>
      <c r="C3242" s="11" t="inlineStr">
        <is>
          <t>Common / Comum</t>
        </is>
      </c>
      <c r="D3242" s="11" t="inlineStr">
        <is>
          <t>Choose one — • Destroy target creature with power 4 or greater. • Earthbend 3. (Target land you control becomes a 0/0 creature with haste that's still a land. Put three +1/+1 counters on it. When it dies or is exiled, return it to the battlefield tapped.)</t>
        </is>
      </c>
      <c r="E3242" s="11" t="inlineStr">
        <is>
          <t>{3}{W}</t>
        </is>
      </c>
      <c r="F3242" s="11" t="inlineStr">
        <is>
          <t>Branco</t>
        </is>
      </c>
      <c r="G3242" s="8" t="n">
        <v>0.1</v>
      </c>
      <c r="H3242" s="11" t="inlineStr">
        <is>
          <t>Avatar: The Last Airbender (TLA)</t>
        </is>
      </c>
      <c r="I3242" s="11" t="inlineStr">
        <is>
          <t>Não</t>
        </is>
      </c>
      <c r="J3242" s="11" t="n">
        <v>2025</v>
      </c>
      <c r="L3242" s="11" t="n">
        <v>1</v>
      </c>
      <c r="M3242" s="8">
        <f>L3242*G3242</f>
        <v/>
      </c>
      <c r="P3242" s="9" t="n"/>
    </row>
    <row r="3243">
      <c r="A3243" s="11" t="inlineStr">
        <is>
          <t>Read the Bones / Leia os Ossos</t>
        </is>
      </c>
      <c r="B3243" s="11" t="inlineStr">
        <is>
          <t>Sorcery / Feitiço</t>
        </is>
      </c>
      <c r="C3243" s="11" t="inlineStr">
        <is>
          <t>Common / Comum</t>
        </is>
      </c>
      <c r="D3243" s="11" t="inlineStr">
        <is>
          <t>Scry 2, then draw two cards. You lose 2 life. (To scry 2, look at the top two cards of your library, then put any number of them on the bottom and the rest on top in any order.) / Use vidência 2 e depois compre dois cards. Você perde 2 pontos de vida. (Para usar vidência 2, olhe os dois cards do topo do seu grimório. Depois, coloque qualquer número deles no fundo do seu grimório e o restante no topo em qualquer ordem.)</t>
        </is>
      </c>
      <c r="E3243" s="11" t="inlineStr">
        <is>
          <t>{2}{B}</t>
        </is>
      </c>
      <c r="F3243" s="11" t="inlineStr">
        <is>
          <t>Preto</t>
        </is>
      </c>
      <c r="G3243" s="8" t="n">
        <v>0.38</v>
      </c>
      <c r="H3243" s="11" t="inlineStr">
        <is>
          <t>Commander 2014 (C14)</t>
        </is>
      </c>
      <c r="I3243" s="11" t="inlineStr">
        <is>
          <t>Não</t>
        </is>
      </c>
      <c r="J3243" s="11" t="n">
        <v>2014</v>
      </c>
      <c r="L3243" s="11" t="n">
        <v>1</v>
      </c>
      <c r="M3243" s="8">
        <f>L3243*G3243</f>
        <v/>
      </c>
      <c r="P3243" s="9" t="n"/>
    </row>
    <row r="3244">
      <c r="A3244" s="11" t="inlineStr">
        <is>
          <t>Belle of the Brawl / Bela da Briga</t>
        </is>
      </c>
      <c r="B3244" s="11" t="inlineStr">
        <is>
          <t>Creature — Human Knight / Criatura — Humano Cavaleiro</t>
        </is>
      </c>
      <c r="C3244" s="11" t="inlineStr">
        <is>
          <t>Uncommon / Incomum</t>
        </is>
      </c>
      <c r="D3244" s="11" t="inlineStr">
        <is>
          <t>Menace (This creature can't be blocked except by two or more creatures.) Whenever this creature attacks, other Knights you control get +1/+0 until end of turn. / Ameaçar (Esta criatura só pode ser bloqueada por duas ou mais criaturas.) Toda vez que Bela da Briga ataca, os outros Cavaleiros que você controla recebem +1/+0 até o final do turno.</t>
        </is>
      </c>
      <c r="E3244" s="11" t="inlineStr">
        <is>
          <t>{2}{B}</t>
        </is>
      </c>
      <c r="F3244" s="11" t="inlineStr">
        <is>
          <t>Preto</t>
        </is>
      </c>
      <c r="G3244" s="8" t="n">
        <v>0.07000000000000001</v>
      </c>
      <c r="H3244" s="11" t="inlineStr">
        <is>
          <t>Throne of Eldraine (ELD)</t>
        </is>
      </c>
      <c r="I3244" s="11" t="inlineStr">
        <is>
          <t>Não</t>
        </is>
      </c>
      <c r="J3244" s="11" t="n">
        <v>2019</v>
      </c>
      <c r="K3244" s="10" t="n">
        <v>46056</v>
      </c>
      <c r="L3244" s="11" t="n">
        <v>1</v>
      </c>
      <c r="M3244" s="8">
        <f>L3244*G3244</f>
        <v/>
      </c>
      <c r="P3244" s="9" t="n"/>
    </row>
    <row r="3245">
      <c r="A3245" s="11" t="inlineStr">
        <is>
          <t>Rotten Reunion / Reunião Apodrecida</t>
        </is>
      </c>
      <c r="B3245" s="11" t="inlineStr">
        <is>
          <t>Instant / Mágica Instantânea</t>
        </is>
      </c>
      <c r="C3245" s="11" t="inlineStr">
        <is>
          <t>Common / Comum</t>
        </is>
      </c>
      <c r="D3245" s="11" t="inlineStr">
        <is>
          <t>Exile up to one target card from a graveyard. Create a 2/2 black Zombie creature token with decayed. (It can't block. When it attacks, sacrifice it at end of combat.) Flashback {1}{B} (You may cast this card from your graveyard for its flashback cost. Then exile it.) / Exile até um card alvo de um cemitério. Crie uma ficha de criatura Zumbi preta 2/2 com decomposto. (Ela não pode bloquear. Quando ela atacar, sacrifique-a no final do combate.) Recapitular {1}{B} (Você pode conjurar este card de seu cemitério pagando seu custo de recapitular. Depois, exile-o.)</t>
        </is>
      </c>
      <c r="E3245" s="11" t="inlineStr">
        <is>
          <t>{B}</t>
        </is>
      </c>
      <c r="F3245" s="11" t="inlineStr">
        <is>
          <t>Preto</t>
        </is>
      </c>
      <c r="G3245" s="8" t="n">
        <v>1.25</v>
      </c>
      <c r="H3245" s="11" t="inlineStr">
        <is>
          <t>Innistrad: Midnight Hunt (MID)</t>
        </is>
      </c>
      <c r="I3245" s="11" t="inlineStr">
        <is>
          <t>Não</t>
        </is>
      </c>
      <c r="J3245" s="11" t="n">
        <v>2021</v>
      </c>
      <c r="L3245" s="11" t="n">
        <v>1</v>
      </c>
      <c r="M3245" s="8">
        <f>L3245*G3245</f>
        <v/>
      </c>
      <c r="N3245" s="11" t="inlineStr">
        <is>
          <t>Pasta</t>
        </is>
      </c>
      <c r="P3245" s="9" t="n"/>
    </row>
    <row r="3246">
      <c r="A3246" s="11" t="inlineStr">
        <is>
          <t>Siege Zombie / Zumbi de Cerco</t>
        </is>
      </c>
      <c r="B3246" s="11" t="inlineStr">
        <is>
          <t>Creature — Zombie / Criatura — Zumbi</t>
        </is>
      </c>
      <c r="C3246" s="11" t="inlineStr">
        <is>
          <t>Common / Comum</t>
        </is>
      </c>
      <c r="D3246" s="11" t="inlineStr">
        <is>
          <t>Tap three untapped creatures you control: Each opponent loses 1 life. / Vire três criaturas desviradas que você controla: Cada oponente perde 1 ponto de vida.</t>
        </is>
      </c>
      <c r="E3246" s="11" t="inlineStr">
        <is>
          <t>{1}{B}</t>
        </is>
      </c>
      <c r="F3246" s="11" t="inlineStr">
        <is>
          <t>Preto</t>
        </is>
      </c>
      <c r="G3246" s="8" t="n">
        <v>0.06</v>
      </c>
      <c r="H3246" s="11" t="inlineStr">
        <is>
          <t>Innistrad: Midnight Hunt (MID)</t>
        </is>
      </c>
      <c r="I3246" s="11" t="inlineStr">
        <is>
          <t>Não</t>
        </is>
      </c>
      <c r="J3246" s="11" t="n">
        <v>2021</v>
      </c>
      <c r="K3246" s="10" t="n">
        <v>46055</v>
      </c>
      <c r="L3246" s="11" t="n">
        <v>1</v>
      </c>
      <c r="M3246" s="8">
        <f>L3246*G3246</f>
        <v/>
      </c>
      <c r="P3246" s="9" t="n"/>
    </row>
    <row r="3247">
      <c r="A3247" s="11" t="inlineStr">
        <is>
          <t>Foul Play / Trapaça</t>
        </is>
      </c>
      <c r="B3247" s="11" t="inlineStr">
        <is>
          <t>Sorcery / Feitiço</t>
        </is>
      </c>
      <c r="C3247" s="11" t="inlineStr">
        <is>
          <t>Uncommon / Incomum</t>
        </is>
      </c>
      <c r="D3247" s="11" t="inlineStr">
        <is>
          <t>Destroy target creature with power 2 or less. Investigate. (Create a Clue token. It's an artifact with "{2}, Sacrifice this token: Draw a card.") / Destrua a criatura alvo com poder igual ou inferior a 2. Investigue. (Crie uma ficha de artefato Pista incolor com "{2}, sacrifique este artefato: Compre um card".)</t>
        </is>
      </c>
      <c r="E3247" s="11" t="inlineStr">
        <is>
          <t>{1}{B}</t>
        </is>
      </c>
      <c r="F3247" s="11" t="inlineStr">
        <is>
          <t>Preto</t>
        </is>
      </c>
      <c r="G3247" s="8" t="n">
        <v>0.04</v>
      </c>
      <c r="H3247" s="11" t="inlineStr">
        <is>
          <t>Innistrad: Midnight Hunt (MID)</t>
        </is>
      </c>
      <c r="I3247" s="11" t="inlineStr">
        <is>
          <t>Não</t>
        </is>
      </c>
      <c r="J3247" s="11" t="n">
        <v>2021</v>
      </c>
      <c r="L3247" s="11" t="n">
        <v>1</v>
      </c>
      <c r="M3247" s="8">
        <f>L3247*G3247</f>
        <v/>
      </c>
      <c r="P3247" s="9" t="n"/>
    </row>
    <row r="3248">
      <c r="A3248" s="11" t="inlineStr">
        <is>
          <t>Sanitarium Skeleton / Esqueleto do Sanatório</t>
        </is>
      </c>
      <c r="B3248" s="11" t="inlineStr">
        <is>
          <t>Creature — Skeleton / Criatura — Esqueleto</t>
        </is>
      </c>
      <c r="C3248" s="11" t="inlineStr">
        <is>
          <t>Common / Comum</t>
        </is>
      </c>
      <c r="D3248" s="11" t="inlineStr">
        <is>
          <t>{2}{B}: Return this card from your graveyard to your hand. / {2}{B}: Devolva Esqueleto do Sanatório de seu cemitério para sua mão.</t>
        </is>
      </c>
      <c r="E3248" s="11" t="inlineStr">
        <is>
          <t>{B}</t>
        </is>
      </c>
      <c r="F3248" s="11" t="inlineStr">
        <is>
          <t>Preto</t>
        </is>
      </c>
      <c r="G3248" s="8" t="n">
        <v>0.04</v>
      </c>
      <c r="H3248" s="11" t="inlineStr">
        <is>
          <t>Innistrad Remastered (INR)</t>
        </is>
      </c>
      <c r="I3248" s="11" t="inlineStr">
        <is>
          <t>Não</t>
        </is>
      </c>
      <c r="J3248" s="11" t="n">
        <v>2025</v>
      </c>
      <c r="K3248" s="10" t="n">
        <v>46054</v>
      </c>
      <c r="L3248" s="11" t="n">
        <v>1</v>
      </c>
      <c r="M3248" s="8">
        <f>L3248*G3248</f>
        <v/>
      </c>
      <c r="P3248" s="9" t="n"/>
    </row>
    <row r="3249">
      <c r="A3249" s="11" t="inlineStr">
        <is>
          <t>The Witch's Vanity / A Vaidade da Bruxa</t>
        </is>
      </c>
      <c r="B3249" s="11" t="inlineStr">
        <is>
          <t>Enchantment — Saga / Encantamento — Saga</t>
        </is>
      </c>
      <c r="C3249" s="11" t="inlineStr">
        <is>
          <t>Uncommon / Incomum</t>
        </is>
      </c>
      <c r="D3249" s="11" t="inlineStr">
        <is>
          <t>(As this Saga enters and after your draw step, add a lore counter. Sacrifice after III.) I — Destroy target creature an opponent controls with mana value 2 or less. II — Create a Food token. (It's an artifact with "{2}, {T}, Sacrifice this token: You gain 3 life.") III — Create a Wicked Role token attached to target creature you control. / (Conforme esta Saga entra e após sua etapa de compra, adicione um marcador de conhecimento. Sacrifique-a após III.) I — Destrua a criatura alvo que um oponente controla com valor de mana igual ou inferior a 2. II — Crie uma ficha de Comida. (Ela é um artefato com "{2}, {T}, sacrifique este artefato: Você ganha 3 pontos de vida".) III — Crie uma ficha de Papel de Malvado anexada à criatura alvo que você controla.</t>
        </is>
      </c>
      <c r="E3249" s="11" t="inlineStr">
        <is>
          <t>{1}{B}</t>
        </is>
      </c>
      <c r="F3249" s="11" t="inlineStr">
        <is>
          <t>Preto</t>
        </is>
      </c>
      <c r="G3249" s="8" t="n">
        <v>0.1</v>
      </c>
      <c r="H3249" s="11" t="inlineStr">
        <is>
          <t>Wilds of Eldraine (WOE)</t>
        </is>
      </c>
      <c r="I3249" s="11" t="inlineStr">
        <is>
          <t>Não</t>
        </is>
      </c>
      <c r="J3249" s="11" t="n">
        <v>2023</v>
      </c>
      <c r="L3249" s="11" t="n">
        <v>1</v>
      </c>
      <c r="M3249" s="8">
        <f>L3249*G3249</f>
        <v/>
      </c>
      <c r="P3249" s="9" t="n"/>
    </row>
    <row r="3250">
      <c r="A3250" s="11" t="inlineStr">
        <is>
          <t>Bloodflow Connoisseur / Connoisseur do Fluxo Sanguíneo</t>
        </is>
      </c>
      <c r="B3250" s="11" t="inlineStr">
        <is>
          <t>Creature — Vampire / Criatura — Vampiro</t>
        </is>
      </c>
      <c r="C3250" s="11" t="inlineStr">
        <is>
          <t>Common / Comum</t>
        </is>
      </c>
      <c r="D3250" s="11" t="inlineStr">
        <is>
          <t>Sacrifice a creature: Put a +1/+1 counter on this creature. / Sacrifique uma criatura: Coloque um marcador +1/+1 sobre Connoisseur do Fluxo Sanguíneo.</t>
        </is>
      </c>
      <c r="E3250" s="11" t="inlineStr">
        <is>
          <t>{2}{B}</t>
        </is>
      </c>
      <c r="F3250" s="11" t="inlineStr">
        <is>
          <t>Preto</t>
        </is>
      </c>
      <c r="G3250" s="8" t="n">
        <v>0.06</v>
      </c>
      <c r="H3250" s="11" t="inlineStr">
        <is>
          <t>Avacyn Restored (AVR)</t>
        </is>
      </c>
      <c r="I3250" s="11" t="inlineStr">
        <is>
          <t>Não</t>
        </is>
      </c>
      <c r="J3250" s="11" t="n">
        <v>2012</v>
      </c>
      <c r="K3250" s="10" t="n">
        <v>46023</v>
      </c>
      <c r="L3250" s="11" t="n">
        <v>1</v>
      </c>
      <c r="M3250" s="8">
        <f>L3250*G3250</f>
        <v/>
      </c>
      <c r="P3250" s="9" t="n"/>
    </row>
    <row r="3251">
      <c r="A3251" s="11" t="inlineStr">
        <is>
          <t>Unscrupulous Contractor / Mercenário Inescrupuloso</t>
        </is>
      </c>
      <c r="B3251" s="11" t="inlineStr">
        <is>
          <t>Creature — Human Assassin / Criatura — Humano Assassino</t>
        </is>
      </c>
      <c r="C3251" s="11" t="inlineStr">
        <is>
          <t>Uncommon / Incomum</t>
        </is>
      </c>
      <c r="D3251" s="11" t="inlineStr">
        <is>
          <t>When this creature enters, you may sacrifice a creature. When you do, target player draws two cards and loses 2 life. Plot {2}{B} (You may pay {2}{B} and exile this card from your hand. Cast it as a sorcery on a later turn without paying its mana cost. Plot only as a sorcery.) / Quando Mercenário Inescrupuloso entra no campo de batalha, você pode sacrificar uma criatura. Quando você faz isso, o jogador alvo compra dois cards e perde 2 pontos de vida. Tramar {2}{B} (Você pode pagar {2}{B} e exilar este card de sua mão. Conjure-o como um feitiço num turno posterior sem pagar seu custo de mana. Trame somente como um feitiço.)</t>
        </is>
      </c>
      <c r="E3251" s="11" t="inlineStr">
        <is>
          <t>{2}{B}</t>
        </is>
      </c>
      <c r="F3251" s="11" t="inlineStr">
        <is>
          <t>Preto</t>
        </is>
      </c>
      <c r="G3251" s="8" t="n">
        <v>0.1</v>
      </c>
      <c r="H3251" s="11" t="inlineStr">
        <is>
          <t>Outlaws of Thunder Junction (OTJ)</t>
        </is>
      </c>
      <c r="I3251" s="11" t="inlineStr">
        <is>
          <t>Não</t>
        </is>
      </c>
      <c r="J3251" s="11" t="n">
        <v>2024</v>
      </c>
      <c r="K3251" s="10" t="n">
        <v>46056</v>
      </c>
      <c r="L3251" s="11" t="n">
        <v>1</v>
      </c>
      <c r="M3251" s="8">
        <f>L3251*G3251</f>
        <v/>
      </c>
      <c r="P3251" s="9" t="n"/>
    </row>
    <row r="3252">
      <c r="A3252" s="11" t="inlineStr">
        <is>
          <t>Bloodflow Connoisseur / Connoisseur do Fluxo Sanguíneo</t>
        </is>
      </c>
      <c r="B3252" s="11" t="inlineStr">
        <is>
          <t>Creature — Vampire / Criatura — Vampiro</t>
        </is>
      </c>
      <c r="C3252" s="11" t="inlineStr">
        <is>
          <t>Common / Comum</t>
        </is>
      </c>
      <c r="D3252" s="11" t="inlineStr">
        <is>
          <t>Sacrifice a creature: Put a +1/+1 counter on this creature. / Sacrifique uma criatura: Coloque um marcador +1/+1 sobre Connoisseur do Fluxo Sanguíneo.</t>
        </is>
      </c>
      <c r="E3252" s="11" t="inlineStr">
        <is>
          <t>{2}{B}</t>
        </is>
      </c>
      <c r="F3252" s="11" t="inlineStr">
        <is>
          <t>Preto</t>
        </is>
      </c>
      <c r="G3252" s="8" t="n">
        <v>0.13</v>
      </c>
      <c r="H3252" s="11" t="inlineStr">
        <is>
          <t>Double Masters 2022 (2X2)</t>
        </is>
      </c>
      <c r="I3252" s="11" t="inlineStr">
        <is>
          <t>Não</t>
        </is>
      </c>
      <c r="J3252" s="11" t="n">
        <v>2022</v>
      </c>
      <c r="K3252" s="10" t="n">
        <v>46023</v>
      </c>
      <c r="L3252" s="11" t="n">
        <v>1</v>
      </c>
      <c r="M3252" s="8">
        <f>L3252*G3252</f>
        <v/>
      </c>
      <c r="P3252" s="9" t="n"/>
    </row>
    <row r="3253">
      <c r="A3253" s="11" t="inlineStr">
        <is>
          <t>Scion of Halaster / Rebento de Halaster</t>
        </is>
      </c>
      <c r="B3253" s="11" t="inlineStr">
        <is>
          <t>Legendary Enchantment — Background / Encantamento Lendário — Antecedente</t>
        </is>
      </c>
      <c r="C3253" s="11" t="inlineStr">
        <is>
          <t>Common / Comum</t>
        </is>
      </c>
      <c r="D3253" s="11" t="inlineStr">
        <is>
          <t>Commander creatures you own have "The first time you would draw a card each turn, instead look at the top two cards of your library. Put one of them into your graveyard and the other back on top of your library. Then draw a card." / As criaturas comandantes que você possui têm "Na primeira vez em que você compraria um card em cada turno, em vez disso, olhe os dois cards do topo de seu grimório. Coloque um em seu cemitério e o outro de volta no topo de seu grimório. Depois compre um card."</t>
        </is>
      </c>
      <c r="E3253" s="11" t="inlineStr">
        <is>
          <t>{1}{B}</t>
        </is>
      </c>
      <c r="F3253" s="11" t="inlineStr">
        <is>
          <t>Preto</t>
        </is>
      </c>
      <c r="G3253" s="8" t="n">
        <v>0.04</v>
      </c>
      <c r="H3253" s="11" t="inlineStr">
        <is>
          <t>Commander Legends: Battle for Baldur's Gate (CLB)</t>
        </is>
      </c>
      <c r="I3253" s="11" t="inlineStr">
        <is>
          <t>Não</t>
        </is>
      </c>
      <c r="J3253" s="11" t="n">
        <v>2022</v>
      </c>
      <c r="L3253" s="11" t="n">
        <v>1</v>
      </c>
      <c r="M3253" s="8">
        <f>L3253*G3253</f>
        <v/>
      </c>
      <c r="P3253" s="9" t="n"/>
    </row>
    <row r="3254">
      <c r="A3254" s="11" t="inlineStr">
        <is>
          <t>Headless Specter / Espectro Sem Cabeça</t>
        </is>
      </c>
      <c r="B3254" s="11" t="inlineStr">
        <is>
          <t>Creature — Specter / Criatura — Espectro</t>
        </is>
      </c>
      <c r="C3254" s="11" t="inlineStr">
        <is>
          <t>Common / Comum</t>
        </is>
      </c>
      <c r="D3254" s="11" t="inlineStr">
        <is>
          <t>Flying Hellbent — Whenever this creature deals combat damage to a player, if you have no cards in hand, that player discards a card at random. / Voar Determinação — Toda vez que Espectro Sem Cabeça causa dano de combate a um jogador, se você não tiver nenhum card na mão, aquele jogador descarta um card aleatoriamente.</t>
        </is>
      </c>
      <c r="E3254" s="11" t="inlineStr">
        <is>
          <t>{1}{B}{B}</t>
        </is>
      </c>
      <c r="F3254" s="11" t="inlineStr">
        <is>
          <t>Preto</t>
        </is>
      </c>
      <c r="G3254" s="8" t="n">
        <v>0.04</v>
      </c>
      <c r="H3254" s="11" t="inlineStr">
        <is>
          <t>Modern Horizons (MH1)</t>
        </is>
      </c>
      <c r="I3254" s="11" t="inlineStr">
        <is>
          <t>Não</t>
        </is>
      </c>
      <c r="J3254" s="11" t="n">
        <v>2019</v>
      </c>
      <c r="K3254" s="10" t="n">
        <v>46055</v>
      </c>
      <c r="L3254" s="11" t="n">
        <v>1</v>
      </c>
      <c r="M3254" s="8">
        <f>L3254*G3254</f>
        <v/>
      </c>
      <c r="P3254" s="9" t="n"/>
    </row>
    <row r="3255">
      <c r="A3255" s="11" t="inlineStr">
        <is>
          <t>Blood Hustler / Vigarista do Sangue</t>
        </is>
      </c>
      <c r="B3255" s="11" t="inlineStr">
        <is>
          <t>Creature — Vampire Rogue / Criatura — Vampiro Ladino</t>
        </is>
      </c>
      <c r="C3255" s="11" t="inlineStr">
        <is>
          <t>Uncommon / Incomum</t>
        </is>
      </c>
      <c r="D3255" s="11" t="inlineStr">
        <is>
          <t>Whenever you commit a crime, put a +1/+1 counter on this creature. This ability triggers only once each turn. (Targeting opponents, anything they control, and/or cards in their graveyards is a crime.) {3}{B}: Target opponent loses 1 life and you gain 1 life. / Toda vez que você cometer um crime, coloque um marcador +1/+1 em Vigarista do Sangue. Esta habilidade é desencadeada apenas uma vez a cada turno. (Escolher como alvo oponentes, qualquer coisa que eles controlem e/ou cards no cemitério deles é um crime.) {3}{B}: O oponente alvo perde 1 ponto de vida e você ganha 1 ponto de vida.</t>
        </is>
      </c>
      <c r="E3255" s="11" t="inlineStr">
        <is>
          <t>{1}{B}</t>
        </is>
      </c>
      <c r="F3255" s="11" t="inlineStr">
        <is>
          <t>Preto</t>
        </is>
      </c>
      <c r="G3255" s="8" t="n">
        <v>0.1</v>
      </c>
      <c r="H3255" s="11" t="inlineStr">
        <is>
          <t>Outlaws of Thunder Junction (OTJ)</t>
        </is>
      </c>
      <c r="I3255" s="11" t="inlineStr">
        <is>
          <t>Não</t>
        </is>
      </c>
      <c r="J3255" s="11" t="n">
        <v>2024</v>
      </c>
      <c r="K3255" s="10" t="n">
        <v>46023</v>
      </c>
      <c r="L3255" s="11" t="n">
        <v>1</v>
      </c>
      <c r="M3255" s="8">
        <f>L3255*G3255</f>
        <v/>
      </c>
      <c r="P3255" s="9" t="n"/>
    </row>
    <row r="3256">
      <c r="A3256" s="11" t="inlineStr">
        <is>
          <t>Persistent Specimen / Espécime Persistente</t>
        </is>
      </c>
      <c r="B3256" s="11" t="inlineStr">
        <is>
          <t>Creature — Skeleton / Criatura — Esqueleto</t>
        </is>
      </c>
      <c r="C3256" s="11" t="inlineStr">
        <is>
          <t>Common / Comum</t>
        </is>
      </c>
      <c r="D3256" s="11" t="inlineStr">
        <is>
          <t>{2}{B}: Return this card from your graveyard to the battlefield tapped. / {2}{B}: Devolva Espécime Persistente de seu cemitério para o campo de batalha virado.</t>
        </is>
      </c>
      <c r="E3256" s="11" t="inlineStr">
        <is>
          <t>{B}</t>
        </is>
      </c>
      <c r="F3256" s="11" t="inlineStr">
        <is>
          <t>Preto</t>
        </is>
      </c>
      <c r="G3256" s="8" t="n">
        <v>0.1</v>
      </c>
      <c r="H3256" s="11" t="inlineStr">
        <is>
          <t>Innistrad: Crimson Vow (VOW)</t>
        </is>
      </c>
      <c r="I3256" s="11" t="inlineStr">
        <is>
          <t>Não</t>
        </is>
      </c>
      <c r="J3256" s="11" t="n">
        <v>2021</v>
      </c>
      <c r="K3256" s="10" t="n">
        <v>46023</v>
      </c>
      <c r="L3256" s="11" t="n">
        <v>1</v>
      </c>
      <c r="M3256" s="8">
        <f>L3256*G3256</f>
        <v/>
      </c>
      <c r="P3256" s="9" t="n"/>
    </row>
    <row r="3257">
      <c r="A3257" s="11" t="inlineStr">
        <is>
          <t>Lazotep Reaver / Despojador de Lazotep</t>
        </is>
      </c>
      <c r="B3257" s="11" t="inlineStr">
        <is>
          <t>Creature — Zombie Beast / Criatura — Zumbi Besta</t>
        </is>
      </c>
      <c r="C3257" s="11" t="inlineStr">
        <is>
          <t>Common / Comum</t>
        </is>
      </c>
      <c r="D3257" s="11" t="inlineStr">
        <is>
          <t>When this creature enters, amass Zombies 1. (Put a +1/+1 counter on an Army you control. It's also a Zombie. If you don't control an Army, create a 0/0 black Zombie Army creature token first.) / Quando Despojador de Lazotep entrar no campo de batalha, arregimente 1. (Coloque um marcador +1/+1 em um Exército que você controla. Se você não controlar um, crie antes uma ficha de criatura preta 0/0 do tipo Zumbi Exército.)</t>
        </is>
      </c>
      <c r="E3257" s="11" t="inlineStr">
        <is>
          <t>{1}{B}</t>
        </is>
      </c>
      <c r="F3257" s="11" t="inlineStr">
        <is>
          <t>Preto</t>
        </is>
      </c>
      <c r="G3257" s="8" t="n">
        <v>0.04</v>
      </c>
      <c r="H3257" s="11" t="inlineStr">
        <is>
          <t>War of the Spark (WAR)</t>
        </is>
      </c>
      <c r="I3257" s="11" t="inlineStr">
        <is>
          <t>Não</t>
        </is>
      </c>
      <c r="J3257" s="11" t="n">
        <v>2019</v>
      </c>
      <c r="K3257" s="10" t="n">
        <v>46054</v>
      </c>
      <c r="L3257" s="11" t="n">
        <v>1</v>
      </c>
      <c r="M3257" s="8">
        <f>L3257*G3257</f>
        <v/>
      </c>
      <c r="P3257" s="9" t="n"/>
    </row>
    <row r="3258">
      <c r="A3258" s="11" t="inlineStr">
        <is>
          <t>Spin Out</t>
        </is>
      </c>
      <c r="B3258" s="11" t="inlineStr">
        <is>
          <t>Instant</t>
        </is>
      </c>
      <c r="C3258" s="11" t="inlineStr">
        <is>
          <t>Common / Comum</t>
        </is>
      </c>
      <c r="D3258" s="11" t="inlineStr">
        <is>
          <t>Destroy target creature or Vehicle.</t>
        </is>
      </c>
      <c r="E3258" s="11" t="inlineStr">
        <is>
          <t>{1}{B}{B}</t>
        </is>
      </c>
      <c r="F3258" s="11" t="inlineStr">
        <is>
          <t>Preto</t>
        </is>
      </c>
      <c r="G3258" s="8" t="n">
        <v>0.1</v>
      </c>
      <c r="H3258" s="11" t="inlineStr">
        <is>
          <t>Aetherdrift (DFT)</t>
        </is>
      </c>
      <c r="I3258" s="11" t="inlineStr">
        <is>
          <t>Não</t>
        </is>
      </c>
      <c r="J3258" s="11" t="n">
        <v>2025</v>
      </c>
      <c r="L3258" s="11" t="n">
        <v>2</v>
      </c>
      <c r="M3258" s="8">
        <f>L3258*G3258</f>
        <v/>
      </c>
      <c r="P3258" s="9" t="n"/>
    </row>
    <row r="3259">
      <c r="A3259" s="11" t="inlineStr">
        <is>
          <t>Sanguine Syphoner</t>
        </is>
      </c>
      <c r="B3259" s="11" t="inlineStr">
        <is>
          <t>Creature — Vampire Warlock</t>
        </is>
      </c>
      <c r="C3259" s="11" t="inlineStr">
        <is>
          <t>Common / Comum</t>
        </is>
      </c>
      <c r="D3259" s="11" t="inlineStr">
        <is>
          <t>Whenever this creature attacks, each opponent loses 1 life and you gain 1 life.</t>
        </is>
      </c>
      <c r="E3259" s="11" t="inlineStr">
        <is>
          <t>{1}{B}</t>
        </is>
      </c>
      <c r="F3259" s="11" t="inlineStr">
        <is>
          <t>Preto</t>
        </is>
      </c>
      <c r="G3259" s="8" t="n">
        <v>0.08</v>
      </c>
      <c r="H3259" s="11" t="inlineStr">
        <is>
          <t>Foundations (FDN)</t>
        </is>
      </c>
      <c r="I3259" s="11" t="inlineStr">
        <is>
          <t>Não</t>
        </is>
      </c>
      <c r="J3259" s="11" t="n">
        <v>2024</v>
      </c>
      <c r="K3259" s="10" t="n">
        <v>46082</v>
      </c>
      <c r="L3259" s="11" t="n">
        <v>1</v>
      </c>
      <c r="M3259" s="8">
        <f>L3259*G3259</f>
        <v/>
      </c>
      <c r="P3259" s="9" t="n"/>
    </row>
    <row r="3260">
      <c r="A3260" s="11" t="inlineStr">
        <is>
          <t>Defiled Crypt // Cadaver Lab</t>
        </is>
      </c>
      <c r="B3260" s="11" t="inlineStr">
        <is>
          <t>Enchantment — Room // Enchantment — Room</t>
        </is>
      </c>
      <c r="C3260" s="11" t="inlineStr">
        <is>
          <t>Uncommon / Incomum</t>
        </is>
      </c>
      <c r="D3260" s="11" t="inlineStr">
        <is>
          <t>Defiled Crypt: Whenever one or more cards leave your graveyard, create a 2/2 black Horror enchantment creature token. This ability triggers only once each turn. (You may cast either half. That door unlocks on the battlefield. As a sorcery, you may pay the mana cost of a locked door to unlock it.) // Cadaver Lab: When you unlock this door, return target creature card from your graveyard to your hand. (You may cast either half. That door unlocks on the battlefield. As a sorcery, you may pay the mana cost of a locked door to unlock it.)</t>
        </is>
      </c>
      <c r="E3260" s="11" t="inlineStr">
        <is>
          <t>{3}{B} // {B}</t>
        </is>
      </c>
      <c r="F3260" s="11" t="inlineStr">
        <is>
          <t>Preto</t>
        </is>
      </c>
      <c r="G3260" s="8" t="n">
        <v>0.15</v>
      </c>
      <c r="H3260" s="11" t="inlineStr">
        <is>
          <t>Duskmourn: House of Horror (DSK)</t>
        </is>
      </c>
      <c r="I3260" s="11" t="inlineStr">
        <is>
          <t>Não</t>
        </is>
      </c>
      <c r="J3260" s="11" t="n">
        <v>2024</v>
      </c>
      <c r="L3260" s="11" t="n">
        <v>2</v>
      </c>
      <c r="M3260" s="8">
        <f>L3260*G3260</f>
        <v/>
      </c>
      <c r="P3260" s="9" t="n"/>
    </row>
    <row r="3261">
      <c r="A3261" s="11" t="inlineStr">
        <is>
          <t>Risen Necroregent</t>
        </is>
      </c>
      <c r="B3261" s="11" t="inlineStr">
        <is>
          <t>Creature — Zombie Cat Knight</t>
        </is>
      </c>
      <c r="C3261" s="11" t="inlineStr">
        <is>
          <t>Uncommon / Incomum</t>
        </is>
      </c>
      <c r="D3261" s="11" t="inlineStr">
        <is>
          <t>Start your engines! (If you have no speed, it starts at 1. It increases once on each of your turns when an opponent loses life. Max speed is 4.) Max speed — At the beginning of your end step, create a 2/2 black Zombie creature token.</t>
        </is>
      </c>
      <c r="E3261" s="11" t="inlineStr">
        <is>
          <t>{4}{B}</t>
        </is>
      </c>
      <c r="F3261" s="11" t="inlineStr">
        <is>
          <t>Preto</t>
        </is>
      </c>
      <c r="G3261" s="8" t="n">
        <v>0.1</v>
      </c>
      <c r="H3261" s="11" t="inlineStr">
        <is>
          <t>Aetherdrift (DFT)</t>
        </is>
      </c>
      <c r="I3261" s="11" t="inlineStr">
        <is>
          <t>Não</t>
        </is>
      </c>
      <c r="J3261" s="11" t="n">
        <v>2025</v>
      </c>
      <c r="K3261" s="10" t="n">
        <v>46117</v>
      </c>
      <c r="L3261" s="11" t="n">
        <v>1</v>
      </c>
      <c r="M3261" s="8">
        <f>L3261*G3261</f>
        <v/>
      </c>
      <c r="P3261" s="9" t="n"/>
    </row>
    <row r="3262">
      <c r="A3262" s="11" t="inlineStr">
        <is>
          <t>Resurrected Cultist</t>
        </is>
      </c>
      <c r="B3262" s="11" t="inlineStr">
        <is>
          <t>Creature — Human Cleric</t>
        </is>
      </c>
      <c r="C3262" s="11" t="inlineStr">
        <is>
          <t>Common / Comum</t>
        </is>
      </c>
      <c r="D3262" s="11" t="inlineStr">
        <is>
          <t>Delirium — {2}{B}{B}: Return this card from your graveyard to the battlefield with a finality counter on it. Activate only if there are four or more card types among cards in your graveyard and only as a sorcery. (If a creature with a finality counter on it would die, exile it instead.)</t>
        </is>
      </c>
      <c r="E3262" s="11" t="inlineStr">
        <is>
          <t>{2}{B}</t>
        </is>
      </c>
      <c r="F3262" s="11" t="inlineStr">
        <is>
          <t>Preto</t>
        </is>
      </c>
      <c r="G3262" s="8" t="n">
        <v>0.04</v>
      </c>
      <c r="H3262" s="11" t="inlineStr">
        <is>
          <t>Duskmourn: House of Horror (DSK)</t>
        </is>
      </c>
      <c r="I3262" s="11" t="inlineStr">
        <is>
          <t>Não</t>
        </is>
      </c>
      <c r="J3262" s="11" t="n">
        <v>2024</v>
      </c>
      <c r="K3262" s="10" t="n">
        <v>46026</v>
      </c>
      <c r="L3262" s="11" t="n">
        <v>1</v>
      </c>
      <c r="M3262" s="8">
        <f>L3262*G3262</f>
        <v/>
      </c>
      <c r="P3262" s="9" t="n"/>
    </row>
    <row r="3263">
      <c r="A3263" s="11" t="inlineStr">
        <is>
          <t>Valgavoth's Faithful</t>
        </is>
      </c>
      <c r="B3263" s="11" t="inlineStr">
        <is>
          <t>Creature — Human Cleric</t>
        </is>
      </c>
      <c r="C3263" s="11" t="inlineStr">
        <is>
          <t>Uncommon / Incomum</t>
        </is>
      </c>
      <c r="D3263" s="11" t="inlineStr">
        <is>
          <t>{3}{B}, Sacrifice this creature: Return target creature card from your graveyard to the battlefield. Activate only as a sorcery.</t>
        </is>
      </c>
      <c r="E3263" s="11" t="inlineStr">
        <is>
          <t>{B}</t>
        </is>
      </c>
      <c r="F3263" s="11" t="inlineStr">
        <is>
          <t>Preto</t>
        </is>
      </c>
      <c r="G3263" s="8" t="n">
        <v>0.1</v>
      </c>
      <c r="H3263" s="11" t="inlineStr">
        <is>
          <t>Duskmourn: House of Horror (DSK)</t>
        </is>
      </c>
      <c r="I3263" s="11" t="inlineStr">
        <is>
          <t>Não</t>
        </is>
      </c>
      <c r="J3263" s="11" t="n">
        <v>2024</v>
      </c>
      <c r="K3263" s="10" t="n">
        <v>46023</v>
      </c>
      <c r="L3263" s="11" t="n">
        <v>1</v>
      </c>
      <c r="M3263" s="8">
        <f>L3263*G3263</f>
        <v/>
      </c>
      <c r="P3263" s="9" t="n"/>
    </row>
    <row r="3264">
      <c r="A3264" s="11" t="inlineStr">
        <is>
          <t>Dead Weight / Peso Morto</t>
        </is>
      </c>
      <c r="B3264" s="11" t="inlineStr">
        <is>
          <t>Enchantment — Aura / Encantamento — Aura</t>
        </is>
      </c>
      <c r="C3264" s="11" t="inlineStr">
        <is>
          <t>Common / Comum</t>
        </is>
      </c>
      <c r="D3264" s="11" t="inlineStr">
        <is>
          <t>Enchant creature Enchanted creature gets -2/-2. / Encantar criatura A criatura encantada recebe -2/-2.</t>
        </is>
      </c>
      <c r="E3264" s="11" t="inlineStr">
        <is>
          <t>{B}</t>
        </is>
      </c>
      <c r="F3264" s="11" t="inlineStr">
        <is>
          <t>Preto</t>
        </is>
      </c>
      <c r="G3264" s="8" t="n">
        <v>0.09</v>
      </c>
      <c r="H3264" s="11" t="inlineStr">
        <is>
          <t>The Lost Caverns of Ixalan (LCI)</t>
        </is>
      </c>
      <c r="I3264" s="11" t="inlineStr">
        <is>
          <t>Não</t>
        </is>
      </c>
      <c r="J3264" s="11" t="n">
        <v>2023</v>
      </c>
      <c r="L3264" s="11" t="n">
        <v>1</v>
      </c>
      <c r="M3264" s="8">
        <f>L3264*G3264</f>
        <v/>
      </c>
      <c r="P3264" s="9" t="n"/>
    </row>
    <row r="3265">
      <c r="A3265" s="11" t="inlineStr">
        <is>
          <t>Soul Enervation / Enervação da Alma</t>
        </is>
      </c>
      <c r="B3265" s="11" t="inlineStr">
        <is>
          <t>Enchantment / Encantamento</t>
        </is>
      </c>
      <c r="C3265" s="11" t="inlineStr">
        <is>
          <t>Uncommon / Incomum</t>
        </is>
      </c>
      <c r="D3265" s="11" t="inlineStr">
        <is>
          <t>Flash When this enchantment enters, target creature gets -4/-4 until end of turn. Whenever one or more creature cards leave your graveyard, each opponent loses 1 life and you gain 1 life. / Lampejo Quando Enervação da Alma entra no campo de batalha, a criatura alvo recebe -4/-4 até o final do turno. Toda vez que um ou mais cards de criatura deixam seu cemitério, cada oponente perde 1 ponto de vida e você ganha 1 ponto de vida.</t>
        </is>
      </c>
      <c r="E3265" s="11" t="inlineStr">
        <is>
          <t>{3}{B}</t>
        </is>
      </c>
      <c r="F3265" s="11" t="inlineStr">
        <is>
          <t>Preto</t>
        </is>
      </c>
      <c r="G3265" s="8" t="n">
        <v>0.15</v>
      </c>
      <c r="H3265" s="11" t="inlineStr">
        <is>
          <t>Murders at Karlov Manor (MKM)</t>
        </is>
      </c>
      <c r="I3265" s="11" t="inlineStr">
        <is>
          <t>Não</t>
        </is>
      </c>
      <c r="J3265" s="11" t="n">
        <v>2024</v>
      </c>
      <c r="L3265" s="11" t="n">
        <v>1</v>
      </c>
      <c r="M3265" s="8">
        <f>L3265*G3265</f>
        <v/>
      </c>
      <c r="P3265" s="9" t="n"/>
    </row>
    <row r="3266">
      <c r="A3266" s="11" t="inlineStr">
        <is>
          <t>Streaking Oilgorger</t>
        </is>
      </c>
      <c r="B3266" s="11" t="inlineStr">
        <is>
          <t>Creature — Vampire</t>
        </is>
      </c>
      <c r="C3266" s="11" t="inlineStr">
        <is>
          <t>Common / Comum</t>
        </is>
      </c>
      <c r="D3266" s="11" t="inlineStr">
        <is>
          <t>Flying, haste Start your engines! (If you have no speed, it starts at 1. It increases once on each of your turns when an opponent loses life. Max speed is 4.) Max speed — This creature has lifelink.</t>
        </is>
      </c>
      <c r="E3266" s="11" t="inlineStr">
        <is>
          <t>{4}{B}</t>
        </is>
      </c>
      <c r="F3266" s="11" t="inlineStr">
        <is>
          <t>Preto</t>
        </is>
      </c>
      <c r="G3266" s="8" t="n">
        <v>0.05</v>
      </c>
      <c r="H3266" s="11" t="inlineStr">
        <is>
          <t>Aetherdrift (DFT)</t>
        </is>
      </c>
      <c r="I3266" s="11" t="inlineStr">
        <is>
          <t>Não</t>
        </is>
      </c>
      <c r="J3266" s="11" t="n">
        <v>2025</v>
      </c>
      <c r="K3266" s="10" t="n">
        <v>46084</v>
      </c>
      <c r="L3266" s="11" t="n">
        <v>1</v>
      </c>
      <c r="M3266" s="8">
        <f>L3266*G3266</f>
        <v/>
      </c>
      <c r="P3266" s="9" t="n"/>
    </row>
    <row r="3267">
      <c r="A3267" s="11" t="inlineStr">
        <is>
          <t>Testament Bearer / Porta-testamento</t>
        </is>
      </c>
      <c r="B3267" s="11" t="inlineStr">
        <is>
          <t>Creature — Phyrexian Warrior / Criatura — Phyrexiano Guerreiro</t>
        </is>
      </c>
      <c r="C3267" s="11" t="inlineStr">
        <is>
          <t>Common / Comum</t>
        </is>
      </c>
      <c r="D3267" s="11" t="inlineStr">
        <is>
          <t>When this creature dies, look at the top three cards of your library. Put one of them into your hand and the rest into your graveyard. / Quando Porta-testamento morrer, olhe os três cards do topo de seu grimório. Coloque um deles em sua mão e o restante em seu cemitério.</t>
        </is>
      </c>
      <c r="E3267" s="11" t="inlineStr">
        <is>
          <t>{3}{B}</t>
        </is>
      </c>
      <c r="F3267" s="11" t="inlineStr">
        <is>
          <t>Preto</t>
        </is>
      </c>
      <c r="G3267" s="8" t="n">
        <v>0.04</v>
      </c>
      <c r="H3267" s="11" t="inlineStr">
        <is>
          <t>Phyrexia: All Will Be One (ONE)</t>
        </is>
      </c>
      <c r="I3267" s="11" t="inlineStr">
        <is>
          <t>Não</t>
        </is>
      </c>
      <c r="J3267" s="11" t="n">
        <v>2023</v>
      </c>
      <c r="K3267" s="10" t="n">
        <v>46026</v>
      </c>
      <c r="L3267" s="11" t="n">
        <v>1</v>
      </c>
      <c r="M3267" s="8">
        <f>L3267*G3267</f>
        <v/>
      </c>
      <c r="P3267" s="9" t="n"/>
    </row>
    <row r="3268">
      <c r="A3268" s="11" t="inlineStr">
        <is>
          <t>Passageway Seer / Vidente da Passagem</t>
        </is>
      </c>
      <c r="B3268" s="11" t="inlineStr">
        <is>
          <t>Creature — Tiefling Warlock / Criatura — Tiferino Bruxo</t>
        </is>
      </c>
      <c r="C3268" s="11" t="inlineStr">
        <is>
          <t>Uncommon / Incomum</t>
        </is>
      </c>
      <c r="D3268" s="11" t="inlineStr">
        <is>
          <t>Lifelink When this creature enters, you take the initiative. At the beginning of your end step, if you have the initiative, put a +1/+1 counter on this creature. / Vínculo com a vida Quando Vidente da Passagem entra no campo de batalha, você assume a dianteira. No início de sua etapa final, se você estiver na dianteira, coloque um marcador +1/+1 em Vidente da Passagem.</t>
        </is>
      </c>
      <c r="E3268" s="11" t="inlineStr">
        <is>
          <t>{3}{B}</t>
        </is>
      </c>
      <c r="F3268" s="11" t="inlineStr">
        <is>
          <t>Preto</t>
        </is>
      </c>
      <c r="G3268" s="8" t="n">
        <v>0.14</v>
      </c>
      <c r="H3268" s="11" t="inlineStr">
        <is>
          <t>Commander Legends: Battle for Baldur's Gate (CLB)</t>
        </is>
      </c>
      <c r="I3268" s="11" t="inlineStr">
        <is>
          <t>Não</t>
        </is>
      </c>
      <c r="J3268" s="11" t="n">
        <v>2022</v>
      </c>
      <c r="K3268" s="10" t="n">
        <v>46055</v>
      </c>
      <c r="L3268" s="11" t="n">
        <v>1</v>
      </c>
      <c r="M3268" s="8">
        <f>L3268*G3268</f>
        <v/>
      </c>
      <c r="P3268" s="9" t="n"/>
    </row>
    <row r="3269">
      <c r="A3269" s="11" t="inlineStr">
        <is>
          <t>Dusk Mangler / Desmembrador do Ocaso</t>
        </is>
      </c>
      <c r="B3269" s="11" t="inlineStr">
        <is>
          <t>Creature — Horror / Criatura — Horror</t>
        </is>
      </c>
      <c r="C3269" s="11" t="inlineStr">
        <is>
          <t>Uncommon / Incomum</t>
        </is>
      </c>
      <c r="D3269" s="11"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3269" s="11" t="inlineStr">
        <is>
          <t>{5}{B}{B}</t>
        </is>
      </c>
      <c r="F3269" s="11" t="inlineStr">
        <is>
          <t>Preto</t>
        </is>
      </c>
      <c r="G3269" s="8" t="n">
        <v>0.15</v>
      </c>
      <c r="H3269" s="11" t="inlineStr">
        <is>
          <t>Streets of New Capenna (SNC)</t>
        </is>
      </c>
      <c r="I3269" s="11" t="inlineStr">
        <is>
          <t>Não</t>
        </is>
      </c>
      <c r="J3269" s="11" t="n">
        <v>2022</v>
      </c>
      <c r="K3269" s="10" t="n">
        <v>46117</v>
      </c>
      <c r="L3269" s="11" t="n">
        <v>1</v>
      </c>
      <c r="M3269" s="8">
        <f>L3269*G3269</f>
        <v/>
      </c>
      <c r="P3269" s="9" t="n"/>
    </row>
    <row r="3270">
      <c r="A3270" s="11" t="inlineStr">
        <is>
          <t>Dokuchi Shadow-Walker / Trilha-sombras Dokuchi</t>
        </is>
      </c>
      <c r="B3270" s="11" t="inlineStr">
        <is>
          <t>Creature — Ogre Ninja / Criatura — Ogro Ninja</t>
        </is>
      </c>
      <c r="C3270" s="11" t="inlineStr">
        <is>
          <t>Common / Comum</t>
        </is>
      </c>
      <c r="D3270" s="11"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3270" s="11" t="inlineStr">
        <is>
          <t>{4}{B}{B}</t>
        </is>
      </c>
      <c r="F3270" s="11" t="inlineStr">
        <is>
          <t>Preto</t>
        </is>
      </c>
      <c r="G3270" s="8" t="n">
        <v>0.1</v>
      </c>
      <c r="H3270" s="11" t="inlineStr">
        <is>
          <t>Kamigawa: Neon Dynasty (NEO)</t>
        </is>
      </c>
      <c r="I3270" s="11" t="inlineStr">
        <is>
          <t>Não</t>
        </is>
      </c>
      <c r="J3270" s="11" t="n">
        <v>2022</v>
      </c>
      <c r="K3270" s="10" t="n">
        <v>46147</v>
      </c>
      <c r="L3270" s="11" t="n">
        <v>1</v>
      </c>
      <c r="M3270" s="8">
        <f>L3270*G3270</f>
        <v/>
      </c>
      <c r="P3270" s="9" t="n"/>
    </row>
    <row r="3271">
      <c r="A3271" s="11" t="inlineStr">
        <is>
          <t>Charcoal Diamond / Diamante de Carvão</t>
        </is>
      </c>
      <c r="B3271" s="11" t="inlineStr">
        <is>
          <t>Artifact / Artefato</t>
        </is>
      </c>
      <c r="C3271" s="11" t="inlineStr">
        <is>
          <t>Common / Comum</t>
        </is>
      </c>
      <c r="D3271" s="11" t="inlineStr">
        <is>
          <t>This artifact enters tapped. {T}: Add {B}. / Diamante de Carvão entra no campo de batalha virado. {T}: Adicione {B}.</t>
        </is>
      </c>
      <c r="E3271" s="11" t="inlineStr">
        <is>
          <t>{2}</t>
        </is>
      </c>
      <c r="F3271" s="11" t="inlineStr">
        <is>
          <t>Preto</t>
        </is>
      </c>
      <c r="G3271" s="8" t="n">
        <v>0.75</v>
      </c>
      <c r="H3271" s="11" t="inlineStr">
        <is>
          <t>Midnight Hunt Commander (MIC)</t>
        </is>
      </c>
      <c r="I3271" s="11" t="inlineStr">
        <is>
          <t>Não</t>
        </is>
      </c>
      <c r="J3271" s="11" t="n">
        <v>2021</v>
      </c>
      <c r="L3271" s="11" t="n">
        <v>1</v>
      </c>
      <c r="M3271" s="8">
        <f>L3271*G3271</f>
        <v/>
      </c>
      <c r="P3271" s="9" t="n"/>
    </row>
    <row r="3272">
      <c r="A3272" s="11" t="inlineStr">
        <is>
          <t>Cruel Grimnarch / Sombrarca Cruel</t>
        </is>
      </c>
      <c r="B3272" s="11" t="inlineStr">
        <is>
          <t>Creature — Phyrexian Cleric / Criatura — Phyrexiano Clérigo</t>
        </is>
      </c>
      <c r="C3272" s="11" t="inlineStr">
        <is>
          <t>Common / Comum</t>
        </is>
      </c>
      <c r="D3272" s="11" t="inlineStr">
        <is>
          <t>Deathtouch When this creature enters, each opponent discards a card. For each opponent who can't, you gain 4 life. / Toque mortífero Quando Sombrarca Cruel entra no campo de batalha, cada oponente descarta um card. Para cada oponente que não puder fazê-lo, você ganha 4 pontos de vida.</t>
        </is>
      </c>
      <c r="E3272" s="11" t="inlineStr">
        <is>
          <t>{5}{B}</t>
        </is>
      </c>
      <c r="F3272" s="11" t="inlineStr">
        <is>
          <t>Preto</t>
        </is>
      </c>
      <c r="G3272" s="8" t="n">
        <v>0.06</v>
      </c>
      <c r="H3272" s="11" t="inlineStr">
        <is>
          <t>Phyrexia: All Will Be One (ONE)</t>
        </is>
      </c>
      <c r="I3272" s="11" t="inlineStr">
        <is>
          <t>Não</t>
        </is>
      </c>
      <c r="J3272" s="11" t="n">
        <v>2023</v>
      </c>
      <c r="K3272" s="10" t="n">
        <v>46147</v>
      </c>
      <c r="L3272" s="11" t="n">
        <v>1</v>
      </c>
      <c r="M3272" s="8">
        <f>L3272*G3272</f>
        <v/>
      </c>
      <c r="P3272" s="9" t="n"/>
    </row>
    <row r="3273">
      <c r="A3273" s="11" t="inlineStr">
        <is>
          <t>The Dross Pits / Os Poços de Dross</t>
        </is>
      </c>
      <c r="B3273" s="11" t="inlineStr">
        <is>
          <t>Land — Sphere / Terreno — Esfera</t>
        </is>
      </c>
      <c r="C3273" s="11" t="inlineStr">
        <is>
          <t>Common / Comum</t>
        </is>
      </c>
      <c r="D3273" s="11" t="inlineStr">
        <is>
          <t>This land enters tapped. {T}: Add {B}. {1}{B}, {T}, Sacrifice this land: Draw a card. / Os Poços de Dross entra no campo de batalha virado. {T}: Adicione {B}. {1}{B}, {T}, sacrifique Os Poços de Dross: Compre um card.</t>
        </is>
      </c>
      <c r="F3273" s="11" t="inlineStr">
        <is>
          <t>Preto</t>
        </is>
      </c>
      <c r="G3273" s="8" t="n">
        <v>0.1</v>
      </c>
      <c r="H3273" s="11" t="inlineStr">
        <is>
          <t>Phyrexia: All Will Be One (ONE)</t>
        </is>
      </c>
      <c r="I3273" s="11" t="inlineStr">
        <is>
          <t>Não</t>
        </is>
      </c>
      <c r="J3273" s="11" t="n">
        <v>2023</v>
      </c>
      <c r="L3273" s="11" t="n">
        <v>1</v>
      </c>
      <c r="M3273" s="8">
        <f>L3273*G3273</f>
        <v/>
      </c>
      <c r="P3273" s="9" t="n"/>
    </row>
    <row r="3274">
      <c r="A3274" s="11" t="inlineStr">
        <is>
          <t>Whisper of the Dross / Sussurro de Dross</t>
        </is>
      </c>
      <c r="B3274" s="11" t="inlineStr">
        <is>
          <t>Instant / Mágica Instantânea</t>
        </is>
      </c>
      <c r="C3274" s="11" t="inlineStr">
        <is>
          <t>Common / Comum</t>
        </is>
      </c>
      <c r="D3274" s="11" t="inlineStr">
        <is>
          <t>Target creature gets -1/-1 until end of turn. Proliferate. (Choose any number of permanents and/or players, then give each another counter of each kind already there.) / A criatura alvo recebe -1/-1 até o final do turno. Prolifere. (Escolha qualquer número de permanentes e/ou jogadores. Em seguida, dê a cada um deles outro marcador de cada tipo que eles já tenham.)</t>
        </is>
      </c>
      <c r="E3274" s="11" t="inlineStr">
        <is>
          <t>{B}</t>
        </is>
      </c>
      <c r="F3274" s="11" t="inlineStr">
        <is>
          <t>Preto</t>
        </is>
      </c>
      <c r="G3274" s="8" t="n">
        <v>0.19</v>
      </c>
      <c r="H3274" s="11" t="inlineStr">
        <is>
          <t>Phyrexia: All Will Be One (ONE)</t>
        </is>
      </c>
      <c r="I3274" s="11" t="inlineStr">
        <is>
          <t>Não</t>
        </is>
      </c>
      <c r="J3274" s="11" t="n">
        <v>2023</v>
      </c>
      <c r="L3274" s="11" t="n">
        <v>1</v>
      </c>
      <c r="M3274" s="8">
        <f>L3274*G3274</f>
        <v/>
      </c>
      <c r="P3274" s="9" t="n"/>
    </row>
    <row r="3275">
      <c r="A3275" s="11" t="inlineStr">
        <is>
          <t>Vat of Rebirth / Tanque de Renascimento</t>
        </is>
      </c>
      <c r="B3275" s="11" t="inlineStr">
        <is>
          <t>Artifact / Artefato</t>
        </is>
      </c>
      <c r="C3275" s="11" t="inlineStr">
        <is>
          <t>Uncommon / Incomum</t>
        </is>
      </c>
      <c r="D3275" s="11" t="inlineStr">
        <is>
          <t>Whenever another artifact or creature you control is put into a graveyard from the battlefield, put an oil counter on this artifact. {2}{B}, {T}, Remove four oil counters from this artifact: Return target creature card from your graveyard to the battlefield. Activate only as a sorcery. / Toda vez que outra criatura ou outro artefato que você controla for colocado em um cemitério vindo do campo de batalha, coloque um marcador de óleo em Tanque de Renascimento. {2}{B}, {T}, remova quatro marcadores de óleo de Tanque de Renascimento: Devolva o card de criatura alvo de seu cemitério para o campo de batalha. Ative somente como um feitiço.</t>
        </is>
      </c>
      <c r="E3275" s="11" t="inlineStr">
        <is>
          <t>{B}</t>
        </is>
      </c>
      <c r="F3275" s="11" t="inlineStr">
        <is>
          <t>Preto</t>
        </is>
      </c>
      <c r="G3275" s="8" t="n">
        <v>0.5</v>
      </c>
      <c r="H3275" s="11" t="inlineStr">
        <is>
          <t>Phyrexia: All Will Be One (ONE)</t>
        </is>
      </c>
      <c r="I3275" s="11" t="inlineStr">
        <is>
          <t>Não</t>
        </is>
      </c>
      <c r="J3275" s="11" t="n">
        <v>2023</v>
      </c>
      <c r="L3275" s="11" t="n">
        <v>1</v>
      </c>
      <c r="M3275" s="8">
        <f>L3275*G3275</f>
        <v/>
      </c>
      <c r="P3275" s="9" t="n"/>
    </row>
    <row r="3276">
      <c r="A3276" s="11" t="inlineStr">
        <is>
          <t>Wildwood Tracker / Rastreador do Bosque Selvagem</t>
        </is>
      </c>
      <c r="B3276" s="11" t="inlineStr">
        <is>
          <t>Creature — Elf Warrior / Criatura — Elfo Guerreiro</t>
        </is>
      </c>
      <c r="C3276" s="11" t="inlineStr">
        <is>
          <t>Common / Comum</t>
        </is>
      </c>
      <c r="D3276" s="11" t="inlineStr">
        <is>
          <t>Whenever this creature attacks or blocks, if you control another non-Human creature, this creature gets +1/+1 until end of turn. / Toda vez que Rastreador do Bosque Selvagem ataca ou bloqueia, se você controla outra criatura que não seja do tipo Humano, Rastreador do Bosque Selvagem recebe +1/+1 até o final do turno.</t>
        </is>
      </c>
      <c r="E3276" s="11" t="inlineStr">
        <is>
          <t>{G}</t>
        </is>
      </c>
      <c r="F3276" s="11" t="inlineStr">
        <is>
          <t>Verde</t>
        </is>
      </c>
      <c r="G3276" s="8" t="n">
        <v>0.25</v>
      </c>
      <c r="H3276" s="11" t="inlineStr">
        <is>
          <t>Throne of Eldraine (ELD)</t>
        </is>
      </c>
      <c r="I3276" s="11" t="inlineStr">
        <is>
          <t>Sim</t>
        </is>
      </c>
      <c r="J3276" s="11" t="n">
        <v>2019</v>
      </c>
      <c r="K3276" s="10" t="n">
        <v>46023</v>
      </c>
      <c r="L3276" s="11" t="n">
        <v>1</v>
      </c>
      <c r="M3276" s="8">
        <f>L3276*G3276</f>
        <v/>
      </c>
      <c r="P3276" s="9" t="n"/>
    </row>
    <row r="3277">
      <c r="A3277" s="11" t="inlineStr">
        <is>
          <t>Giant Growth / Crescimento Desenfreado</t>
        </is>
      </c>
      <c r="B3277" s="11" t="inlineStr">
        <is>
          <t>Instant / Mágica Instantânea</t>
        </is>
      </c>
      <c r="C3277" s="11" t="inlineStr">
        <is>
          <t>Common / Comum</t>
        </is>
      </c>
      <c r="D3277" s="11" t="inlineStr">
        <is>
          <t>Target creature gets +3/+3 until end of turn. / A criatura alvo recebe +3/+3 até o final do turno.</t>
        </is>
      </c>
      <c r="E3277" s="11" t="inlineStr">
        <is>
          <t>{G}</t>
        </is>
      </c>
      <c r="F3277" s="11" t="inlineStr">
        <is>
          <t>Verde</t>
        </is>
      </c>
      <c r="G3277" s="8" t="n">
        <v>0.39</v>
      </c>
      <c r="H3277" s="11" t="inlineStr">
        <is>
          <t>Foundations (FDN)</t>
        </is>
      </c>
      <c r="I3277" s="11" t="inlineStr">
        <is>
          <t>Sim</t>
        </is>
      </c>
      <c r="J3277" s="11" t="n">
        <v>2024</v>
      </c>
      <c r="L3277" s="11" t="n">
        <v>1</v>
      </c>
      <c r="M3277" s="8">
        <f>L3277*G3277</f>
        <v/>
      </c>
      <c r="P3277" s="9" t="n"/>
    </row>
    <row r="3278">
      <c r="A3278" s="11" t="inlineStr">
        <is>
          <t>Stampeding Scurryfoot</t>
        </is>
      </c>
      <c r="B3278" s="11" t="inlineStr">
        <is>
          <t>Creature — Mouse</t>
        </is>
      </c>
      <c r="C3278" s="11" t="inlineStr">
        <is>
          <t>Common / Comum</t>
        </is>
      </c>
      <c r="D3278" s="11" t="inlineStr">
        <is>
          <t>Exhaust — {3}{G}: Put a +1/+1 counter on this creature. Create a 3/3 green Elephant creature token. (Activate each exhaust ability only once.)</t>
        </is>
      </c>
      <c r="E3278" s="11" t="inlineStr">
        <is>
          <t>{G}</t>
        </is>
      </c>
      <c r="F3278" s="11" t="inlineStr">
        <is>
          <t>Verde</t>
        </is>
      </c>
      <c r="G3278" s="8" t="n">
        <v>0.23</v>
      </c>
      <c r="H3278" s="11" t="inlineStr">
        <is>
          <t>Aetherdrift (DFT)</t>
        </is>
      </c>
      <c r="I3278" s="11" t="inlineStr">
        <is>
          <t>Sim</t>
        </is>
      </c>
      <c r="J3278" s="11" t="n">
        <v>2025</v>
      </c>
      <c r="K3278" s="10" t="n">
        <v>46023</v>
      </c>
      <c r="L3278" s="11" t="n">
        <v>1</v>
      </c>
      <c r="M3278" s="8">
        <f>L3278*G3278</f>
        <v/>
      </c>
      <c r="P3278" s="9" t="n"/>
    </row>
    <row r="3279">
      <c r="A3279" s="11" t="inlineStr">
        <is>
          <t>Dwynen's Elite / Elite de Dwynen</t>
        </is>
      </c>
      <c r="B3279" s="11" t="inlineStr">
        <is>
          <t>Creature — Elf Warrior / Criatura — Elfo Guerreiro</t>
        </is>
      </c>
      <c r="C3279" s="11" t="inlineStr">
        <is>
          <t>Uncommon / Incomum</t>
        </is>
      </c>
      <c r="D3279" s="11" t="inlineStr">
        <is>
          <t>When this creature enters, if you control another Elf, create a 1/1 green Elf Warrior creature token. / Quando Elite de Dwynen entrar no campo de batalha, se você controlar outro Elfo, coloque no campo de batalha uma ficha de criatura verde 1/1 do tipo Elfo Guerreiro.</t>
        </is>
      </c>
      <c r="E3279" s="11" t="inlineStr">
        <is>
          <t>{1}{G}</t>
        </is>
      </c>
      <c r="F3279" s="11" t="inlineStr">
        <is>
          <t>Verde</t>
        </is>
      </c>
      <c r="G3279" s="8" t="n">
        <v>0.4</v>
      </c>
      <c r="H3279" s="11" t="inlineStr">
        <is>
          <t>Jumpstart (JMP)</t>
        </is>
      </c>
      <c r="I3279" s="11" t="inlineStr">
        <is>
          <t>Não</t>
        </is>
      </c>
      <c r="J3279" s="11" t="n">
        <v>2020</v>
      </c>
      <c r="K3279" s="10" t="n">
        <v>46055</v>
      </c>
      <c r="L3279" s="11" t="n">
        <v>1</v>
      </c>
      <c r="M3279" s="8">
        <f>L3279*G3279</f>
        <v/>
      </c>
      <c r="P3279" s="9" t="n"/>
    </row>
    <row r="3280">
      <c r="A3280" s="11" t="inlineStr">
        <is>
          <t>Krosan Tusker / Javali Krosano</t>
        </is>
      </c>
      <c r="B3280" s="11" t="inlineStr">
        <is>
          <t>Creature — Boar Beast / Criatura — Javali Besta</t>
        </is>
      </c>
      <c r="C3280" s="11" t="inlineStr">
        <is>
          <t>Common / Comum</t>
        </is>
      </c>
      <c r="D3280" s="11" t="inlineStr">
        <is>
          <t>Cycling {2}{G} ({2}{G}, Discard this card: Draw a card.) When you cycle this card, you may search your library for a basic land card, reveal that card, put it into your hand, then shuffle. (Do this before you draw.) / Reciclar {2}{G} ({2}{G}, descarte este card: Compre um card.) Quando você recicla Javali Krosano, você pode procurar um card de terreno básico em seu grimório, revelá-lo, colocá-lo em sua mão e depois embaralhar seu grimório. (Faça isso antes de comprar.)</t>
        </is>
      </c>
      <c r="E3280" s="11" t="inlineStr">
        <is>
          <t>{5}{G}{G}</t>
        </is>
      </c>
      <c r="F3280" s="11" t="inlineStr">
        <is>
          <t>Verde</t>
        </is>
      </c>
      <c r="G3280" s="8" t="n">
        <v>0.15</v>
      </c>
      <c r="H3280" s="11" t="inlineStr">
        <is>
          <t>Commander Masters (CMM)</t>
        </is>
      </c>
      <c r="I3280" s="11" t="inlineStr">
        <is>
          <t>Não</t>
        </is>
      </c>
      <c r="J3280" s="11" t="n">
        <v>2023</v>
      </c>
      <c r="K3280" s="10" t="n">
        <v>46148</v>
      </c>
      <c r="L3280" s="11" t="n">
        <v>1</v>
      </c>
      <c r="M3280" s="8">
        <f>L3280*G3280</f>
        <v/>
      </c>
      <c r="P3280" s="9" t="n"/>
    </row>
    <row r="3281">
      <c r="A3281" s="11" t="inlineStr">
        <is>
          <t>Crash of Rhino Beetles / Manada de Besourocerontes</t>
        </is>
      </c>
      <c r="B3281" s="11" t="inlineStr">
        <is>
          <t>Creature — Insect / Criatura — Inseto</t>
        </is>
      </c>
      <c r="C3281" s="11" t="inlineStr">
        <is>
          <t>Common / Comum</t>
        </is>
      </c>
      <c r="D3281" s="11" t="inlineStr">
        <is>
          <t>Trample This creature gets +10/+10 as long as you control ten or more lands. / Atropelar Manada de Besourocerontes receberá +10/+10 enquanto você controlar dez ou mais terrenos.</t>
        </is>
      </c>
      <c r="E3281" s="11" t="inlineStr">
        <is>
          <t>{4}{G}</t>
        </is>
      </c>
      <c r="F3281" s="11" t="inlineStr">
        <is>
          <t>Verde</t>
        </is>
      </c>
      <c r="G3281" s="8" t="n">
        <v>0.48</v>
      </c>
      <c r="H3281" s="11" t="inlineStr">
        <is>
          <t>Commander Masters (CMM)</t>
        </is>
      </c>
      <c r="I3281" s="11" t="inlineStr">
        <is>
          <t>Não</t>
        </is>
      </c>
      <c r="J3281" s="11" t="n">
        <v>2023</v>
      </c>
      <c r="K3281" s="10" t="n">
        <v>46147</v>
      </c>
      <c r="L3281" s="11" t="n">
        <v>1</v>
      </c>
      <c r="M3281" s="8">
        <f>L3281*G3281</f>
        <v/>
      </c>
      <c r="P3281" s="9" t="n"/>
    </row>
    <row r="3282">
      <c r="A3282" s="11" t="inlineStr">
        <is>
          <t>Pollenbright Druid / Druida do Pólen Brilhante</t>
        </is>
      </c>
      <c r="B3282" s="11" t="inlineStr">
        <is>
          <t>Creature — Elf Druid / Criatura — Elfo Druida</t>
        </is>
      </c>
      <c r="C3282" s="11" t="inlineStr">
        <is>
          <t>Common / Comum</t>
        </is>
      </c>
      <c r="D3282" s="11" t="inlineStr">
        <is>
          <t>When this creature enters, choose one —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3282" s="11" t="inlineStr">
        <is>
          <t>{1}{G}</t>
        </is>
      </c>
      <c r="F3282" s="11" t="inlineStr">
        <is>
          <t>Verde</t>
        </is>
      </c>
      <c r="G3282" s="8" t="n">
        <v>0.2</v>
      </c>
      <c r="H3282" s="11" t="inlineStr">
        <is>
          <t>Commander Masters (CMM)</t>
        </is>
      </c>
      <c r="I3282" s="11" t="inlineStr">
        <is>
          <t>Não</t>
        </is>
      </c>
      <c r="J3282" s="11" t="n">
        <v>2023</v>
      </c>
      <c r="K3282" s="10" t="n">
        <v>46023</v>
      </c>
      <c r="L3282" s="11" t="n">
        <v>1</v>
      </c>
      <c r="M3282" s="8">
        <f>L3282*G3282</f>
        <v/>
      </c>
      <c r="P3282" s="9" t="n"/>
    </row>
    <row r="3283">
      <c r="A3283" s="11" t="inlineStr">
        <is>
          <t>Nemata, Grove Guardian / Nemata, A Guardiã do Bosque</t>
        </is>
      </c>
      <c r="B3283" s="11" t="inlineStr">
        <is>
          <t>Legendary Creature — Treefolk / Criatura Lendária — Ent</t>
        </is>
      </c>
      <c r="C3283" s="11" t="inlineStr">
        <is>
          <t>Uncommon / Incomum</t>
        </is>
      </c>
      <c r="D3283" s="11" t="inlineStr">
        <is>
          <t>{2}{G}: Create a 1/1 green Saproling creature token. Sacrifice a Saproling: Saproling creatures get +1/+1 until end of turn. / {2}{G}: Crie uma ficha de criatura Saprófita verde 1/1. Sacrifique uma Saprófita: As criaturas Saprófitas recebem +1/+1 até o final do turno.</t>
        </is>
      </c>
      <c r="E3283" s="11" t="inlineStr">
        <is>
          <t>{4}{G}{G}</t>
        </is>
      </c>
      <c r="F3283" s="11" t="inlineStr">
        <is>
          <t>Verde</t>
        </is>
      </c>
      <c r="G3283" s="8" t="n">
        <v>0.5</v>
      </c>
      <c r="H3283" s="11" t="inlineStr">
        <is>
          <t>Commander Masters (CMM)</t>
        </is>
      </c>
      <c r="I3283" s="11" t="inlineStr">
        <is>
          <t>Não</t>
        </is>
      </c>
      <c r="J3283" s="11" t="n">
        <v>2023</v>
      </c>
      <c r="K3283" s="10" t="n">
        <v>46146</v>
      </c>
      <c r="L3283" s="11" t="n">
        <v>1</v>
      </c>
      <c r="M3283" s="8">
        <f>L3283*G3283</f>
        <v/>
      </c>
      <c r="P3283" s="9" t="n"/>
    </row>
    <row r="3284">
      <c r="A3284" s="11" t="inlineStr">
        <is>
          <t>Fungal Plots / Terrenos Fungais</t>
        </is>
      </c>
      <c r="B3284" s="11" t="inlineStr">
        <is>
          <t>Enchantment / Encantamento</t>
        </is>
      </c>
      <c r="C3284" s="11" t="inlineStr">
        <is>
          <t>Uncommon / Incomum</t>
        </is>
      </c>
      <c r="D3284" s="11" t="inlineStr">
        <is>
          <t>{1}{G}, Exile a creature card from your graveyard: Create a 1/1 green Saproling creature token. Sacrifice two Saprolings: You gain 2 life and draw a card. / {1}{G}, exile um card de criatura de seu cemitério: Crie uma ficha de criatura verde 1/1 do tipo Saprófita. Sacrifique duas Saprófitas: Você ganha 2 pontos de vida e compra um card.</t>
        </is>
      </c>
      <c r="E3284" s="11" t="inlineStr">
        <is>
          <t>{1}{G}</t>
        </is>
      </c>
      <c r="F3284" s="11" t="inlineStr">
        <is>
          <t>Verde</t>
        </is>
      </c>
      <c r="G3284" s="8" t="n">
        <v>0.23</v>
      </c>
      <c r="H3284" s="11" t="inlineStr">
        <is>
          <t>Commander Masters (CMM)</t>
        </is>
      </c>
      <c r="I3284" s="11" t="inlineStr">
        <is>
          <t>Não</t>
        </is>
      </c>
      <c r="J3284" s="11" t="n">
        <v>2023</v>
      </c>
      <c r="L3284" s="11" t="n">
        <v>1</v>
      </c>
      <c r="M3284" s="8">
        <f>L3284*G3284</f>
        <v/>
      </c>
      <c r="P3284" s="9" t="n"/>
    </row>
    <row r="3285">
      <c r="A3285" s="11" t="inlineStr">
        <is>
          <t>Night of the Sweets' Revenge / Noite da Vingança dos Doces</t>
        </is>
      </c>
      <c r="B3285" s="11" t="inlineStr">
        <is>
          <t>Enchantment / Encantamento</t>
        </is>
      </c>
      <c r="C3285" s="11" t="inlineStr">
        <is>
          <t>Uncommon / Incomum</t>
        </is>
      </c>
      <c r="D3285" s="11" t="inlineStr">
        <is>
          <t>When this enchantment enters, create a Food token. (It's an artifact with "{2}, {T}, Sacrifice this token: You gain 3 life.") Foods you control have "{T}: Add {G}." {5}{G}{G}, Sacrifice this enchantment: Creatures you control get +X/+X until end of turn, where X is the number of Foods you control. Activate only as a sorcery. / Quando Noite da Vingança dos Doces entrar no campo de batalha, crie uma ficha de Comida. (Ela é um artefato com "{2}, {T}, sacrifique este artefato: Você ganha 3 pontos de vida".) As Comidas que você controla têm "{T}: Adicione {G}". {5}{G}{G}, sacrifique Noite da Vingança dos Doces: As criaturas que você controla recebem +X/+X até o final do turno, sendo X o número de Comidas que você controla. Ative somente como um feitiço.</t>
        </is>
      </c>
      <c r="E3285" s="11" t="inlineStr">
        <is>
          <t>{3}{G}</t>
        </is>
      </c>
      <c r="F3285" s="11" t="inlineStr">
        <is>
          <t>Verde</t>
        </is>
      </c>
      <c r="G3285" s="8" t="n">
        <v>0.23</v>
      </c>
      <c r="H3285" s="11" t="inlineStr">
        <is>
          <t>Wilds of Eldraine (WOE)</t>
        </is>
      </c>
      <c r="I3285" s="11" t="inlineStr">
        <is>
          <t>Não</t>
        </is>
      </c>
      <c r="J3285" s="11" t="n">
        <v>2023</v>
      </c>
      <c r="L3285" s="11" t="n">
        <v>1</v>
      </c>
      <c r="M3285" s="8">
        <f>L3285*G3285</f>
        <v/>
      </c>
      <c r="P3285" s="9" t="n"/>
    </row>
    <row r="3286">
      <c r="A3286" s="11" t="inlineStr">
        <is>
          <t>Manifest Dread</t>
        </is>
      </c>
      <c r="B3286" s="11" t="inlineStr">
        <is>
          <t>Sorcery</t>
        </is>
      </c>
      <c r="C3286" s="11" t="inlineStr">
        <is>
          <t>Common / Comum</t>
        </is>
      </c>
      <c r="D3286" s="11" t="inlineStr">
        <is>
          <t>Manifest dread. (Look at the top two cards of your library. Put one onto the battlefield face down as a 2/2 creature and the other into your graveyard. Turn it face up any time for its mana cost if it's a creature card.)</t>
        </is>
      </c>
      <c r="E3286" s="11" t="inlineStr">
        <is>
          <t>{1}{G}</t>
        </is>
      </c>
      <c r="F3286" s="11" t="inlineStr">
        <is>
          <t>Verde</t>
        </is>
      </c>
      <c r="G3286" s="8" t="n">
        <v>0.05</v>
      </c>
      <c r="H3286" s="11" t="inlineStr">
        <is>
          <t>Duskmourn: House of Horror (DSK)</t>
        </is>
      </c>
      <c r="I3286" s="11" t="inlineStr">
        <is>
          <t>Não</t>
        </is>
      </c>
      <c r="J3286" s="11" t="n">
        <v>2024</v>
      </c>
      <c r="L3286" s="11" t="n">
        <v>1</v>
      </c>
      <c r="M3286" s="8">
        <f>L3286*G3286</f>
        <v/>
      </c>
      <c r="P3286" s="9" t="n"/>
    </row>
    <row r="3287">
      <c r="A3287" s="11" t="inlineStr">
        <is>
          <t>Beast-Kin Ranger</t>
        </is>
      </c>
      <c r="B3287" s="11" t="inlineStr">
        <is>
          <t>Creature — Elf Ranger</t>
        </is>
      </c>
      <c r="C3287" s="11" t="inlineStr">
        <is>
          <t>Common / Comum</t>
        </is>
      </c>
      <c r="D3287" s="11" t="inlineStr">
        <is>
          <t>Trample (This creature can deal excess combat damage to the player or planeswalker it's attacking.) Whenever another creature you control enters, this creature gets +1/+0 until end of turn.</t>
        </is>
      </c>
      <c r="E3287" s="11" t="inlineStr">
        <is>
          <t>{2}{G}</t>
        </is>
      </c>
      <c r="F3287" s="11" t="inlineStr">
        <is>
          <t>Verde</t>
        </is>
      </c>
      <c r="G3287" s="8" t="n">
        <v>0.09</v>
      </c>
      <c r="H3287" s="11" t="inlineStr">
        <is>
          <t>Foundations (FDN)</t>
        </is>
      </c>
      <c r="I3287" s="11" t="inlineStr">
        <is>
          <t>Não</t>
        </is>
      </c>
      <c r="J3287" s="11" t="n">
        <v>2024</v>
      </c>
      <c r="K3287" s="10" t="n">
        <v>46084</v>
      </c>
      <c r="L3287" s="11" t="n">
        <v>1</v>
      </c>
      <c r="M3287" s="8">
        <f>L3287*G3287</f>
        <v/>
      </c>
      <c r="P3287" s="9" t="n"/>
    </row>
    <row r="3288">
      <c r="A3288" s="11" t="inlineStr">
        <is>
          <t>Wary Thespian / Ator Desconfiado</t>
        </is>
      </c>
      <c r="B3288" s="11" t="inlineStr">
        <is>
          <t>Creature — Cat Druid / Criatura — Felino Druida</t>
        </is>
      </c>
      <c r="C3288" s="11" t="inlineStr">
        <is>
          <t>Common / Comum</t>
        </is>
      </c>
      <c r="D3288" s="11" t="inlineStr">
        <is>
          <t>When this creature enters or dies, surveil 1. (Look at the top card of your library. You may put it into your graveyard.) / Quando Ator Desconfiado entrar no campo de batalha ou morrer, use vigiar 1. (Olhe o card do topo de seu grimório. Você pode colocar aquele card em seu cemitério.)</t>
        </is>
      </c>
      <c r="E3288" s="11" t="inlineStr">
        <is>
          <t>{1}{G}</t>
        </is>
      </c>
      <c r="F3288" s="11" t="inlineStr">
        <is>
          <t>Verde</t>
        </is>
      </c>
      <c r="G3288" s="8" t="n">
        <v>0.05</v>
      </c>
      <c r="H3288" s="11" t="inlineStr">
        <is>
          <t>Foundations (FDN)</t>
        </is>
      </c>
      <c r="I3288" s="11" t="inlineStr">
        <is>
          <t>Não</t>
        </is>
      </c>
      <c r="J3288" s="11" t="n">
        <v>2024</v>
      </c>
      <c r="K3288" s="10" t="n">
        <v>46025</v>
      </c>
      <c r="L3288" s="11" t="n">
        <v>1</v>
      </c>
      <c r="M3288" s="8">
        <f>L3288*G3288</f>
        <v/>
      </c>
      <c r="P3288" s="9" t="n"/>
    </row>
    <row r="3289">
      <c r="A3289" s="11" t="inlineStr">
        <is>
          <t>Flesh Burrower</t>
        </is>
      </c>
      <c r="B3289" s="11" t="inlineStr">
        <is>
          <t>Creature — Insect</t>
        </is>
      </c>
      <c r="C3289" s="11" t="inlineStr">
        <is>
          <t>Common / Comum</t>
        </is>
      </c>
      <c r="D3289" s="11" t="inlineStr">
        <is>
          <t>Deathtouch Whenever this creature attacks, another target creature you control gains deathtouch until end of turn.</t>
        </is>
      </c>
      <c r="E3289" s="11" t="inlineStr">
        <is>
          <t>{1}{G}</t>
        </is>
      </c>
      <c r="F3289" s="11" t="inlineStr">
        <is>
          <t>Verde</t>
        </is>
      </c>
      <c r="G3289" s="8" t="n">
        <v>0.05</v>
      </c>
      <c r="H3289" s="11" t="inlineStr">
        <is>
          <t>Duskmourn: House of Horror (DSK)</t>
        </is>
      </c>
      <c r="I3289" s="11" t="inlineStr">
        <is>
          <t>Não</t>
        </is>
      </c>
      <c r="J3289" s="11" t="n">
        <v>2024</v>
      </c>
      <c r="K3289" s="10" t="n">
        <v>46055</v>
      </c>
      <c r="L3289" s="11" t="n">
        <v>1</v>
      </c>
      <c r="M3289" s="8">
        <f>L3289*G3289</f>
        <v/>
      </c>
      <c r="P3289" s="9" t="n"/>
    </row>
    <row r="3290">
      <c r="A3290" s="11" t="inlineStr">
        <is>
          <t>Monstrous Emergence</t>
        </is>
      </c>
      <c r="B3290" s="11" t="inlineStr">
        <is>
          <t>Sorcery</t>
        </is>
      </c>
      <c r="C3290" s="11" t="inlineStr">
        <is>
          <t>Common / Comum</t>
        </is>
      </c>
      <c r="D3290" s="11" t="inlineStr">
        <is>
          <t>As an additional cost to cast this spell, choose a creature you control or reveal a creature card from your hand. Monstrous Emergence deals damage equal to the power of the creature you chose or the card you revealed to target creature.</t>
        </is>
      </c>
      <c r="E3290" s="11" t="inlineStr">
        <is>
          <t>{1}{G}</t>
        </is>
      </c>
      <c r="F3290" s="11" t="inlineStr">
        <is>
          <t>Verde</t>
        </is>
      </c>
      <c r="G3290" s="8" t="n">
        <v>0.15</v>
      </c>
      <c r="H3290" s="11" t="inlineStr">
        <is>
          <t>Duskmourn: House of Horror (DSK)</t>
        </is>
      </c>
      <c r="I3290" s="11" t="inlineStr">
        <is>
          <t>Não</t>
        </is>
      </c>
      <c r="J3290" s="11" t="n">
        <v>2024</v>
      </c>
      <c r="L3290" s="11" t="n">
        <v>1</v>
      </c>
      <c r="M3290" s="8">
        <f>L3290*G3290</f>
        <v/>
      </c>
      <c r="P3290" s="9" t="n"/>
    </row>
    <row r="3291">
      <c r="A3291" s="11" t="inlineStr">
        <is>
          <t>Aim High / Mirar Alto</t>
        </is>
      </c>
      <c r="B3291" s="11" t="inlineStr">
        <is>
          <t>Instant / Mágica Instantânea</t>
        </is>
      </c>
      <c r="C3291" s="11" t="inlineStr">
        <is>
          <t>Common / Comum</t>
        </is>
      </c>
      <c r="D3291" s="11" t="inlineStr">
        <is>
          <t>Untap target creature. It gets +2/+2 and gains reach until end of turn. / Desvire a criatura alvo. Ela recebe +2/+2 e ganha alcance até o final do turno. (Ela pode bloquear criaturas com voar.)</t>
        </is>
      </c>
      <c r="E3291" s="11" t="inlineStr">
        <is>
          <t>{1}{G}</t>
        </is>
      </c>
      <c r="F3291" s="11" t="inlineStr">
        <is>
          <t>Verde</t>
        </is>
      </c>
      <c r="G3291" s="8" t="n">
        <v>0.05</v>
      </c>
      <c r="H3291" s="11" t="inlineStr">
        <is>
          <t>Innistrad Remastered (INR)</t>
        </is>
      </c>
      <c r="I3291" s="11" t="inlineStr">
        <is>
          <t>Não</t>
        </is>
      </c>
      <c r="J3291" s="11" t="n">
        <v>2025</v>
      </c>
      <c r="L3291" s="11" t="n">
        <v>1</v>
      </c>
      <c r="M3291" s="8">
        <f>L3291*G3291</f>
        <v/>
      </c>
      <c r="P3291" s="9" t="n"/>
    </row>
    <row r="3292">
      <c r="A3292" s="11" t="inlineStr">
        <is>
          <t>Thornweald Archer / Arqueiro de Espinoflora</t>
        </is>
      </c>
      <c r="B3292" s="11" t="inlineStr">
        <is>
          <t>Creature — Elf Archer / Criatura — Elfo Arqueiro</t>
        </is>
      </c>
      <c r="C3292" s="11" t="inlineStr">
        <is>
          <t>Common / Comum</t>
        </is>
      </c>
      <c r="D3292" s="11" t="inlineStr">
        <is>
          <t>Reach (This creature can block creatures with flying.) Deathtouch (Any amount of damage this deals to a creature is enough to destroy it.) / Alcance, toque mortífero</t>
        </is>
      </c>
      <c r="E3292" s="11" t="inlineStr">
        <is>
          <t>{1}{G}</t>
        </is>
      </c>
      <c r="F3292" s="11" t="inlineStr">
        <is>
          <t>Verde</t>
        </is>
      </c>
      <c r="G3292" s="8" t="n">
        <v>0.2</v>
      </c>
      <c r="H3292" s="11" t="inlineStr">
        <is>
          <t>Commander 2014 (C14)</t>
        </is>
      </c>
      <c r="I3292" s="11" t="inlineStr">
        <is>
          <t>Não</t>
        </is>
      </c>
      <c r="J3292" s="11" t="n">
        <v>2014</v>
      </c>
      <c r="K3292" s="10" t="n">
        <v>46024</v>
      </c>
      <c r="L3292" s="11" t="n">
        <v>1</v>
      </c>
      <c r="M3292" s="8">
        <f>L3292*G3292</f>
        <v/>
      </c>
      <c r="P3292" s="9" t="n"/>
    </row>
    <row r="3293">
      <c r="A3293" s="11" t="inlineStr">
        <is>
          <t>Cautious Survivor</t>
        </is>
      </c>
      <c r="B3293" s="11" t="inlineStr">
        <is>
          <t>Creature — Elf Survivor</t>
        </is>
      </c>
      <c r="C3293" s="11" t="inlineStr">
        <is>
          <t>Common / Comum</t>
        </is>
      </c>
      <c r="D3293" s="11" t="inlineStr">
        <is>
          <t>Survival — At the beginning of your second main phase, if this creature is tapped, you gain 2 life.</t>
        </is>
      </c>
      <c r="E3293" s="11" t="inlineStr">
        <is>
          <t>{3}{G}</t>
        </is>
      </c>
      <c r="F3293" s="11" t="inlineStr">
        <is>
          <t>Verde</t>
        </is>
      </c>
      <c r="G3293" s="8" t="n">
        <v>0.05</v>
      </c>
      <c r="H3293" s="11" t="inlineStr">
        <is>
          <t>Duskmourn: House of Horror (DSK)</t>
        </is>
      </c>
      <c r="I3293" s="11" t="inlineStr">
        <is>
          <t>Não</t>
        </is>
      </c>
      <c r="J3293" s="11" t="n">
        <v>2024</v>
      </c>
      <c r="K3293" s="10" t="n">
        <v>46116</v>
      </c>
      <c r="L3293" s="11" t="n">
        <v>1</v>
      </c>
      <c r="M3293" s="8">
        <f>L3293*G3293</f>
        <v/>
      </c>
      <c r="P3293" s="9" t="n"/>
    </row>
    <row r="3294">
      <c r="A3294" s="11" t="inlineStr">
        <is>
          <t>Luxurious Locomotive / Locomotiva Luxuosa</t>
        </is>
      </c>
      <c r="B3294" s="11" t="inlineStr">
        <is>
          <t>Artifact — Vehicle / Artefato — Veículo</t>
        </is>
      </c>
      <c r="C3294" s="11" t="inlineStr">
        <is>
          <t>Uncommon / Incomum</t>
        </is>
      </c>
      <c r="D3294" s="11" t="inlineStr">
        <is>
          <t>Whenever this Vehicle attacks, create a Treasure token for each creature that crewed it this turn. (They're artifacts with "{T}, Sacrifice this token: Add one mana of any color.") Crew 1. Activate only once each turn. (Tap any number of creatures you control with total power 1 or more: This Vehicle becomes an artifact creature until end of turn.) / Toda vez que Locomotiva Luxuosa atacar, crie uma ficha de Tesouro por cada criatura que a tripulou neste turno. (Elas são artefatos com "{T}, sacrifique este artefato: Adicione um mana de qualquer cor".) Tripular 1. Ative apenas uma vez a cada turno. (Vire qualquer número de criaturas que você controla com total de poder igual ou superior a 1: Este Veículo torna-se uma criatura artefato até o final do turno.)</t>
        </is>
      </c>
      <c r="E3294" s="11" t="inlineStr">
        <is>
          <t>{5}</t>
        </is>
      </c>
      <c r="F3294" s="11" t="inlineStr">
        <is>
          <t>Incolor</t>
        </is>
      </c>
      <c r="G3294" s="8" t="n">
        <v>0.1</v>
      </c>
      <c r="H3294" s="11" t="inlineStr">
        <is>
          <t>Outlaws of Thunder Junction (OTJ)</t>
        </is>
      </c>
      <c r="I3294" s="11" t="inlineStr">
        <is>
          <t>Não</t>
        </is>
      </c>
      <c r="J3294" s="11" t="n">
        <v>2024</v>
      </c>
      <c r="K3294" s="10" t="n">
        <v>46148</v>
      </c>
      <c r="L3294" s="11" t="n">
        <v>1</v>
      </c>
      <c r="M3294" s="8">
        <f>L3294*G3294</f>
        <v/>
      </c>
      <c r="P3294" s="9" t="n"/>
    </row>
    <row r="3295">
      <c r="A3295" s="11" t="inlineStr">
        <is>
          <t>Prized Statue / Estátua Cobiçada</t>
        </is>
      </c>
      <c r="B3295" s="11" t="inlineStr">
        <is>
          <t>Artifact / Artefato</t>
        </is>
      </c>
      <c r="C3295" s="11" t="inlineStr">
        <is>
          <t>Common / Comum</t>
        </is>
      </c>
      <c r="D3295" s="11" t="inlineStr">
        <is>
          <t>When this artifact enters or is put into a graveyard from the battlefield, create a Treasure token. (It's an artifact with "{T}, Sacrifice this token: Add one mana of any color.") / Quando Estátua Cobiçada entrar no campo de batalha ou for colocada num cemitério vinda do campo de batalha, crie uma ficha de Tesouro. (Ela é um artefato com "{T}, sacrifique este artefato: Adicione um mana de qualquer cor".)</t>
        </is>
      </c>
      <c r="E3295" s="11" t="inlineStr">
        <is>
          <t>{2}</t>
        </is>
      </c>
      <c r="F3295" s="11" t="inlineStr">
        <is>
          <t>Incolor</t>
        </is>
      </c>
      <c r="G3295" s="8" t="n">
        <v>1.69</v>
      </c>
      <c r="H3295" s="11" t="inlineStr">
        <is>
          <t>Commander Legends: Battle for Baldur's Gate (CLB)</t>
        </is>
      </c>
      <c r="I3295" s="11" t="inlineStr">
        <is>
          <t>Não</t>
        </is>
      </c>
      <c r="J3295" s="11" t="n">
        <v>2022</v>
      </c>
      <c r="L3295" s="11" t="n">
        <v>1</v>
      </c>
      <c r="M3295" s="8">
        <f>L3295*G3295</f>
        <v/>
      </c>
      <c r="N3295" s="11" t="inlineStr">
        <is>
          <t>Pasta</t>
        </is>
      </c>
      <c r="P3295" s="9" t="n"/>
    </row>
    <row r="3296">
      <c r="A3296" s="11" t="inlineStr">
        <is>
          <t>Gleaming Barrier / Barreira Reluzente</t>
        </is>
      </c>
      <c r="B3296" s="11" t="inlineStr">
        <is>
          <t>Artifact Creature — Wall / Criatura Artefato — Barreira</t>
        </is>
      </c>
      <c r="C3296" s="11" t="inlineStr">
        <is>
          <t>Common / Comum</t>
        </is>
      </c>
      <c r="D3296" s="11" t="inlineStr">
        <is>
          <t>Defender When this creature dies, create a Treasure token. (It's an artifact with "{T}, Sacrifice this token: Add one mana of any color.") / Defensor Quando Barreira Reluzente morrer, crie uma ficha de artefato incolor do tipo Tesouro com "{T}, sacrifique este artefato: Adicione um mana de qualquer cor à sua reserva de mana."</t>
        </is>
      </c>
      <c r="E3296" s="11" t="inlineStr">
        <is>
          <t>{2}</t>
        </is>
      </c>
      <c r="F3296" s="11" t="inlineStr">
        <is>
          <t>Incolor</t>
        </is>
      </c>
      <c r="G3296" s="8" t="n">
        <v>0.05</v>
      </c>
      <c r="H3296" s="11" t="inlineStr">
        <is>
          <t>Foundations (FDN)</t>
        </is>
      </c>
      <c r="I3296" s="11" t="inlineStr">
        <is>
          <t>Não</t>
        </is>
      </c>
      <c r="J3296" s="11" t="n">
        <v>2024</v>
      </c>
      <c r="K3296" s="11" t="inlineStr">
        <is>
          <t>0/4</t>
        </is>
      </c>
      <c r="L3296" s="11" t="n">
        <v>1</v>
      </c>
      <c r="M3296" s="8">
        <f>L3296*G3296</f>
        <v/>
      </c>
      <c r="P3296" s="9" t="n"/>
    </row>
    <row r="3297">
      <c r="A3297" s="11" t="inlineStr">
        <is>
          <t>Blood Servitor / Serviçal de Sangue</t>
        </is>
      </c>
      <c r="B3297" s="11" t="inlineStr">
        <is>
          <t>Artifact Creature — Construct / Criatura Artefato — Constructo</t>
        </is>
      </c>
      <c r="C3297" s="11" t="inlineStr">
        <is>
          <t>Common / Comum</t>
        </is>
      </c>
      <c r="D3297" s="11" t="inlineStr">
        <is>
          <t>When this creature enters, create a Blood token. (It's an artifact with "{1}, {T}, Discard a card, Sacrifice this token: Draw a card.") / Quando Serviçal de Sangue entrar no campo de batalha, crie uma ficha de Sangue. (Ela é um artefato com "{1}, {T}, descarte um card, sacrifique este artefato: Compre um card".)</t>
        </is>
      </c>
      <c r="E3297" s="11" t="inlineStr">
        <is>
          <t>{3}</t>
        </is>
      </c>
      <c r="F3297" s="11" t="inlineStr">
        <is>
          <t>Incolor</t>
        </is>
      </c>
      <c r="G3297" s="8" t="n">
        <v>0.05</v>
      </c>
      <c r="H3297" s="11" t="inlineStr">
        <is>
          <t>Innistrad: Crimson Vow (VOW)</t>
        </is>
      </c>
      <c r="I3297" s="11" t="inlineStr">
        <is>
          <t>Não</t>
        </is>
      </c>
      <c r="J3297" s="11" t="n">
        <v>2021</v>
      </c>
      <c r="K3297" s="10" t="n">
        <v>46055</v>
      </c>
      <c r="L3297" s="11" t="n">
        <v>1</v>
      </c>
      <c r="M3297" s="8">
        <f>L3297*G3297</f>
        <v/>
      </c>
      <c r="P3297" s="9" t="n"/>
    </row>
    <row r="3298">
      <c r="A3298" s="11" t="inlineStr">
        <is>
          <t>Aetherjacket</t>
        </is>
      </c>
      <c r="B3298" s="11" t="inlineStr">
        <is>
          <t>Artifact Creature — Thopter</t>
        </is>
      </c>
      <c r="C3298" s="11" t="inlineStr">
        <is>
          <t>Common / Comum</t>
        </is>
      </c>
      <c r="D3298" s="11" t="inlineStr">
        <is>
          <t>Flying, vigilance {2}, {T}, Sacrifice this creature: Destroy another target artifact. Activate only as a sorcery.</t>
        </is>
      </c>
      <c r="E3298" s="11" t="inlineStr">
        <is>
          <t>{3}</t>
        </is>
      </c>
      <c r="F3298" s="11" t="inlineStr">
        <is>
          <t>Incolor</t>
        </is>
      </c>
      <c r="G3298" s="8" t="n">
        <v>0.05</v>
      </c>
      <c r="H3298" s="11" t="inlineStr">
        <is>
          <t>Aetherdrift (DFT)</t>
        </is>
      </c>
      <c r="I3298" s="11" t="inlineStr">
        <is>
          <t>Não</t>
        </is>
      </c>
      <c r="J3298" s="11" t="n">
        <v>2025</v>
      </c>
      <c r="K3298" s="10" t="n">
        <v>46024</v>
      </c>
      <c r="L3298" s="11" t="n">
        <v>1</v>
      </c>
      <c r="M3298" s="8">
        <f>L3298*G3298</f>
        <v/>
      </c>
      <c r="P3298" s="9" t="n"/>
    </row>
    <row r="3299">
      <c r="A3299" s="11" t="inlineStr">
        <is>
          <t>Scrabbling Claws / Garras Esmiuçadoras</t>
        </is>
      </c>
      <c r="B3299" s="11" t="inlineStr">
        <is>
          <t>Artifact / Artefato</t>
        </is>
      </c>
      <c r="C3299" s="11" t="inlineStr">
        <is>
          <t>Uncommon / Incomum</t>
        </is>
      </c>
      <c r="D3299" s="11" t="inlineStr">
        <is>
          <t>{T}: Target player exiles a card from their graveyard. {1}, Sacrifice this artifact: Exile target card from a graveyard. Draw a card. / {T}: O jogador alvo exila um card do próprio cemitério. {1}, sacrifique Garras Esmiuçadoras: Exile o card alvo de um cemitério. Compre um card.</t>
        </is>
      </c>
      <c r="E3299" s="11" t="inlineStr">
        <is>
          <t>{1}</t>
        </is>
      </c>
      <c r="F3299" s="11" t="inlineStr">
        <is>
          <t>Incolor</t>
        </is>
      </c>
      <c r="G3299" s="8" t="n">
        <v>0.06</v>
      </c>
      <c r="H3299" s="11" t="inlineStr">
        <is>
          <t>Ravnica Allegiance (RNA)</t>
        </is>
      </c>
      <c r="I3299" s="11" t="inlineStr">
        <is>
          <t>Não</t>
        </is>
      </c>
      <c r="J3299" s="11" t="n">
        <v>2019</v>
      </c>
      <c r="L3299" s="11" t="n">
        <v>1</v>
      </c>
      <c r="M3299" s="8">
        <f>L3299*G3299</f>
        <v/>
      </c>
      <c r="P3299" s="9" t="n"/>
    </row>
    <row r="3300">
      <c r="A3300" s="11" t="inlineStr">
        <is>
          <t>Malevolent Chandelier</t>
        </is>
      </c>
      <c r="B3300" s="11" t="inlineStr">
        <is>
          <t>Artifact Creature — Construct</t>
        </is>
      </c>
      <c r="C3300" s="11" t="inlineStr">
        <is>
          <t>Common / Comum</t>
        </is>
      </c>
      <c r="D3300" s="11" t="inlineStr">
        <is>
          <t>Flying {2}: Put target card from a graveyard on the bottom of its owner's library. Activate only as a sorcery.</t>
        </is>
      </c>
      <c r="E3300" s="11" t="inlineStr">
        <is>
          <t>{6}</t>
        </is>
      </c>
      <c r="F3300" s="11" t="inlineStr">
        <is>
          <t>Incolor</t>
        </is>
      </c>
      <c r="G3300" s="8" t="n">
        <v>0.03</v>
      </c>
      <c r="H3300" s="11" t="inlineStr">
        <is>
          <t>Duskmourn: House of Horror (DSK)</t>
        </is>
      </c>
      <c r="I3300" s="11" t="inlineStr">
        <is>
          <t>Não</t>
        </is>
      </c>
      <c r="J3300" s="11" t="n">
        <v>2024</v>
      </c>
      <c r="K3300" s="10" t="n">
        <v>46116</v>
      </c>
      <c r="L3300" s="11" t="n">
        <v>1</v>
      </c>
      <c r="M3300" s="8">
        <f>L3300*G3300</f>
        <v/>
      </c>
      <c r="P3300" s="9" t="n"/>
    </row>
    <row r="3301">
      <c r="A3301" s="11" t="inlineStr">
        <is>
          <t>Clockwork Hydra / Hidra Mecânica</t>
        </is>
      </c>
      <c r="B3301" s="11" t="inlineStr">
        <is>
          <t>Artifact Creature — Hydra / Criatura Artefato — Hidra</t>
        </is>
      </c>
      <c r="C3301" s="11" t="inlineStr">
        <is>
          <t>Uncommon / Incomum</t>
        </is>
      </c>
      <c r="D3301" s="11" t="inlineStr">
        <is>
          <t>This creature enters with four +1/+1 counters on it. Whenever this creature attacks or blocks, remove a +1/+1 counter from it. If you do, it deals 1 damage to any target. {T}: Put a +1/+1 counter on this creature. / Hidra Mecânica entra no campo de batalha com quatro marcadores +1/+1. Toda vez que Hidra Mecânica atacar ou bloquear, remova um marcador +1/+1 dela. Se fizer isso, Hidra Mecânica causará 1 ponto de dano a qualquer alvo. {T}: Coloque um marcador +1/+1 em Hidra Mecânica.</t>
        </is>
      </c>
      <c r="E3301" s="11" t="inlineStr">
        <is>
          <t>{5}</t>
        </is>
      </c>
      <c r="F3301" s="11" t="inlineStr">
        <is>
          <t>Incolor</t>
        </is>
      </c>
      <c r="G3301" s="8" t="n">
        <v>0.15</v>
      </c>
      <c r="H3301" s="11" t="inlineStr">
        <is>
          <t>Jumpstart 2022 (J22)</t>
        </is>
      </c>
      <c r="I3301" s="11" t="inlineStr">
        <is>
          <t>Não</t>
        </is>
      </c>
      <c r="J3301" s="11" t="n">
        <v>2022</v>
      </c>
      <c r="K3301" s="11" t="inlineStr">
        <is>
          <t>0/0</t>
        </is>
      </c>
      <c r="L3301" s="11" t="n">
        <v>1</v>
      </c>
      <c r="M3301" s="8">
        <f>L3301*G3301</f>
        <v/>
      </c>
      <c r="P3301" s="9" t="n"/>
    </row>
    <row r="3302">
      <c r="A3302" s="11" t="inlineStr">
        <is>
          <t>Marshals' Pathcruiser</t>
        </is>
      </c>
      <c r="B3302" s="11" t="inlineStr">
        <is>
          <t>Artifact — Vehicle</t>
        </is>
      </c>
      <c r="C3302" s="11" t="inlineStr">
        <is>
          <t>Uncommon / Incomum</t>
        </is>
      </c>
      <c r="D3302" s="11" t="inlineStr">
        <is>
          <t>When this Vehicle enters, search your library for a basic land card, reveal it, put it into your hand, then shuffle. Exhaust — {W}{U}{B}{R}{G}: This Vehicle becomes an artifact creature. Put two +1/+1 counters on it. (Activate each exhaust ability only once.) Crew 5</t>
        </is>
      </c>
      <c r="E3302" s="11" t="inlineStr">
        <is>
          <t>{3}</t>
        </is>
      </c>
      <c r="F3302" s="11" t="inlineStr">
        <is>
          <t>Preto, Verde, Vermelho, Azul, Branco</t>
        </is>
      </c>
      <c r="G3302" s="8" t="n">
        <v>0.15</v>
      </c>
      <c r="H3302" s="11" t="inlineStr">
        <is>
          <t>Aetherdrift (DFT)</t>
        </is>
      </c>
      <c r="I3302" s="11" t="inlineStr">
        <is>
          <t>Não</t>
        </is>
      </c>
      <c r="J3302" s="11" t="n">
        <v>2025</v>
      </c>
      <c r="K3302" s="10" t="n">
        <v>46148</v>
      </c>
      <c r="L3302" s="11" t="n">
        <v>2</v>
      </c>
      <c r="M3302" s="8">
        <f>L3302*G3302</f>
        <v/>
      </c>
      <c r="P3302" s="9" t="n"/>
    </row>
    <row r="3303">
      <c r="A3303" s="11" t="inlineStr">
        <is>
          <t>Walking Sarcophagus</t>
        </is>
      </c>
      <c r="B3303" s="11" t="inlineStr">
        <is>
          <t>Artifact Creature — Zombie Cat</t>
        </is>
      </c>
      <c r="C3303" s="11" t="inlineStr">
        <is>
          <t>Common / Comum</t>
        </is>
      </c>
      <c r="D3303" s="11" t="inlineStr">
        <is>
          <t>Start your engines! (If you have no speed, it starts at 1. It increases once on each of your turns when an opponent loses life. Max speed is 4.) Max speed — This creature gets +1/+2.</t>
        </is>
      </c>
      <c r="E3303" s="11" t="inlineStr">
        <is>
          <t>{2}</t>
        </is>
      </c>
      <c r="F3303" s="11" t="inlineStr">
        <is>
          <t>Incolor</t>
        </is>
      </c>
      <c r="G3303" s="8" t="n">
        <v>0.1</v>
      </c>
      <c r="H3303" s="11" t="inlineStr">
        <is>
          <t>Aetherdrift (DFT)</t>
        </is>
      </c>
      <c r="I3303" s="11" t="inlineStr">
        <is>
          <t>Não</t>
        </is>
      </c>
      <c r="J3303" s="11" t="n">
        <v>2025</v>
      </c>
      <c r="K3303" s="10" t="n">
        <v>46024</v>
      </c>
      <c r="L3303" s="11" t="n">
        <v>1</v>
      </c>
      <c r="M3303" s="8">
        <f>L3303*G3303</f>
        <v/>
      </c>
      <c r="P3303" s="9" t="n"/>
    </row>
    <row r="3304">
      <c r="A3304" s="11" t="inlineStr">
        <is>
          <t>Sorcerer's Broom / Vassoura do Feiticeiro</t>
        </is>
      </c>
      <c r="B3304" s="11" t="inlineStr">
        <is>
          <t>Artifact Creature — Spirit / Criatura Artefato — Espírito</t>
        </is>
      </c>
      <c r="C3304" s="11" t="inlineStr">
        <is>
          <t>Uncommon / Incomum</t>
        </is>
      </c>
      <c r="D3304" s="11" t="inlineStr">
        <is>
          <t>Whenever you sacrifice another permanent, you may pay {3}. If you do, create a token that's a copy of this creature. / Toda vez que sacrifica outra permanente, você pode pagar {3}. Se fizer isso, crie uma ficha que seja uma cópia de Vassoura do Feiticeiro.</t>
        </is>
      </c>
      <c r="E3304" s="11" t="inlineStr">
        <is>
          <t>{2}</t>
        </is>
      </c>
      <c r="F3304" s="11" t="inlineStr">
        <is>
          <t>Incolor</t>
        </is>
      </c>
      <c r="G3304" s="8" t="n">
        <v>0.09</v>
      </c>
      <c r="H3304" s="11" t="inlineStr">
        <is>
          <t>Throne of Eldraine (ELD)</t>
        </is>
      </c>
      <c r="I3304" s="11" t="inlineStr">
        <is>
          <t>Não</t>
        </is>
      </c>
      <c r="J3304" s="11" t="n">
        <v>2019</v>
      </c>
      <c r="K3304" s="10" t="n">
        <v>46024</v>
      </c>
      <c r="L3304" s="11" t="n">
        <v>1</v>
      </c>
      <c r="M3304" s="8">
        <f>L3304*G3304</f>
        <v/>
      </c>
      <c r="P3304" s="9" t="n"/>
    </row>
    <row r="3305">
      <c r="A3305" s="11" t="inlineStr">
        <is>
          <t>Scuttling Butler / Mordomo dos Passos Rápidos</t>
        </is>
      </c>
      <c r="B3305" s="11" t="inlineStr">
        <is>
          <t>Artifact Creature — Construct / Criatura Artefato — Constructo</t>
        </is>
      </c>
      <c r="C3305" s="11" t="inlineStr">
        <is>
          <t>Uncommon / Incomum</t>
        </is>
      </c>
      <c r="D3305" s="11" t="inlineStr">
        <is>
          <t>At the beginning of combat on your turn, if you control two or more multicolored permanents, this creature gains double strike until end of turn. / No início do combate no seu turno, se você controla duas ou mais permanentes multicoloridas, Mordomo dos Passos Rápidos ganha golpe duplo até o final do turno.</t>
        </is>
      </c>
      <c r="E3305" s="11" t="inlineStr">
        <is>
          <t>{3}</t>
        </is>
      </c>
      <c r="F3305" s="11" t="inlineStr">
        <is>
          <t>Incolor</t>
        </is>
      </c>
      <c r="G3305" s="8" t="n">
        <v>0.04</v>
      </c>
      <c r="H3305" s="11" t="inlineStr">
        <is>
          <t>Streets of New Capenna (SNC)</t>
        </is>
      </c>
      <c r="I3305" s="11" t="inlineStr">
        <is>
          <t>Não</t>
        </is>
      </c>
      <c r="J3305" s="11" t="n">
        <v>2022</v>
      </c>
      <c r="K3305" s="10" t="n">
        <v>46026</v>
      </c>
      <c r="L3305" s="11" t="n">
        <v>1</v>
      </c>
      <c r="M3305" s="8">
        <f>L3305*G3305</f>
        <v/>
      </c>
      <c r="P3305" s="9" t="n"/>
    </row>
    <row r="3306">
      <c r="A3306" s="11" t="inlineStr">
        <is>
          <t>Ajani's Pridemate / Companheiro de Bando de Ajani</t>
        </is>
      </c>
      <c r="B3306" s="11" t="inlineStr">
        <is>
          <t>Creature — Cat Soldier / Criatura — Felino Soldado</t>
        </is>
      </c>
      <c r="C3306" s="11" t="inlineStr">
        <is>
          <t>Uncommon / Incomum</t>
        </is>
      </c>
      <c r="D3306" s="11" t="inlineStr">
        <is>
          <t>Whenever you gain life, put a +1/+1 counter on this creature. / Toda vez que você ganha pontos de vida, você pode colocar um marcador +1/+1 em Companheiro de Bando de Ajani.</t>
        </is>
      </c>
      <c r="E3306" s="11" t="inlineStr">
        <is>
          <t>{1}{W}</t>
        </is>
      </c>
      <c r="F3306" s="11" t="inlineStr">
        <is>
          <t>Branco</t>
        </is>
      </c>
      <c r="G3306" s="8" t="n">
        <v>0.2</v>
      </c>
      <c r="H3306" s="11" t="inlineStr">
        <is>
          <t>War of the Spark (WAR)</t>
        </is>
      </c>
      <c r="I3306" s="11" t="inlineStr">
        <is>
          <t>Não</t>
        </is>
      </c>
      <c r="J3306" s="11" t="n">
        <v>2019</v>
      </c>
      <c r="K3306" s="10" t="n">
        <v>46055</v>
      </c>
      <c r="L3306" s="11" t="n">
        <v>1</v>
      </c>
      <c r="M3306" s="8">
        <f>L3306*G3306</f>
        <v/>
      </c>
      <c r="P3306" s="9" t="n"/>
    </row>
    <row r="3307">
      <c r="A3307" s="11" t="inlineStr">
        <is>
          <t>Sram's Expertise / Especialidade de Sram</t>
        </is>
      </c>
      <c r="B3307" s="11" t="inlineStr">
        <is>
          <t>Sorcery / Feitiço</t>
        </is>
      </c>
      <c r="C3307" s="11" t="inlineStr">
        <is>
          <t>Rare / Rara</t>
        </is>
      </c>
      <c r="D3307" s="11" t="inlineStr">
        <is>
          <t>Create three 1/1 colorless Servo artifact creature tokens. You may cast a spell with mana value 3 or less from your hand without paying its mana cost. / Crie três fichas de criatura artefato incolores 1/1 do tipo Servus. Você pode conjurar um card com custo de mana convertido igual ou inferior a 3 de sua mão sem pagar seu custo de mana.</t>
        </is>
      </c>
      <c r="E3307" s="11" t="inlineStr">
        <is>
          <t>{2}{W}{W}</t>
        </is>
      </c>
      <c r="F3307" s="11" t="inlineStr">
        <is>
          <t>Branco</t>
        </is>
      </c>
      <c r="G3307" s="8" t="n">
        <v>0.38</v>
      </c>
      <c r="H3307" s="11" t="inlineStr">
        <is>
          <t>Aether Revolt (AER)</t>
        </is>
      </c>
      <c r="I3307" s="11" t="inlineStr">
        <is>
          <t>Não</t>
        </is>
      </c>
      <c r="J3307" s="11" t="n">
        <v>2017</v>
      </c>
      <c r="L3307" s="11" t="n">
        <v>2</v>
      </c>
      <c r="M3307" s="8">
        <f>L3307*G3307</f>
        <v/>
      </c>
      <c r="P3307" s="9" t="n"/>
    </row>
    <row r="3308">
      <c r="A3308" s="11" t="inlineStr">
        <is>
          <t>Militia Bugler / Corneteiro da Milícia</t>
        </is>
      </c>
      <c r="B3308" s="11" t="inlineStr">
        <is>
          <t>Creature — Human Soldier / Criatura — Humano Soldado</t>
        </is>
      </c>
      <c r="C3308" s="11" t="inlineStr">
        <is>
          <t>Common / Comum</t>
        </is>
      </c>
      <c r="D3308" s="11" t="inlineStr">
        <is>
          <t>Vigilance (Attacking doesn't cause this creature to tap.) When this creature enters, look at the top four cards of your library. You may reveal a creature card with power 2 or less from among them and put it into your hand. Put the rest on the bottom of your library in a random order. / Vigilância (Esta criatura não é virada para atacar.) Quando Corneteiro da Milícia entrar no campo de batalha, olhe os quatro cards do topo de seu grimório. Você pode revelar um card de criatura com poder igual ou inferior a 2 dentre eles e colocá-lo em sua mão. Coloque o restante no fundo de seu grimório em ordem aleatória.</t>
        </is>
      </c>
      <c r="E3308" s="11" t="inlineStr">
        <is>
          <t>{2}{W}</t>
        </is>
      </c>
      <c r="F3308" s="11" t="inlineStr">
        <is>
          <t>Branco</t>
        </is>
      </c>
      <c r="G3308" s="8" t="n">
        <v>0.75</v>
      </c>
      <c r="H3308" s="11" t="inlineStr">
        <is>
          <t>Double Masters 2022 (2X2)</t>
        </is>
      </c>
      <c r="I3308" s="11" t="inlineStr">
        <is>
          <t>Sim</t>
        </is>
      </c>
      <c r="J3308" s="11" t="n">
        <v>2022</v>
      </c>
      <c r="K3308" s="10" t="n">
        <v>46083</v>
      </c>
      <c r="L3308" s="11" t="n">
        <v>1</v>
      </c>
      <c r="M3308" s="8">
        <f>L3308*G3308</f>
        <v/>
      </c>
      <c r="P3308" s="9" t="n"/>
    </row>
    <row r="3309">
      <c r="A3309" s="11" t="inlineStr">
        <is>
          <t>Angel of Deliverance / Anjo do Livramento</t>
        </is>
      </c>
      <c r="B3309" s="11" t="inlineStr">
        <is>
          <t>Creature — Angel / Criatura — Anjo</t>
        </is>
      </c>
      <c r="C3309" s="11" t="inlineStr">
        <is>
          <t>Rare / Rara</t>
        </is>
      </c>
      <c r="D3309" s="11" t="inlineStr">
        <is>
          <t>Flying Delirium — Whenever this creature deals damage, if there are four or more card types among cards in your graveyard, exile target creature an opponent controls. / Voar Delírio — Toda vez que Anjo do Livramento causar dano, se houver quatro ou mais tipos de card entre os cards de seu cemitério, exile a criatura alvo que um oponente controla.</t>
        </is>
      </c>
      <c r="E3309" s="11" t="inlineStr">
        <is>
          <t>{6}{W}{W}</t>
        </is>
      </c>
      <c r="F3309" s="11" t="inlineStr">
        <is>
          <t>Branco</t>
        </is>
      </c>
      <c r="G3309" s="8" t="n">
        <v>0.3</v>
      </c>
      <c r="H3309" s="11" t="inlineStr">
        <is>
          <t>Shadows over Innistrad (SOI)</t>
        </is>
      </c>
      <c r="I3309" s="11" t="inlineStr">
        <is>
          <t>Sim</t>
        </is>
      </c>
      <c r="J3309" s="11" t="n">
        <v>2016</v>
      </c>
      <c r="K3309" s="10" t="n">
        <v>46179</v>
      </c>
      <c r="L3309" s="11" t="n">
        <v>1</v>
      </c>
      <c r="M3309" s="8">
        <f>L3309*G3309</f>
        <v/>
      </c>
      <c r="P3309" s="9" t="n"/>
    </row>
    <row r="3310">
      <c r="A3310" s="11" t="inlineStr">
        <is>
          <t>Ajani's Last Stand / Resistência Final de Ajani</t>
        </is>
      </c>
      <c r="B3310" s="11" t="inlineStr">
        <is>
          <t>Enchantment / Encantamento</t>
        </is>
      </c>
      <c r="C3310" s="11" t="inlineStr">
        <is>
          <t>Rare / Rara</t>
        </is>
      </c>
      <c r="D3310" s="11" t="inlineStr">
        <is>
          <t>Whenever a creature or planeswalker you control dies, you may sacrifice this enchantment. If you do, create a 4/4 white Avatar creature token with flying. When a spell or ability an opponent controls causes you to discard this card, if you control a Plains, create a 4/4 white Avatar creature token with flying. / Toda vez que uma criatura ou planeswalker que você controla morre, você pode sacrificar Resistência Final de Ajani. Se fizer isso, crie uma ficha de criatura branca 4/4 do tipo Avatar com voar. Quando uma mágica ou habilidade que um oponente controla fizer com que você descarte este card, se você controlar uma Planície, crie uma ficha de criatura branca 4/4 do tipo Avatar com voar.</t>
        </is>
      </c>
      <c r="E3310" s="11" t="inlineStr">
        <is>
          <t>{2}{W}{W}</t>
        </is>
      </c>
      <c r="F3310" s="11" t="inlineStr">
        <is>
          <t>Branco</t>
        </is>
      </c>
      <c r="G3310" s="8" t="n">
        <v>0.77</v>
      </c>
      <c r="H3310" s="11" t="inlineStr">
        <is>
          <t>Core Set 2019 (M19)</t>
        </is>
      </c>
      <c r="I3310" s="11" t="inlineStr">
        <is>
          <t>Sim</t>
        </is>
      </c>
      <c r="J3310" s="11" t="n">
        <v>2018</v>
      </c>
      <c r="L3310" s="11" t="n">
        <v>1</v>
      </c>
      <c r="M3310" s="8">
        <f>L3310*G3310</f>
        <v/>
      </c>
      <c r="N3310" s="11" t="inlineStr">
        <is>
          <t>Pasta</t>
        </is>
      </c>
      <c r="P3310" s="9" t="n"/>
    </row>
    <row r="3311">
      <c r="A3311" s="11" t="inlineStr">
        <is>
          <t>Acclaimed Contender / Competidora Aclamada</t>
        </is>
      </c>
      <c r="B3311" s="11" t="inlineStr">
        <is>
          <t>Creature — Human Knight / Criatura — Humano Cavaleiro</t>
        </is>
      </c>
      <c r="C3311" s="11" t="inlineStr">
        <is>
          <t>Rare / Rara</t>
        </is>
      </c>
      <c r="D3311" s="11" t="inlineStr">
        <is>
          <t>When this creature enters, if you control another Knight, look at the top five cards of your library. You may reveal a Knight, Aura, Equipment, or legendary artifact card from among them and put it into your hand. Put the rest on the bottom of your library in a random order. / Quando Competidora Aclamada entrar no campo de batalha, se você controlar outro Cavaleiro, olhe os cinco cards do topo de seu grimório. Você pode revelar um card de Cavaleiro, Aura, Equipamento ou artefato lendário dentre eles e colocá-lo em sua mão. Coloque o restante no fundo de seu grimório em ordem aleatória.</t>
        </is>
      </c>
      <c r="E3311" s="11" t="inlineStr">
        <is>
          <t>{2}{W}</t>
        </is>
      </c>
      <c r="F3311" s="11" t="inlineStr">
        <is>
          <t>Branco</t>
        </is>
      </c>
      <c r="G3311" s="8" t="n">
        <v>0.65</v>
      </c>
      <c r="H3311" s="11" t="inlineStr">
        <is>
          <t>Throne of Eldraine (ELD)</t>
        </is>
      </c>
      <c r="I3311" s="11" t="inlineStr">
        <is>
          <t>Sim</t>
        </is>
      </c>
      <c r="J3311" s="11" t="n">
        <v>2019</v>
      </c>
      <c r="K3311" s="10" t="n">
        <v>46084</v>
      </c>
      <c r="L3311" s="11" t="n">
        <v>1</v>
      </c>
      <c r="M3311" s="8">
        <f>L3311*G3311</f>
        <v/>
      </c>
      <c r="P3311" s="9" t="n"/>
    </row>
    <row r="3312">
      <c r="A3312" s="11" t="inlineStr">
        <is>
          <t>Case of the Gateway Express / Caso do Expresso do Portão</t>
        </is>
      </c>
      <c r="B3312" s="11" t="inlineStr">
        <is>
          <t>Enchantment — Case / Encantamento — Caso</t>
        </is>
      </c>
      <c r="C3312" s="11" t="inlineStr">
        <is>
          <t>Uncommon / Incomum</t>
        </is>
      </c>
      <c r="D3312" s="11" t="inlineStr">
        <is>
          <t>When this Case enters, choose target creature you don't control. Each creature you control deals 1 damage to that creature. To solve — Three or more creatures attacked this turn. (If unsolved, solve at the beginning of your end step.) Solved — Creatures you control get +1/+0. / Quando este Caso entrar no campo de batalha, escolha a criatura alvo que você não controla. Cada criatura que você controla causa 1 ponto de dano àquela criatura. Para Solucionar — Três ou mais criaturas atacaram neste turno. (Se o Caso não tiver sido solucionado, solucione-o no início de sua etapa final.) Solucionado — As criaturas que você controla recebem +1/+0.</t>
        </is>
      </c>
      <c r="E3312" s="11" t="inlineStr">
        <is>
          <t>{1}{W}</t>
        </is>
      </c>
      <c r="F3312" s="11" t="inlineStr">
        <is>
          <t>Branco</t>
        </is>
      </c>
      <c r="G3312" s="8" t="n">
        <v>1.2</v>
      </c>
      <c r="H3312" s="11" t="inlineStr">
        <is>
          <t>Murders at Karlov Manor (MKM)</t>
        </is>
      </c>
      <c r="I3312" s="11" t="inlineStr">
        <is>
          <t>Sim</t>
        </is>
      </c>
      <c r="J3312" s="11" t="n">
        <v>2024</v>
      </c>
      <c r="L3312" s="11" t="n">
        <v>1</v>
      </c>
      <c r="M3312" s="8">
        <f>L3312*G3312</f>
        <v/>
      </c>
      <c r="N3312" s="11" t="inlineStr">
        <is>
          <t>Pasta</t>
        </is>
      </c>
      <c r="P3312" s="9" t="n"/>
    </row>
    <row r="3313">
      <c r="A3313" s="11" t="inlineStr">
        <is>
          <t>Ainok Bond-Kin / Ainok Laço-de-honra</t>
        </is>
      </c>
      <c r="B3313" s="11" t="inlineStr">
        <is>
          <t>Creature — Dog Soldier / Criatura — Sabujo Soldado</t>
        </is>
      </c>
      <c r="C3313" s="11" t="inlineStr">
        <is>
          <t>Common / Comum</t>
        </is>
      </c>
      <c r="D3313" s="11" t="inlineStr">
        <is>
          <t>Outlast {1}{W} ({1}{W}, {T}: Put a +1/+1 counter on this creature. Outlast only as a sorcery.) Each creature you control with a +1/+1 counter on it has first strike. / Sobreviver {1}{W} ({1}{W}, {T}: Coloque um marcador +1/+1 nesta criatura. Use sobreviver somente como um feitiço.) Cada criatura que você controla com um marcador +1/+1 tem iniciativa.</t>
        </is>
      </c>
      <c r="E3313" s="11" t="inlineStr">
        <is>
          <t>{1}{W}</t>
        </is>
      </c>
      <c r="F3313" s="11" t="inlineStr">
        <is>
          <t>Branco</t>
        </is>
      </c>
      <c r="G3313" s="8" t="n">
        <v>0.1</v>
      </c>
      <c r="H3313" s="11" t="inlineStr">
        <is>
          <t>Double Masters 2022 (2X2)</t>
        </is>
      </c>
      <c r="I3313" s="11" t="inlineStr">
        <is>
          <t>Sim</t>
        </is>
      </c>
      <c r="J3313" s="11" t="n">
        <v>2022</v>
      </c>
      <c r="K3313" s="10" t="n">
        <v>46024</v>
      </c>
      <c r="L3313" s="11" t="n">
        <v>1</v>
      </c>
      <c r="M3313" s="8">
        <f>L3313*G3313</f>
        <v/>
      </c>
      <c r="P3313" s="9" t="n"/>
    </row>
    <row r="3314">
      <c r="A3314" s="11" t="inlineStr">
        <is>
          <t>Samite Herbalist / Herborista Samita</t>
        </is>
      </c>
      <c r="B3314" s="11" t="inlineStr">
        <is>
          <t>Creature — Human Cleric / Criatura — Humano Clérigo</t>
        </is>
      </c>
      <c r="C3314" s="11" t="inlineStr">
        <is>
          <t>Common / Comum</t>
        </is>
      </c>
      <c r="D3314" s="11" t="inlineStr">
        <is>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is>
      </c>
      <c r="E3314" s="11" t="inlineStr">
        <is>
          <t>{1}{W}</t>
        </is>
      </c>
      <c r="F3314" s="11" t="inlineStr">
        <is>
          <t>Branco</t>
        </is>
      </c>
      <c r="G3314" s="8" t="n">
        <v>0.15</v>
      </c>
      <c r="H3314" s="11" t="inlineStr">
        <is>
          <t>Dominaria United (DMU)</t>
        </is>
      </c>
      <c r="I3314" s="11" t="inlineStr">
        <is>
          <t>Sim</t>
        </is>
      </c>
      <c r="J3314" s="11" t="n">
        <v>2022</v>
      </c>
      <c r="K3314" s="10" t="n">
        <v>46024</v>
      </c>
      <c r="L3314" s="11" t="n">
        <v>1</v>
      </c>
      <c r="M3314" s="8">
        <f>L3314*G3314</f>
        <v/>
      </c>
      <c r="P3314" s="9" t="n"/>
    </row>
    <row r="3315">
      <c r="A3315" s="11" t="inlineStr">
        <is>
          <t>On the Job / Ao Trabalho</t>
        </is>
      </c>
      <c r="B3315" s="11" t="inlineStr">
        <is>
          <t>Instant / Mágica Instantânea</t>
        </is>
      </c>
      <c r="C3315" s="11" t="inlineStr">
        <is>
          <t>Common / Comum</t>
        </is>
      </c>
      <c r="D3315" s="11" t="inlineStr">
        <is>
          <t>Creatures you control get +2/+1 until end of turn. Investigate. (Create a Clue token. It's an artifact with "{2}, Sacrifice this token: Draw a card.") / As criaturas que você controla recebem +2/+1 até o final do turno. Investigue.</t>
        </is>
      </c>
      <c r="E3315" s="11" t="inlineStr">
        <is>
          <t>{2}{W}{W}</t>
        </is>
      </c>
      <c r="F3315" s="11" t="inlineStr">
        <is>
          <t>Branco</t>
        </is>
      </c>
      <c r="G3315" s="8" t="n">
        <v>0.13</v>
      </c>
      <c r="H3315" s="11" t="inlineStr">
        <is>
          <t>Murders at Karlov Manor (MKM)</t>
        </is>
      </c>
      <c r="I3315" s="11" t="inlineStr">
        <is>
          <t>Não</t>
        </is>
      </c>
      <c r="J3315" s="11" t="n">
        <v>2024</v>
      </c>
      <c r="L3315" s="11" t="n">
        <v>1</v>
      </c>
      <c r="M3315" s="8">
        <f>L3315*G3315</f>
        <v/>
      </c>
      <c r="P3315" s="9" t="n"/>
    </row>
    <row r="3316">
      <c r="A3316" s="11" t="inlineStr">
        <is>
          <t>Pianna, Nomad Captain / Pianna, Capitã Nômade</t>
        </is>
      </c>
      <c r="B3316" s="11" t="inlineStr">
        <is>
          <t>Legendary Creature — Human Nomad / Criatura Lendária — Humano Nômade</t>
        </is>
      </c>
      <c r="C3316" s="11" t="inlineStr">
        <is>
          <t>Uncommon / Incomum</t>
        </is>
      </c>
      <c r="D3316" s="11" t="inlineStr">
        <is>
          <t>Whenever Pianna attacks, attacking creatures get +1/+1 until end of turn. / Toda vez que Pianna, Capitã Nômade ataca, as criaturas atacantes recebem +1/+1 até o final do turno.</t>
        </is>
      </c>
      <c r="E3316" s="11" t="inlineStr">
        <is>
          <t>{1}{W}{W}</t>
        </is>
      </c>
      <c r="F3316" s="11" t="inlineStr">
        <is>
          <t>Branco</t>
        </is>
      </c>
      <c r="G3316" s="8" t="n">
        <v>0.2</v>
      </c>
      <c r="H3316" s="11" t="inlineStr">
        <is>
          <t>Commander Masters (CMM)</t>
        </is>
      </c>
      <c r="I3316" s="11" t="inlineStr">
        <is>
          <t>Não</t>
        </is>
      </c>
      <c r="J3316" s="11" t="n">
        <v>2023</v>
      </c>
      <c r="K3316" s="10" t="n">
        <v>46055</v>
      </c>
      <c r="L3316" s="11" t="n">
        <v>1</v>
      </c>
      <c r="M3316" s="8">
        <f>L3316*G3316</f>
        <v/>
      </c>
      <c r="P3316" s="9" t="n"/>
    </row>
    <row r="3317">
      <c r="A3317" s="11" t="inlineStr">
        <is>
          <t>Benalish Faithbonder</t>
        </is>
      </c>
      <c r="B3317" s="11" t="inlineStr">
        <is>
          <t>Creature — Human Cleric</t>
        </is>
      </c>
      <c r="C3317" s="11" t="inlineStr">
        <is>
          <t>Common / Comum</t>
        </is>
      </c>
      <c r="D3317" s="11" t="inlineStr">
        <is>
          <t>Vigilance Enlist (As this creature attacks, you may tap a nonattacking creature you control without summoning sickness. When you do, add its power to this creature's until end of turn.)</t>
        </is>
      </c>
      <c r="E3317" s="11" t="inlineStr">
        <is>
          <t>{1}{W}</t>
        </is>
      </c>
      <c r="F3317" s="11" t="inlineStr">
        <is>
          <t>Branco</t>
        </is>
      </c>
      <c r="G3317" s="8" t="n">
        <v>0.04</v>
      </c>
      <c r="H3317" s="11" t="inlineStr">
        <is>
          <t>Dominaria United (DMU)</t>
        </is>
      </c>
      <c r="I3317" s="11" t="inlineStr">
        <is>
          <t>Não</t>
        </is>
      </c>
      <c r="J3317" s="11" t="n">
        <v>2022</v>
      </c>
      <c r="K3317" s="10" t="n">
        <v>46082</v>
      </c>
      <c r="L3317" s="11" t="n">
        <v>1</v>
      </c>
      <c r="M3317" s="8">
        <f>L3317*G3317</f>
        <v/>
      </c>
      <c r="P3317" s="9" t="n"/>
    </row>
    <row r="3318">
      <c r="A3318" s="11" t="inlineStr">
        <is>
          <t>Samite Herbalist / Herborista Samita</t>
        </is>
      </c>
      <c r="B3318" s="11" t="inlineStr">
        <is>
          <t>Creature — Human Cleric / Criatura — Humano Clérigo</t>
        </is>
      </c>
      <c r="C3318" s="11" t="inlineStr">
        <is>
          <t>Common / Comum</t>
        </is>
      </c>
      <c r="D3318" s="11" t="inlineStr">
        <is>
          <t>Whenever this creature becomes tapped, you gain 1 life and scry 1. (Look at the top card of your library. You may put that card on the bottom.) / Toda vez que Herborista Samita se torna virada, você ganha 1 ponto de vida e usa vidência 1. (Olhe o card do topo de seu grimório. Você pode colocar aquele card no fundo de seu grimório.)</t>
        </is>
      </c>
      <c r="E3318" s="11" t="inlineStr">
        <is>
          <t>{1}{W}</t>
        </is>
      </c>
      <c r="F3318" s="11" t="inlineStr">
        <is>
          <t>Branco</t>
        </is>
      </c>
      <c r="G3318" s="8" t="n">
        <v>0.06</v>
      </c>
      <c r="H3318" s="11" t="inlineStr">
        <is>
          <t>Dominaria United (DMU)</t>
        </is>
      </c>
      <c r="I3318" s="11" t="inlineStr">
        <is>
          <t>Não</t>
        </is>
      </c>
      <c r="J3318" s="11" t="n">
        <v>2022</v>
      </c>
      <c r="K3318" s="10" t="n">
        <v>46024</v>
      </c>
      <c r="L3318" s="11" t="n">
        <v>2</v>
      </c>
      <c r="M3318" s="8">
        <f>L3318*G3318</f>
        <v/>
      </c>
      <c r="P3318" s="9" t="n"/>
    </row>
    <row r="3319">
      <c r="A3319" s="11" t="inlineStr">
        <is>
          <t>Acidic Slime / Limo Ácido</t>
        </is>
      </c>
      <c r="B3319" s="11" t="inlineStr">
        <is>
          <t>Creature — Ooze / Criatura — Lodo</t>
        </is>
      </c>
      <c r="C3319" s="11" t="inlineStr">
        <is>
          <t>Uncommon / Incomum</t>
        </is>
      </c>
      <c r="D3319" s="11" t="inlineStr">
        <is>
          <t>Deathtouch (Any amount of damage this deals to a creature is enough to destroy it.) When this creature enters, destroy target artifact, enchantment, or land. / Toque mortífero (Qualquer quantidade de dano que esta criatura cause a uma criatura é suficiente para destruí-la.) Quando Limo Ácido entrar no campo de batalha, destrua o artefato, encantamento ou terreno alvo.</t>
        </is>
      </c>
      <c r="E3319" s="11" t="inlineStr">
        <is>
          <t>{3}{G}{G}</t>
        </is>
      </c>
      <c r="F3319" s="11" t="inlineStr">
        <is>
          <t>Verde</t>
        </is>
      </c>
      <c r="G3319" s="8" t="n">
        <v>0.25</v>
      </c>
      <c r="H3319" s="11" t="inlineStr">
        <is>
          <t>Commander Masters (CMM)</t>
        </is>
      </c>
      <c r="I3319" s="11" t="inlineStr">
        <is>
          <t>Não</t>
        </is>
      </c>
      <c r="J3319" s="11" t="n">
        <v>2023</v>
      </c>
      <c r="K3319" s="10" t="n">
        <v>46055</v>
      </c>
      <c r="L3319" s="11" t="n">
        <v>1</v>
      </c>
      <c r="M3319" s="8">
        <f>L3319*G3319</f>
        <v/>
      </c>
      <c r="P3319" s="9" t="n"/>
    </row>
    <row r="3320">
      <c r="A3320" s="11" t="inlineStr">
        <is>
          <t>Verdeloth the Ancient / Verdeloth, o Antigo</t>
        </is>
      </c>
      <c r="B3320" s="11" t="inlineStr">
        <is>
          <t>Legendary Creature — Treefolk / Criatura Lendária — Ent</t>
        </is>
      </c>
      <c r="C3320" s="11" t="inlineStr">
        <is>
          <t>Uncommon / Incomum</t>
        </is>
      </c>
      <c r="D3320" s="11" t="inlineStr">
        <is>
          <t>Kicker {X} (You may pay an additional {X} as you cast this spell.) Saproling creatures and other Treefolk creatures get +1/+1. When Verdeloth enters, if it was kicked, create X 1/1 green Saproling creature tokens. / Reforçar {X} (Você pode pagar um custo adicional de {X} ao jogar esta mágica.) Todos os outros Ents e Saprófitas recebem +1/+1. Quando Verdeloth, o Antigo entrar em jogo, se seu custo de reforço tiver sido pago, coloque em jogo X fichas de criatura verde 1/1 do tipo Saprófita.</t>
        </is>
      </c>
      <c r="E3320" s="11" t="inlineStr">
        <is>
          <t>{4}{G}{G}</t>
        </is>
      </c>
      <c r="F3320" s="11" t="inlineStr">
        <is>
          <t>Verde</t>
        </is>
      </c>
      <c r="G3320" s="8" t="n">
        <v>0.68</v>
      </c>
      <c r="H3320" s="11" t="inlineStr">
        <is>
          <t>Commander Masters (CMM)</t>
        </is>
      </c>
      <c r="I3320" s="11" t="inlineStr">
        <is>
          <t>Não</t>
        </is>
      </c>
      <c r="J3320" s="11" t="n">
        <v>2023</v>
      </c>
      <c r="K3320" s="10" t="n">
        <v>46207</v>
      </c>
      <c r="L3320" s="11" t="n">
        <v>1</v>
      </c>
      <c r="M3320" s="8">
        <f>L3320*G3320</f>
        <v/>
      </c>
      <c r="P3320" s="9" t="n"/>
    </row>
    <row r="3321">
      <c r="A3321" s="11" t="inlineStr">
        <is>
          <t>Armorcraft Judge / Jurada de Armoraria</t>
        </is>
      </c>
      <c r="B3321" s="11" t="inlineStr">
        <is>
          <t>Creature — Elf Artificer / Criatura — Elfo Artesão</t>
        </is>
      </c>
      <c r="C3321" s="11" t="inlineStr">
        <is>
          <t>Uncommon / Incomum</t>
        </is>
      </c>
      <c r="D3321" s="11" t="inlineStr">
        <is>
          <t>When this creature enters, draw a card for each creature you control with a +1/+1 counter on it. / Quando Jurada de Armoraria entrar no campo de batalha, compre um card para cada criatura que você controla com um marcador +1/+1.</t>
        </is>
      </c>
      <c r="E3321" s="11" t="inlineStr">
        <is>
          <t>{3}{G}</t>
        </is>
      </c>
      <c r="F3321" s="11" t="inlineStr">
        <is>
          <t>Verde</t>
        </is>
      </c>
      <c r="G3321" s="8" t="n">
        <v>0.25</v>
      </c>
      <c r="H3321" s="11" t="inlineStr">
        <is>
          <t>Commander Masters (CMM)</t>
        </is>
      </c>
      <c r="I3321" s="11" t="inlineStr">
        <is>
          <t>Não</t>
        </is>
      </c>
      <c r="J3321" s="11" t="n">
        <v>2023</v>
      </c>
      <c r="K3321" s="10" t="n">
        <v>46084</v>
      </c>
      <c r="L3321" s="11" t="n">
        <v>1</v>
      </c>
      <c r="M3321" s="8">
        <f>L3321*G3321</f>
        <v/>
      </c>
      <c r="P3321" s="9" t="n"/>
    </row>
    <row r="3322">
      <c r="A3322" s="11" t="inlineStr">
        <is>
          <t>Oviya Pashiri, Sage Lifecrafter / Oviya Pashiri, Sábia Vivideira</t>
        </is>
      </c>
      <c r="B3322" s="11" t="inlineStr">
        <is>
          <t>Legendary Creature — Human Artificer / Criatura Lendária — Humano Artesão</t>
        </is>
      </c>
      <c r="C3322" s="11" t="inlineStr">
        <is>
          <t>Uncommon / Incomum</t>
        </is>
      </c>
      <c r="D3322" s="11" t="inlineStr">
        <is>
          <t>{2}{G}, {T}: Create a 1/1 colorless Servo artifact creature token. {4}{G}, {T}: Create an X/X colorless Construct artifact creature token, where X is the number of creatures you control. / {2}{G}, {T}: Crie uma ficha de criatura artefato incolor 1/1 do tipo Servus. {4}{G}, {T}: Crie uma ficha de criatura artefato incolor X/X do tipo Construto, sendo X o número de criaturas que você controla.</t>
        </is>
      </c>
      <c r="E3322" s="11" t="inlineStr">
        <is>
          <t>{G}</t>
        </is>
      </c>
      <c r="F3322" s="11" t="inlineStr">
        <is>
          <t>Verde</t>
        </is>
      </c>
      <c r="G3322" s="8" t="n">
        <v>0.35</v>
      </c>
      <c r="H3322" s="11" t="inlineStr">
        <is>
          <t>Commander Masters (CMM)</t>
        </is>
      </c>
      <c r="I3322" s="11" t="inlineStr">
        <is>
          <t>Não</t>
        </is>
      </c>
      <c r="J3322" s="11" t="n">
        <v>2023</v>
      </c>
      <c r="K3322" s="10" t="n">
        <v>46054</v>
      </c>
      <c r="L3322" s="11" t="n">
        <v>1</v>
      </c>
      <c r="M3322" s="8">
        <f>L3322*G3322</f>
        <v/>
      </c>
      <c r="P3322" s="9" t="n"/>
    </row>
    <row r="3323">
      <c r="A3323" s="11" t="inlineStr">
        <is>
          <t>Rampaging Brontodon / Brontodonte Enfurecido</t>
        </is>
      </c>
      <c r="B3323" s="11" t="inlineStr">
        <is>
          <t>Creature — Dinosaur / Criatura — Dinossauro</t>
        </is>
      </c>
      <c r="C3323" s="11" t="inlineStr">
        <is>
          <t>Uncommon / Incomum</t>
        </is>
      </c>
      <c r="D3323" s="11" t="inlineStr">
        <is>
          <t>Trample Whenever this creature attacks, it gets +1/+1 until end of turn for each land you control. / Atropelar Toda vez que Brontodonte Enfurecido ataca, ele recebe +1/+1 até o final do turno para cada terreno que você controla.</t>
        </is>
      </c>
      <c r="E3323" s="11" t="inlineStr">
        <is>
          <t>{5}{G}{G}</t>
        </is>
      </c>
      <c r="F3323" s="11" t="inlineStr">
        <is>
          <t>Verde</t>
        </is>
      </c>
      <c r="G3323" s="8" t="n">
        <v>1.78</v>
      </c>
      <c r="H3323" s="11" t="inlineStr">
        <is>
          <t>Commander Masters (CMM)</t>
        </is>
      </c>
      <c r="I3323" s="11" t="inlineStr">
        <is>
          <t>Não</t>
        </is>
      </c>
      <c r="J3323" s="11" t="n">
        <v>2023</v>
      </c>
      <c r="K3323" s="10" t="n">
        <v>46210</v>
      </c>
      <c r="L3323" s="11" t="n">
        <v>1</v>
      </c>
      <c r="M3323" s="8">
        <f>L3323*G3323</f>
        <v/>
      </c>
      <c r="N3323" s="11" t="inlineStr">
        <is>
          <t>Pasta</t>
        </is>
      </c>
      <c r="P3323" s="9" t="n"/>
    </row>
    <row r="3324">
      <c r="A3324" s="11" t="inlineStr">
        <is>
          <t>Beastrider Vanguard</t>
        </is>
      </c>
      <c r="B3324" s="11" t="inlineStr">
        <is>
          <t>Creature — Human Knight</t>
        </is>
      </c>
      <c r="C3324" s="11" t="inlineStr">
        <is>
          <t>Common / Comum</t>
        </is>
      </c>
      <c r="D3324" s="11" t="inlineStr">
        <is>
          <t>{4}{G}: Look at the top three cards of your library. You may reveal a permanent card from among them and put it into your hand. Put the rest on the bottom of your library in any order.</t>
        </is>
      </c>
      <c r="E3324" s="11" t="inlineStr">
        <is>
          <t>{1}{G}</t>
        </is>
      </c>
      <c r="F3324" s="11" t="inlineStr">
        <is>
          <t>Verde</t>
        </is>
      </c>
      <c r="G3324" s="8" t="n">
        <v>0.05</v>
      </c>
      <c r="H3324" s="11" t="inlineStr">
        <is>
          <t>Aetherdrift (DFT)</t>
        </is>
      </c>
      <c r="I3324" s="11" t="inlineStr">
        <is>
          <t>Não</t>
        </is>
      </c>
      <c r="J3324" s="11" t="n">
        <v>2025</v>
      </c>
      <c r="K3324" s="10" t="n">
        <v>46055</v>
      </c>
      <c r="L3324" s="11" t="n">
        <v>1</v>
      </c>
      <c r="M3324" s="8">
        <f>L3324*G3324</f>
        <v/>
      </c>
      <c r="P3324" s="9" t="n"/>
    </row>
    <row r="3325">
      <c r="A3325" s="11" t="inlineStr">
        <is>
          <t>Might of Old Krosa / Bravura da Antiga Krosa</t>
        </is>
      </c>
      <c r="B3325" s="11" t="inlineStr">
        <is>
          <t>Instant / Mágica Instantânea</t>
        </is>
      </c>
      <c r="C3325" s="11" t="inlineStr">
        <is>
          <t>Uncommon / Incomum</t>
        </is>
      </c>
      <c r="D3325" s="11" t="inlineStr">
        <is>
          <t>Target creature gets +2/+2 until end of turn. If you cast this spell during your main phase, that creature gets +4/+4 until end of turn instead. / A criatura alvo recebe +2/+2 até o final do turno. Se você conjurou esta mágica durante sua fase principal, em vez disso, aquela criatura recebe +4/+4 até o final do turno.</t>
        </is>
      </c>
      <c r="E3325" s="11" t="inlineStr">
        <is>
          <t>{G}</t>
        </is>
      </c>
      <c r="F3325" s="11" t="inlineStr">
        <is>
          <t>Verde</t>
        </is>
      </c>
      <c r="G3325" s="8" t="n">
        <v>0.25</v>
      </c>
      <c r="H3325" s="11" t="inlineStr">
        <is>
          <t>Modern Masters 2017 (MM3)</t>
        </is>
      </c>
      <c r="I3325" s="11" t="inlineStr">
        <is>
          <t>Não</t>
        </is>
      </c>
      <c r="J3325" s="11" t="n">
        <v>2017</v>
      </c>
      <c r="L3325" s="11" t="n">
        <v>1</v>
      </c>
      <c r="M3325" s="8">
        <f>L3325*G3325</f>
        <v/>
      </c>
      <c r="P3325" s="9" t="n"/>
    </row>
    <row r="3326">
      <c r="A3326" s="11" t="inlineStr">
        <is>
          <t>The Wilds / As Terras Selvagens</t>
        </is>
      </c>
      <c r="B3326" s="11" t="inlineStr">
        <is>
          <t>Plane — Eldraine / Plano — Eldraine</t>
        </is>
      </c>
      <c r="C3326" s="11" t="inlineStr">
        <is>
          <t>Common / Comum</t>
        </is>
      </c>
      <c r="D3326" s="11" t="inlineStr">
        <is>
          <t>When you planeswalk to The Wilds and at the beginning of your upkeep, create a Food token. Whenever chaos ensues, target player sacrifices a creature of their choice. If they do, you create a Food token. You create two Food tokens instead if the sacrificed creature's toughness was 4 or greater. / Quando você transplanar para As Terras Selvagens e no início de sua manutenção, crie uma ficha de Comida. Toda vez que o caos se instaura, o jogador alvo sacrifica uma criatura. Se ele fizer isso, você cria uma ficha de Comida. Se a resistência da criatura sacrificada era igual ou superior a 4, você cria, em vez disso, duas fichas de Comida.</t>
        </is>
      </c>
      <c r="F3326" s="11" t="inlineStr">
        <is>
          <t>Incolor</t>
        </is>
      </c>
      <c r="G3326" s="8" t="n">
        <v>0.04</v>
      </c>
      <c r="H3326" s="11" t="inlineStr">
        <is>
          <t>March of the Machine Commander (MOC)</t>
        </is>
      </c>
      <c r="I3326" s="11" t="inlineStr">
        <is>
          <t>Não</t>
        </is>
      </c>
      <c r="J3326" s="11" t="n">
        <v>2023</v>
      </c>
      <c r="L3326" s="11" t="n">
        <v>1</v>
      </c>
      <c r="M3326" s="8">
        <f>L3326*G3326</f>
        <v/>
      </c>
      <c r="P3326" s="9" t="n"/>
    </row>
    <row r="3327">
      <c r="A3327" s="11" t="inlineStr">
        <is>
          <t>Bite Down / Abocanhar</t>
        </is>
      </c>
      <c r="B3327" s="11" t="inlineStr">
        <is>
          <t>Instant / Mágica Instantânea</t>
        </is>
      </c>
      <c r="C3327" s="11" t="inlineStr">
        <is>
          <t>Common / Comum</t>
        </is>
      </c>
      <c r="D3327" s="11" t="inlineStr">
        <is>
          <t>Target creature you control deals damage equal to its power to target creature or planeswalker you don't control. / A criatura alvo que você controla causa dano igual ao seu poder à criatura ou ao planeswalker alvo que você não controla.</t>
        </is>
      </c>
      <c r="E3327" s="11" t="inlineStr">
        <is>
          <t>{1}{G}</t>
        </is>
      </c>
      <c r="F3327" s="11" t="inlineStr">
        <is>
          <t>Verde</t>
        </is>
      </c>
      <c r="G3327" s="8" t="n">
        <v>0.2</v>
      </c>
      <c r="H3327" s="11" t="inlineStr">
        <is>
          <t>Dominaria United (DMU)</t>
        </is>
      </c>
      <c r="I3327" s="11" t="inlineStr">
        <is>
          <t>Não</t>
        </is>
      </c>
      <c r="J3327" s="11" t="n">
        <v>2022</v>
      </c>
      <c r="L3327" s="11" t="n">
        <v>3</v>
      </c>
      <c r="M3327" s="8">
        <f>L3327*G3327</f>
        <v/>
      </c>
      <c r="P3327" s="9" t="n"/>
    </row>
    <row r="3328">
      <c r="A3328" s="11" t="inlineStr">
        <is>
          <t>Soul's Might / Poder da Alma</t>
        </is>
      </c>
      <c r="B3328" s="11" t="inlineStr">
        <is>
          <t>Sorcery / Feitiço</t>
        </is>
      </c>
      <c r="C3328" s="11" t="inlineStr">
        <is>
          <t>Common / Comum</t>
        </is>
      </c>
      <c r="D3328" s="11" t="inlineStr">
        <is>
          <t>Put X +1/+1 counters on target creature, where X is that creature's power. / Coloque X marcadores +1/+1 na criatura alvo, sendo X igual ao poder daquela criatura.</t>
        </is>
      </c>
      <c r="E3328" s="11" t="inlineStr">
        <is>
          <t>{4}{G}</t>
        </is>
      </c>
      <c r="F3328" s="11" t="inlineStr">
        <is>
          <t>Verde</t>
        </is>
      </c>
      <c r="G3328" s="8" t="n">
        <v>0.1</v>
      </c>
      <c r="H3328" s="11" t="inlineStr">
        <is>
          <t>Jumpstart 2022 (J22)</t>
        </is>
      </c>
      <c r="I3328" s="11" t="inlineStr">
        <is>
          <t>Não</t>
        </is>
      </c>
      <c r="J3328" s="11" t="n">
        <v>2022</v>
      </c>
      <c r="L3328" s="11" t="n">
        <v>1</v>
      </c>
      <c r="M3328" s="8">
        <f>L3328*G3328</f>
        <v/>
      </c>
      <c r="P3328" s="9" t="n"/>
    </row>
    <row r="3329">
      <c r="A3329" s="11" t="inlineStr">
        <is>
          <t>Wrench / Chave Ajustável</t>
        </is>
      </c>
      <c r="B3329" s="11" t="inlineStr">
        <is>
          <t>Artifact — Clue Equipment / Artefato — Pista Equipamento</t>
        </is>
      </c>
      <c r="C3329" s="11" t="inlineStr">
        <is>
          <t>Uncommon / Incomum</t>
        </is>
      </c>
      <c r="D3329" s="11" t="inlineStr">
        <is>
          <t>Equipped creature gets +1/+1 and has vigilance and "{3}, {T}: Tap target creature." {2}, Sacrifice this Equipment: Draw a card. Equip {2} / A criatura equipada recebe +1/+1 e tem vigilância e "{3}, {T}: Vire a criatura alvo". {2}, sacrifique Chave Ajustável: Compre um card. Equipar {2}</t>
        </is>
      </c>
      <c r="E3329" s="11" t="inlineStr">
        <is>
          <t>{W}</t>
        </is>
      </c>
      <c r="F3329" s="11" t="inlineStr">
        <is>
          <t>Branco</t>
        </is>
      </c>
      <c r="G3329" s="8" t="n">
        <v>0.09</v>
      </c>
      <c r="H3329" s="11" t="inlineStr">
        <is>
          <t>Murders at Karlov Manor (MKM)</t>
        </is>
      </c>
      <c r="I3329" s="11" t="inlineStr">
        <is>
          <t>Não</t>
        </is>
      </c>
      <c r="J3329" s="11" t="n">
        <v>2024</v>
      </c>
      <c r="L3329" s="11" t="n">
        <v>1</v>
      </c>
      <c r="M3329" s="8">
        <f>L3329*G3329</f>
        <v/>
      </c>
      <c r="P3329" s="9" t="n"/>
    </row>
    <row r="3330">
      <c r="A3330" s="11" t="inlineStr">
        <is>
          <t>Ancestral Blade / Lâmina Ancestral</t>
        </is>
      </c>
      <c r="B3330" s="11" t="inlineStr">
        <is>
          <t>Artifact — Equipment / Artefato — Equipamento</t>
        </is>
      </c>
      <c r="C3330" s="11" t="inlineStr">
        <is>
          <t>Uncommon / Incomum</t>
        </is>
      </c>
      <c r="D3330" s="11" t="inlineStr">
        <is>
          <t>When this Equipment enters, create a 1/1 white Soldier creature token, then attach this Equipment to it. Equipped creature gets +1/+1. Equip {1} ({1}: Attach to target creature you control. Equip only as a sorcery.) / Quando Lâmina Ancestral entrar no campo de batalha, crie uma ficha de criatura branca 1/1 do tipo Soldado e anexe Lâmina Ancestral a ela. A criatura equipada recebe +1/+1. Equipar {1} ({1}: Anexe este equipamento à criatura alvo que você controla. Equipe somente como um feitiço.)</t>
        </is>
      </c>
      <c r="E3330" s="11" t="inlineStr">
        <is>
          <t>{1}{W}</t>
        </is>
      </c>
      <c r="F3330" s="11" t="inlineStr">
        <is>
          <t>Branco</t>
        </is>
      </c>
      <c r="G3330" s="8" t="n">
        <v>0.06</v>
      </c>
      <c r="H3330" s="11" t="inlineStr">
        <is>
          <t>Core Set 2020 (M20)</t>
        </is>
      </c>
      <c r="I3330" s="11" t="inlineStr">
        <is>
          <t>Não</t>
        </is>
      </c>
      <c r="J3330" s="11" t="n">
        <v>2019</v>
      </c>
      <c r="L3330" s="11" t="n">
        <v>1</v>
      </c>
      <c r="M3330" s="8">
        <f>L3330*G3330</f>
        <v/>
      </c>
      <c r="P3330" s="9" t="n"/>
    </row>
    <row r="3331">
      <c r="A3331" s="11" t="inlineStr">
        <is>
          <t>Gallant Strike</t>
        </is>
      </c>
      <c r="B3331" s="11" t="inlineStr">
        <is>
          <t>Instant</t>
        </is>
      </c>
      <c r="C3331" s="11" t="inlineStr">
        <is>
          <t>Uncommon / Incomum</t>
        </is>
      </c>
      <c r="D3331" s="11" t="inlineStr">
        <is>
          <t>Destroy target creature with toughness 4 or greater. Cycling {2} ({2}, Discard this card: Draw a card.)</t>
        </is>
      </c>
      <c r="E3331" s="11" t="inlineStr">
        <is>
          <t>{1}{W}</t>
        </is>
      </c>
      <c r="F3331" s="11" t="inlineStr">
        <is>
          <t>Branco</t>
        </is>
      </c>
      <c r="G3331" s="8" t="n">
        <v>0.13</v>
      </c>
      <c r="H3331" s="11" t="inlineStr">
        <is>
          <t>Aetherdrift (DFT)</t>
        </is>
      </c>
      <c r="I3331" s="11" t="inlineStr">
        <is>
          <t>Não</t>
        </is>
      </c>
      <c r="J3331" s="11" t="n">
        <v>2025</v>
      </c>
      <c r="L3331" s="11" t="n">
        <v>1</v>
      </c>
      <c r="M3331" s="8">
        <f>L3331*G3331</f>
        <v/>
      </c>
      <c r="P3331" s="9" t="n"/>
    </row>
    <row r="3332">
      <c r="A3332" s="11" t="inlineStr">
        <is>
          <t>Luminous Rebuke</t>
        </is>
      </c>
      <c r="B3332" s="11" t="inlineStr">
        <is>
          <t>Instant</t>
        </is>
      </c>
      <c r="C3332" s="11" t="inlineStr">
        <is>
          <t>Common / Comum</t>
        </is>
      </c>
      <c r="D3332" s="11" t="inlineStr">
        <is>
          <t>This spell costs {3} less to cast if it targets a tapped creature. Destroy target creature.</t>
        </is>
      </c>
      <c r="E3332" s="11" t="inlineStr">
        <is>
          <t>{4}{W}</t>
        </is>
      </c>
      <c r="F3332" s="11" t="inlineStr">
        <is>
          <t>Branco</t>
        </is>
      </c>
      <c r="G3332" s="8" t="n">
        <v>0.05</v>
      </c>
      <c r="H3332" s="11" t="inlineStr">
        <is>
          <t>Foundations (FDN)</t>
        </is>
      </c>
      <c r="I3332" s="11" t="inlineStr">
        <is>
          <t>Não</t>
        </is>
      </c>
      <c r="J3332" s="11" t="n">
        <v>2024</v>
      </c>
      <c r="L3332" s="11" t="n">
        <v>1</v>
      </c>
      <c r="M3332" s="8">
        <f>L3332*G3332</f>
        <v/>
      </c>
      <c r="P3332" s="9" t="n"/>
    </row>
    <row r="3333">
      <c r="A3333" s="11" t="inlineStr">
        <is>
          <t>Bounding Felidar / Felidar a Galope</t>
        </is>
      </c>
      <c r="B3333" s="11" t="inlineStr">
        <is>
          <t>Creature — Cat Beast Mount / Criatura — Felino Besta Montaria</t>
        </is>
      </c>
      <c r="C3333" s="11" t="inlineStr">
        <is>
          <t>Uncommon / Incomum</t>
        </is>
      </c>
      <c r="D3333" s="11" t="inlineStr">
        <is>
          <t>Whenever this creature attacks while saddled, put a +1/+1 counter on each other creature you control. You gain 1 life for each of those creatures. Saddle 2 (Tap any number of other creatures you control with total power 2 or more: This Mount becomes saddled until end of turn. Saddle only as a sorcery.) / Toda vez que Felidar a Galope atacar selado, coloque um marcador +1/+1 em cada outra criatura que você controla. Você ganha 1 ponto de vida por cada uma daquelas criaturas. Selar 2 (Vire qualquer número de outras criaturas que você controla com total de poder igual ou superior a 2: Esta Montaria torna-se selada até o final do turno. Sele somente como um feitiço.)</t>
        </is>
      </c>
      <c r="E3333" s="11" t="inlineStr">
        <is>
          <t>{5}{W}</t>
        </is>
      </c>
      <c r="F3333" s="11" t="inlineStr">
        <is>
          <t>Branco</t>
        </is>
      </c>
      <c r="G3333" s="8" t="n">
        <v>0.07000000000000001</v>
      </c>
      <c r="H3333" s="11" t="inlineStr">
        <is>
          <t>Outlaws of Thunder Junction (OTJ)</t>
        </is>
      </c>
      <c r="I3333" s="11" t="inlineStr">
        <is>
          <t>Não</t>
        </is>
      </c>
      <c r="J3333" s="11" t="n">
        <v>2024</v>
      </c>
      <c r="K3333" s="10" t="n">
        <v>46207</v>
      </c>
      <c r="L3333" s="11" t="n">
        <v>1</v>
      </c>
      <c r="M3333" s="8">
        <f>L3333*G3333</f>
        <v/>
      </c>
      <c r="P3333" s="9" t="n"/>
    </row>
    <row r="3334">
      <c r="A3334" s="11" t="inlineStr">
        <is>
          <t>Azorius Justiciar / Justiciar Azorius</t>
        </is>
      </c>
      <c r="B3334" s="11" t="inlineStr">
        <is>
          <t>Creature — Human Wizard / Criatura — Humano Mago</t>
        </is>
      </c>
      <c r="C3334" s="11" t="inlineStr">
        <is>
          <t>Uncommon / Incomum</t>
        </is>
      </c>
      <c r="D3334" s="11" t="inlineStr">
        <is>
          <t>When this creature enters, detain up to two target creatures your opponents control. (Until your next turn, those creatures can't attack or block and their activated abilities can't be activated.) / Quando Justiciar Azorius entrar no campo de batalha, detenha até duas criaturas alvo que seus oponentes controlem. (Até seu próximo turno, aquelas criaturas não podem atacar nem bloquear e as habilidades ativadas delas não podem ser ativadas.)</t>
        </is>
      </c>
      <c r="E3334" s="11" t="inlineStr">
        <is>
          <t>{2}{W}{W}</t>
        </is>
      </c>
      <c r="F3334" s="11" t="inlineStr">
        <is>
          <t>Branco</t>
        </is>
      </c>
      <c r="G3334" s="8" t="n">
        <v>0.13</v>
      </c>
      <c r="H3334" s="11" t="inlineStr">
        <is>
          <t>Ravnica Remastered (RVR)</t>
        </is>
      </c>
      <c r="I3334" s="11" t="inlineStr">
        <is>
          <t>Não</t>
        </is>
      </c>
      <c r="J3334" s="11" t="n">
        <v>2024</v>
      </c>
      <c r="K3334" s="10" t="n">
        <v>46055</v>
      </c>
      <c r="L3334" s="11" t="n">
        <v>1</v>
      </c>
      <c r="M3334" s="8">
        <f>L3334*G3334</f>
        <v/>
      </c>
      <c r="P3334" s="9" t="n"/>
    </row>
    <row r="3335">
      <c r="A3335" s="11" t="inlineStr">
        <is>
          <t>Knight of Dawn's Light / Cavaleira da Luz do Alvorecer</t>
        </is>
      </c>
      <c r="B3335" s="11" t="inlineStr">
        <is>
          <t>Creature — Human Knight / Criatura — Humano Cavaleiro</t>
        </is>
      </c>
      <c r="C3335" s="11" t="inlineStr">
        <is>
          <t>Uncommon / Incomum</t>
        </is>
      </c>
      <c r="D3335" s="11" t="inlineStr">
        <is>
          <t>First strike If you would gain life, you gain that much life plus 1 instead. {1}{W}: This creature gets +1/+1 until end of turn. / Iniciativa Se você ganharia pontos de vida, em vez disso, você ganha aquela quantidade de pontos de vida mais 1. {1}{W}: Cavaleira da Luz do Alvorecer recebe +1/+1 até o final do turno.</t>
        </is>
      </c>
      <c r="E3335" s="11" t="inlineStr">
        <is>
          <t>{1}{W}</t>
        </is>
      </c>
      <c r="F3335" s="11" t="inlineStr">
        <is>
          <t>Branco</t>
        </is>
      </c>
      <c r="G3335" s="8" t="n">
        <v>0.15</v>
      </c>
      <c r="H3335" s="11" t="inlineStr">
        <is>
          <t>Dominaria United (DMU)</t>
        </is>
      </c>
      <c r="I3335" s="11" t="inlineStr">
        <is>
          <t>Não</t>
        </is>
      </c>
      <c r="J3335" s="11" t="n">
        <v>2022</v>
      </c>
      <c r="K3335" s="10" t="n">
        <v>46055</v>
      </c>
      <c r="L3335" s="11" t="n">
        <v>1</v>
      </c>
      <c r="M3335" s="8">
        <f>L3335*G3335</f>
        <v/>
      </c>
      <c r="P3335" s="9" t="n"/>
    </row>
    <row r="3336">
      <c r="A3336" s="11" t="inlineStr">
        <is>
          <t>Angelic Exaltation / Exaltação Angelical</t>
        </is>
      </c>
      <c r="B3336" s="11" t="inlineStr">
        <is>
          <t>Enchantment / Encantamento</t>
        </is>
      </c>
      <c r="C3336" s="11" t="inlineStr">
        <is>
          <t>Uncommon / Incomum</t>
        </is>
      </c>
      <c r="D3336" s="11" t="inlineStr">
        <is>
          <t>Whenever a creature you control attacks alone, it gets +X/+X until end of turn, where X is the number of creatures you control. / Toda vez que uma criatura que você controla ataca sozinha, ela recebe +X/+X até o final do turno, sendo X o número de criaturas que você controla.</t>
        </is>
      </c>
      <c r="E3336" s="11" t="inlineStr">
        <is>
          <t>{3}{W}</t>
        </is>
      </c>
      <c r="F3336" s="11" t="inlineStr">
        <is>
          <t>Branco</t>
        </is>
      </c>
      <c r="G3336" s="8" t="n">
        <v>0.04</v>
      </c>
      <c r="H3336" s="11" t="inlineStr">
        <is>
          <t>Ravnica Allegiance (RNA)</t>
        </is>
      </c>
      <c r="I3336" s="11" t="inlineStr">
        <is>
          <t>Não</t>
        </is>
      </c>
      <c r="J3336" s="11" t="n">
        <v>2019</v>
      </c>
      <c r="L3336" s="11" t="n">
        <v>1</v>
      </c>
      <c r="M3336" s="8">
        <f>L3336*G3336</f>
        <v/>
      </c>
      <c r="P3336" s="9" t="n"/>
    </row>
    <row r="3337">
      <c r="A3337" s="11" t="inlineStr">
        <is>
          <t>The First Eruption / A Primeira Erupção</t>
        </is>
      </c>
      <c r="B3337" s="11" t="inlineStr">
        <is>
          <t>Enchantment — Saga / Encantamento — Saga</t>
        </is>
      </c>
      <c r="C3337" s="11" t="inlineStr">
        <is>
          <t>Rare / Rara</t>
        </is>
      </c>
      <c r="D3337" s="11" t="inlineStr">
        <is>
          <t>(As this Saga enters and after your draw step, add a lore counter. Sacrifice after III.) I — This Saga deals 1 damage to each creature without flying. II — Add {R}{R}. III — Sacrifice a Mountain. If you do, this Saga deals 3 damage to each creature. / (Conforme esta Saga entra e após sua etapa de compra, adicione um marcador de conhecimento. Sacrifique-a após III.) I — A Primeira Erupção causa 1 ponto de dano a cada criatura sem voar. II — Adicione {R}{R}. III — Sacrifique uma Montanha. Se fizer isso, A Primeira Erupção causará 3 pontos de dano a cada criatura.</t>
        </is>
      </c>
      <c r="E3337" s="11" t="inlineStr">
        <is>
          <t>{2}{R}</t>
        </is>
      </c>
      <c r="F3337" s="11" t="inlineStr">
        <is>
          <t>Vermelho</t>
        </is>
      </c>
      <c r="G3337" s="8" t="n">
        <v>0.39</v>
      </c>
      <c r="H3337" s="11" t="inlineStr">
        <is>
          <t>Dominaria (DOM)</t>
        </is>
      </c>
      <c r="I3337" s="11" t="inlineStr">
        <is>
          <t>Sim</t>
        </is>
      </c>
      <c r="J3337" s="11" t="n">
        <v>2018</v>
      </c>
      <c r="L3337" s="11" t="n">
        <v>1</v>
      </c>
      <c r="M3337" s="8">
        <f>L3337*G3337</f>
        <v/>
      </c>
      <c r="P3337" s="9" t="n"/>
    </row>
    <row r="3338">
      <c r="A3338" s="11" t="inlineStr">
        <is>
          <t>Tender Wildguide</t>
        </is>
      </c>
      <c r="B3338" s="11" t="inlineStr">
        <is>
          <t>Creature — Possum Druid</t>
        </is>
      </c>
      <c r="C3338" s="11" t="inlineStr">
        <is>
          <t>Rare / Rara</t>
        </is>
      </c>
      <c r="D3338" s="11" t="inlineStr">
        <is>
          <t>Offspring {2} (You may pay an additional {2} as you cast this spell. If you do, when this creature enters, create a 1/1 token copy of it.) {T}: Add one mana of any color. {T}: Put a +1/+1 counter on this creature.</t>
        </is>
      </c>
      <c r="E3338" s="11" t="inlineStr">
        <is>
          <t>{1}{G}</t>
        </is>
      </c>
      <c r="F3338" s="11" t="inlineStr">
        <is>
          <t>Verde</t>
        </is>
      </c>
      <c r="G3338" s="8" t="n">
        <v>1</v>
      </c>
      <c r="H3338" s="11" t="inlineStr">
        <is>
          <t>Bloomburrow (BLB)</t>
        </is>
      </c>
      <c r="I3338" s="11" t="inlineStr">
        <is>
          <t>Não</t>
        </is>
      </c>
      <c r="J3338" s="11" t="n">
        <v>2024</v>
      </c>
      <c r="K3338" s="10" t="n">
        <v>46055</v>
      </c>
      <c r="L3338" s="11" t="n">
        <v>1</v>
      </c>
      <c r="M3338" s="8">
        <f>L3338*G3338</f>
        <v/>
      </c>
      <c r="N3338" s="11" t="inlineStr">
        <is>
          <t>Pasta</t>
        </is>
      </c>
      <c r="P3338" s="9" t="n"/>
    </row>
    <row r="3339">
      <c r="A3339" s="11" t="inlineStr">
        <is>
          <t>Nyxborn Hydra / Hidra Nyxnata</t>
        </is>
      </c>
      <c r="B3339" s="11" t="inlineStr">
        <is>
          <t>Enchantment Creature — Hydra / Criatura Encantamento — Hidra</t>
        </is>
      </c>
      <c r="C3339" s="11" t="inlineStr">
        <is>
          <t>Common / Comum</t>
        </is>
      </c>
      <c r="D3339" s="11" t="inlineStr">
        <is>
          <t>Bestow {X}{G}{G} (If you cast this card for its bestow cost, it's an Aura spell with enchant creature. It becomes a creature again if it's not attached.) Reach, trample This permanent enters with X +1/+1 counters on it. Enchanted creature gets +1/+1 for each +1/+1 counter on this Aura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3339" s="11" t="inlineStr">
        <is>
          <t>{X}{G}</t>
        </is>
      </c>
      <c r="F3339" s="11" t="inlineStr">
        <is>
          <t>Verde</t>
        </is>
      </c>
      <c r="G3339" s="8" t="n">
        <v>4.6</v>
      </c>
      <c r="H3339" s="11" t="inlineStr">
        <is>
          <t>Modern Horizons 3 (MH3)</t>
        </is>
      </c>
      <c r="I3339" s="11" t="inlineStr">
        <is>
          <t>Sim</t>
        </is>
      </c>
      <c r="J3339" s="11" t="n">
        <v>2024</v>
      </c>
      <c r="K3339" s="11" t="inlineStr">
        <is>
          <t>0/1</t>
        </is>
      </c>
      <c r="L3339" s="11" t="n">
        <v>1</v>
      </c>
      <c r="M3339" s="8">
        <f>L3339*G3339</f>
        <v/>
      </c>
      <c r="N3339" s="11" t="inlineStr">
        <is>
          <t>Pasta</t>
        </is>
      </c>
      <c r="P3339" s="9" t="n"/>
    </row>
    <row r="3340">
      <c r="A3340" s="11" t="inlineStr">
        <is>
          <t>Bakersbane Duo</t>
        </is>
      </c>
      <c r="B3340" s="11" t="inlineStr">
        <is>
          <t>Creature — Squirrel Raccoon</t>
        </is>
      </c>
      <c r="C3340" s="11" t="inlineStr">
        <is>
          <t>Common / Comum</t>
        </is>
      </c>
      <c r="D3340" s="11" t="inlineStr">
        <is>
          <t>When this creature enters, create a Food token. Whenever you expend 4, this creature gets +1/+1 until end of turn. (You expend 4 as you spend your fourth total mana to cast spells during a turn.)</t>
        </is>
      </c>
      <c r="E3340" s="11" t="inlineStr">
        <is>
          <t>{1}{G}</t>
        </is>
      </c>
      <c r="F3340" s="11" t="inlineStr">
        <is>
          <t>Verde</t>
        </is>
      </c>
      <c r="G3340" s="8" t="n">
        <v>0.32</v>
      </c>
      <c r="H3340" s="11" t="inlineStr">
        <is>
          <t>Bloomburrow (BLB)</t>
        </is>
      </c>
      <c r="I3340" s="11" t="inlineStr">
        <is>
          <t>Sim</t>
        </is>
      </c>
      <c r="J3340" s="11" t="n">
        <v>2024</v>
      </c>
      <c r="K3340" s="10" t="n">
        <v>46055</v>
      </c>
      <c r="L3340" s="11" t="n">
        <v>1</v>
      </c>
      <c r="M3340" s="8">
        <f>L3340*G3340</f>
        <v/>
      </c>
      <c r="P3340" s="9" t="n"/>
    </row>
    <row r="3341">
      <c r="A3341" s="11" t="inlineStr">
        <is>
          <t>Feed the Cycle</t>
        </is>
      </c>
      <c r="B3341" s="11" t="inlineStr">
        <is>
          <t>Instant</t>
        </is>
      </c>
      <c r="C3341" s="11" t="inlineStr">
        <is>
          <t>Uncommon / Incomum</t>
        </is>
      </c>
      <c r="D3341" s="11" t="inlineStr">
        <is>
          <t>As an additional cost to cast this spell, forage or pay {B}. (To forage, exile three cards from your graveyard or sacrifice a Food.) Destroy target creature or planeswalker.</t>
        </is>
      </c>
      <c r="E3341" s="11" t="inlineStr">
        <is>
          <t>{1}{B}</t>
        </is>
      </c>
      <c r="F3341" s="11" t="inlineStr">
        <is>
          <t>Preto</t>
        </is>
      </c>
      <c r="G3341" s="8" t="n">
        <v>0.45</v>
      </c>
      <c r="H3341" s="11" t="inlineStr">
        <is>
          <t>Bloomburrow (BLB)</t>
        </is>
      </c>
      <c r="I3341" s="11" t="inlineStr">
        <is>
          <t>Não</t>
        </is>
      </c>
      <c r="J3341" s="11" t="n">
        <v>2024</v>
      </c>
      <c r="L3341" s="11" t="n">
        <v>1</v>
      </c>
      <c r="M3341" s="8">
        <f>L3341*G3341</f>
        <v/>
      </c>
      <c r="P3341" s="9" t="n"/>
    </row>
    <row r="3342">
      <c r="A3342" s="11" t="inlineStr">
        <is>
          <t>Reckless Handling / Manuseio Descuidado</t>
        </is>
      </c>
      <c r="B3342" s="11" t="inlineStr">
        <is>
          <t>Sorcery / Feitiço</t>
        </is>
      </c>
      <c r="C3342" s="11" t="inlineStr">
        <is>
          <t>Uncommon / Incomum</t>
        </is>
      </c>
      <c r="D3342" s="11" t="inlineStr">
        <is>
          <t>Search your library for an artifact card, reveal it, put it into your hand, shuffle, then discard a card at random. If an artifact card was discarded this way, Reckless Handling deals 2 damage to each opponent. / Procure em seu grimório um card de artefato, revele-o, coloque-o em sua mão, embaralhe e depois descarte um card aleatoriamente. Se um card de artefato foi descartado dessa forma, Manuseio Descuidado causa 2 pontos de dano a cada oponente.</t>
        </is>
      </c>
      <c r="E3342" s="11" t="inlineStr">
        <is>
          <t>{1}{R}</t>
        </is>
      </c>
      <c r="F3342" s="11" t="inlineStr">
        <is>
          <t>Vermelho</t>
        </is>
      </c>
      <c r="G3342" s="8" t="n">
        <v>0.7</v>
      </c>
      <c r="H3342" s="11" t="inlineStr">
        <is>
          <t>March of the Machine: The Aftermath (MAT)</t>
        </is>
      </c>
      <c r="I3342" s="11" t="inlineStr">
        <is>
          <t>Não</t>
        </is>
      </c>
      <c r="J3342" s="11" t="n">
        <v>2023</v>
      </c>
      <c r="L3342" s="11" t="n">
        <v>1</v>
      </c>
      <c r="M3342" s="8">
        <f>L3342*G3342</f>
        <v/>
      </c>
      <c r="P3342" s="9" t="n"/>
    </row>
    <row r="3343">
      <c r="A3343" s="11" t="inlineStr">
        <is>
          <t>Deep Analysis / Análise Profunda</t>
        </is>
      </c>
      <c r="B3343" s="11" t="inlineStr">
        <is>
          <t>Sorcery / Feitiço</t>
        </is>
      </c>
      <c r="C3343" s="11" t="inlineStr">
        <is>
          <t>Uncommon / Incomum</t>
        </is>
      </c>
      <c r="D3343" s="11" t="inlineStr">
        <is>
          <t>Target player draws two cards. Flashback—{1}{U}, Pay 3 life. (You may cast this card from your graveyard for its flashback cost. Then exile it.) / O jogador alvo compra dois cards. Recapitular — {1}{U}, pague 3 pontos de vida. (Você pode conjurar este card de seu cemitério pagando seu custo de recapitular. Depois, exile-o.)</t>
        </is>
      </c>
      <c r="E3343" s="11" t="inlineStr">
        <is>
          <t>{3}{U}</t>
        </is>
      </c>
      <c r="F3343" s="11" t="inlineStr">
        <is>
          <t>Azul</t>
        </is>
      </c>
      <c r="G3343" s="8" t="n">
        <v>0.4</v>
      </c>
      <c r="H3343" s="11" t="inlineStr">
        <is>
          <t>Modern Horizons 3 (MH3)</t>
        </is>
      </c>
      <c r="I3343" s="11" t="inlineStr">
        <is>
          <t>Não</t>
        </is>
      </c>
      <c r="J3343" s="11" t="n">
        <v>2024</v>
      </c>
      <c r="L3343" s="11" t="n">
        <v>1</v>
      </c>
      <c r="M3343" s="8">
        <f>L3343*G3343</f>
        <v/>
      </c>
      <c r="P3343" s="9" t="n"/>
    </row>
    <row r="3344">
      <c r="A3344" s="11" t="inlineStr">
        <is>
          <t>Ruthless Negotiation</t>
        </is>
      </c>
      <c r="B3344" s="11" t="inlineStr">
        <is>
          <t>Sorcery</t>
        </is>
      </c>
      <c r="C3344" s="11" t="inlineStr">
        <is>
          <t>Uncommon / Incomum</t>
        </is>
      </c>
      <c r="D3344" s="11" t="inlineStr">
        <is>
          <t>Target opponent exiles a card from their hand. If this spell was cast from a graveyard, draw a card. Flashback {4}{B} (You may cast this card from your graveyard for its flashback cost. Then exile it.)</t>
        </is>
      </c>
      <c r="E3344" s="11" t="inlineStr">
        <is>
          <t>{B}</t>
        </is>
      </c>
      <c r="F3344" s="11" t="inlineStr">
        <is>
          <t>Preto</t>
        </is>
      </c>
      <c r="G3344" s="8" t="n">
        <v>0.23</v>
      </c>
      <c r="H3344" s="11" t="inlineStr">
        <is>
          <t>Bloomburrow (BLB)</t>
        </is>
      </c>
      <c r="I3344" s="11" t="inlineStr">
        <is>
          <t>Não</t>
        </is>
      </c>
      <c r="J3344" s="11" t="n">
        <v>2024</v>
      </c>
      <c r="L3344" s="11" t="n">
        <v>1</v>
      </c>
      <c r="M3344" s="8">
        <f>L3344*G3344</f>
        <v/>
      </c>
      <c r="P3344" s="9" t="n"/>
    </row>
    <row r="3345">
      <c r="A3345" s="11" t="inlineStr">
        <is>
          <t>Storm-Kiln Artist / Artista da Fornalha Tempestuosa</t>
        </is>
      </c>
      <c r="B3345" s="11" t="inlineStr">
        <is>
          <t>Creature — Dwarf Shaman / Criatura — Anão Xamã</t>
        </is>
      </c>
      <c r="C3345" s="11" t="inlineStr">
        <is>
          <t>Uncommon / Incomum</t>
        </is>
      </c>
      <c r="D3345" s="11" t="inlineStr">
        <is>
          <t>This creature gets +1/+0 for each artifact you control. Magecraft — Whenever you cast or copy an instant or sorcery spell, create a Treasure token. (It's an artifact with "{T}, Sacrifice this token: Add one mana of any color.") / Artista da Fornalha Tempestuosa recebe +1/+0 para cada artefato que você controla. Magifício — Toda vez que você conjurar ou copiar uma mágica instantânea ou um feitiço, crie uma ficha de Tesouro.</t>
        </is>
      </c>
      <c r="E3345" s="11" t="inlineStr">
        <is>
          <t>{3}{R}</t>
        </is>
      </c>
      <c r="F3345" s="11" t="inlineStr">
        <is>
          <t>Vermelho</t>
        </is>
      </c>
      <c r="G3345" s="8" t="n">
        <v>17.69</v>
      </c>
      <c r="H3345" s="11" t="inlineStr">
        <is>
          <t>Commander Masters (CMM)</t>
        </is>
      </c>
      <c r="I3345" s="11" t="inlineStr">
        <is>
          <t>Não</t>
        </is>
      </c>
      <c r="J3345" s="11" t="n">
        <v>2023</v>
      </c>
      <c r="K3345" s="10" t="n">
        <v>46055</v>
      </c>
      <c r="L3345" s="11" t="n">
        <v>1</v>
      </c>
      <c r="M3345" s="8">
        <f>L3345*G3345</f>
        <v/>
      </c>
      <c r="N3345" s="11" t="inlineStr">
        <is>
          <t>Pasta</t>
        </is>
      </c>
      <c r="P3345" s="9" t="n"/>
    </row>
    <row r="3346">
      <c r="A3346" s="11" t="inlineStr">
        <is>
          <t>Jaya's Immolating Inferno / Inferno Imolante de Jaya</t>
        </is>
      </c>
      <c r="B3346" s="11" t="inlineStr">
        <is>
          <t>Legendary Sorcery / Feitiço Lendário</t>
        </is>
      </c>
      <c r="C3346" s="11" t="inlineStr">
        <is>
          <t>Rare / Rara</t>
        </is>
      </c>
      <c r="D3346" s="11" t="inlineStr">
        <is>
          <t>(You may cast a legendary sorcery only if you control a legendary creature or planeswalker.) Jaya's Immolating Inferno deals X damage to each of up to three targets. / (Você só pode conjurar um feitiço lendário se controlar uma criatura lendária ou um planeswalker lendário.) Inferno Imolante de Jaya causa X pontos de dano a cada um de até três alvos.</t>
        </is>
      </c>
      <c r="E3346" s="11" t="inlineStr">
        <is>
          <t>{X}{R}{R}</t>
        </is>
      </c>
      <c r="F3346" s="11" t="inlineStr">
        <is>
          <t>Vermelho</t>
        </is>
      </c>
      <c r="G3346" s="8" t="n">
        <v>0.68</v>
      </c>
      <c r="H3346" s="11" t="inlineStr">
        <is>
          <t>Dominaria (DOM)</t>
        </is>
      </c>
      <c r="I3346" s="11" t="inlineStr">
        <is>
          <t>Não</t>
        </is>
      </c>
      <c r="J3346" s="11" t="n">
        <v>2018</v>
      </c>
      <c r="L3346" s="11" t="n">
        <v>1</v>
      </c>
      <c r="M3346" s="8">
        <f>L3346*G3346</f>
        <v/>
      </c>
      <c r="P3346" s="9" t="n"/>
    </row>
    <row r="3347">
      <c r="A3347" s="11" t="inlineStr">
        <is>
          <t>Fists of Flame / Punhos Chamejantes</t>
        </is>
      </c>
      <c r="B3347" s="11" t="inlineStr">
        <is>
          <t>Instant / Mágica Instantânea</t>
        </is>
      </c>
      <c r="C3347" s="11" t="inlineStr">
        <is>
          <t>Common / Comum</t>
        </is>
      </c>
      <c r="D3347" s="11" t="inlineStr">
        <is>
          <t>Draw a card. Until end of turn, target creature gains trample and gets +1/+0 for each card you've drawn this turn. (A creature with trample can deal excess combat damage to the player or planeswalker it's attacking.) / Compre um card. Até o final do turno, a criatura alvo ganha atropelar e recebe +1/+0 para cada card que você comprou neste turno.</t>
        </is>
      </c>
      <c r="E3347" s="11" t="inlineStr">
        <is>
          <t>{1}{R}</t>
        </is>
      </c>
      <c r="F3347" s="11" t="inlineStr">
        <is>
          <t>Vermelho</t>
        </is>
      </c>
      <c r="G3347" s="8" t="n">
        <v>1.25</v>
      </c>
      <c r="H3347" s="11" t="inlineStr">
        <is>
          <t>Commander Masters (CMM)</t>
        </is>
      </c>
      <c r="I3347" s="11" t="inlineStr">
        <is>
          <t>Sim</t>
        </is>
      </c>
      <c r="J3347" s="11" t="n">
        <v>2023</v>
      </c>
      <c r="L3347" s="11" t="n">
        <v>1</v>
      </c>
      <c r="M3347" s="8">
        <f>L3347*G3347</f>
        <v/>
      </c>
      <c r="P3347" s="9" t="n"/>
    </row>
    <row r="3348">
      <c r="A3348" s="11" t="inlineStr">
        <is>
          <t>Weary Prisoner / Prisioneira Fatigada</t>
        </is>
      </c>
      <c r="B3348" s="11" t="inlineStr">
        <is>
          <t>Creature — Human Werewolf / Criatura — Humano Lobisomem</t>
        </is>
      </c>
      <c r="C3348" s="11" t="inlineStr">
        <is>
          <t>Common / Comum</t>
        </is>
      </c>
      <c r="D3348" s="11" t="inlineStr">
        <is>
          <t>Defender Daybound (If a player casts no spells during their own turn, it becomes night next turn.) / Defensor Diurno (Se um jogador não conjura nenhuma mágica durante o próprio turno, torna-se noite no turno seguinte.)</t>
        </is>
      </c>
      <c r="E3348" s="11" t="inlineStr">
        <is>
          <t>{3}{R}</t>
        </is>
      </c>
      <c r="F3348" s="11" t="inlineStr">
        <is>
          <t>Vermelho</t>
        </is>
      </c>
      <c r="G3348" s="8" t="n">
        <v>0.25</v>
      </c>
      <c r="H3348" s="11" t="inlineStr">
        <is>
          <t>Innistrad: Crimson Vow (VOW)</t>
        </is>
      </c>
      <c r="I3348" s="11" t="inlineStr">
        <is>
          <t>Sim</t>
        </is>
      </c>
      <c r="J3348" s="11" t="n">
        <v>2021</v>
      </c>
      <c r="K3348" s="10" t="n">
        <v>46175</v>
      </c>
      <c r="L3348" s="11" t="n">
        <v>1</v>
      </c>
      <c r="M3348" s="8">
        <f>L3348*G3348</f>
        <v/>
      </c>
      <c r="P3348" s="9" t="n"/>
    </row>
    <row r="3349">
      <c r="A3349" s="11" t="inlineStr">
        <is>
          <t>Tyrox, Saurid Tyrant</t>
        </is>
      </c>
      <c r="B3349" s="11" t="inlineStr">
        <is>
          <t>Legendary Creature — Dinosaur Warrior</t>
        </is>
      </c>
      <c r="C3349" s="11" t="inlineStr">
        <is>
          <t>Uncommon / Incomum</t>
        </is>
      </c>
      <c r="E3349" s="11" t="inlineStr">
        <is>
          <t>{1}{R}</t>
        </is>
      </c>
      <c r="F3349" s="11" t="inlineStr">
        <is>
          <t>Vermelho</t>
        </is>
      </c>
      <c r="G3349" s="8" t="n">
        <v>0.4</v>
      </c>
      <c r="H3349" s="11" t="inlineStr">
        <is>
          <t>Aetherdrift (DFT)</t>
        </is>
      </c>
      <c r="I3349" s="11" t="inlineStr">
        <is>
          <t>Sim</t>
        </is>
      </c>
      <c r="J3349" s="11" t="n">
        <v>2025</v>
      </c>
      <c r="K3349" s="10" t="n">
        <v>46026</v>
      </c>
      <c r="L3349" s="11" t="n">
        <v>1</v>
      </c>
      <c r="M3349" s="8">
        <f>L3349*G3349</f>
        <v/>
      </c>
      <c r="P3349" s="9" t="n"/>
    </row>
    <row r="3350">
      <c r="A3350" s="11" t="inlineStr">
        <is>
          <t>Urabrask's Anointer / Ungidor de Urabrask</t>
        </is>
      </c>
      <c r="B3350" s="11" t="inlineStr">
        <is>
          <t>Artifact Creature — Phyrexian Wizard / Criatura Artefato — Phyrexiano Mago</t>
        </is>
      </c>
      <c r="C3350" s="11" t="inlineStr">
        <is>
          <t>Uncommon / Incomum</t>
        </is>
      </c>
      <c r="D3350" s="11" t="inlineStr">
        <is>
          <t>When this creature enters, it deals X damage to any target, where X is the number of permanents you control with oil counters on them. / Quando Ungidor de Urabrask entra no campo de batalha, ele causa X pontos de dano a qualquer alvo, sendo X o número de permanentes que você controla com marcadores de óleo.</t>
        </is>
      </c>
      <c r="E3350" s="11" t="inlineStr">
        <is>
          <t>{3}{R}</t>
        </is>
      </c>
      <c r="F3350" s="11" t="inlineStr">
        <is>
          <t>Vermelho</t>
        </is>
      </c>
      <c r="G3350" s="8" t="n">
        <v>0.07000000000000001</v>
      </c>
      <c r="H3350" s="11" t="inlineStr">
        <is>
          <t>Phyrexia: All Will Be One (ONE)</t>
        </is>
      </c>
      <c r="I3350" s="11" t="inlineStr">
        <is>
          <t>Sim</t>
        </is>
      </c>
      <c r="J3350" s="11" t="n">
        <v>2023</v>
      </c>
      <c r="K3350" s="10" t="n">
        <v>46057</v>
      </c>
      <c r="L3350" s="11" t="n">
        <v>1</v>
      </c>
      <c r="M3350" s="8">
        <f>L3350*G3350</f>
        <v/>
      </c>
      <c r="P3350" s="9" t="n"/>
    </row>
    <row r="3351">
      <c r="A3351" s="11" t="inlineStr">
        <is>
          <t>Grab the Prize</t>
        </is>
      </c>
      <c r="B3351" s="11" t="inlineStr">
        <is>
          <t>Sorcery</t>
        </is>
      </c>
      <c r="C3351" s="11" t="inlineStr">
        <is>
          <t>Common / Comum</t>
        </is>
      </c>
      <c r="D3351" s="11" t="inlineStr">
        <is>
          <t>As an additional cost to cast this spell, discard a card. Draw two cards. If the discarded card wasn't a land card, Grab the Prize deals 2 damage to each opponent.</t>
        </is>
      </c>
      <c r="E3351" s="11" t="inlineStr">
        <is>
          <t>{1}{R}</t>
        </is>
      </c>
      <c r="F3351" s="11" t="inlineStr">
        <is>
          <t>Vermelho</t>
        </is>
      </c>
      <c r="G3351" s="8" t="n">
        <v>9.49</v>
      </c>
      <c r="H3351" s="11" t="inlineStr">
        <is>
          <t>Duskmourn: House of Horror (DSK)</t>
        </is>
      </c>
      <c r="I3351" s="11" t="inlineStr">
        <is>
          <t>Sim</t>
        </is>
      </c>
      <c r="J3351" s="11" t="n">
        <v>2024</v>
      </c>
      <c r="L3351" s="11" t="n">
        <v>1</v>
      </c>
      <c r="M3351" s="8">
        <f>L3351*G3351</f>
        <v/>
      </c>
      <c r="N3351" s="11" t="inlineStr">
        <is>
          <t>Pasta</t>
        </is>
      </c>
      <c r="P3351" s="9" t="n"/>
    </row>
    <row r="3352">
      <c r="A3352" s="11" t="inlineStr">
        <is>
          <t>Irreverent Gremlin</t>
        </is>
      </c>
      <c r="B3352" s="11" t="inlineStr">
        <is>
          <t>Creature — Gremlin</t>
        </is>
      </c>
      <c r="C3352" s="11" t="inlineStr">
        <is>
          <t>Uncommon / Incomum</t>
        </is>
      </c>
      <c r="D3352" s="11" t="inlineStr">
        <is>
          <t>Menace (This creature can't be blocked except by two or more creatures.) Whenever another creature you control with power 2 or less enters, you may discard a card. If you do, draw a card. Do this only once each turn.</t>
        </is>
      </c>
      <c r="E3352" s="11" t="inlineStr">
        <is>
          <t>{1}{R}</t>
        </is>
      </c>
      <c r="F3352" s="11" t="inlineStr">
        <is>
          <t>Vermelho</t>
        </is>
      </c>
      <c r="G3352" s="8" t="n">
        <v>0.23</v>
      </c>
      <c r="H3352" s="11" t="inlineStr">
        <is>
          <t>Duskmourn: House of Horror (DSK)</t>
        </is>
      </c>
      <c r="I3352" s="11" t="inlineStr">
        <is>
          <t>Sim</t>
        </is>
      </c>
      <c r="J3352" s="11" t="n">
        <v>2024</v>
      </c>
      <c r="K3352" s="10" t="n">
        <v>46055</v>
      </c>
      <c r="L3352" s="11" t="n">
        <v>1</v>
      </c>
      <c r="M3352" s="8">
        <f>L3352*G3352</f>
        <v/>
      </c>
      <c r="P3352" s="9" t="n"/>
    </row>
    <row r="3353">
      <c r="A3353" s="11" t="inlineStr">
        <is>
          <t>Molten Gatekeeper / Porteiro Fundente</t>
        </is>
      </c>
      <c r="B3353" s="11" t="inlineStr">
        <is>
          <t>Artifact Creature — Golem / Criatura Artefato — Golem</t>
        </is>
      </c>
      <c r="C3353" s="11" t="inlineStr">
        <is>
          <t>Common / Comum</t>
        </is>
      </c>
      <c r="D3353" s="11" t="inlineStr">
        <is>
          <t>Whenever another creature you control enters, this creature deals 1 damage to each opponent. Unearth {R} ({R}: Return this card from your graveyard to the battlefield. It gains haste. Exile it at the beginning of the next end step or if it would leave the battlefield. Unearth only as a sorcery.) / Toda vez que outra criatura entra no campo de batalha sob seu controle, Porteiro Fundente causa 1 ponto de dano a cada oponente. Desenterrar {R} ({R}: Devolva este card de seu cemitério ao campo de batalha. Ele ganha ímpeto. Exile-o no início da próxima etapa final ou se ele for deixar o campo de batalha. Use desenterrar somente como um feitiço.)</t>
        </is>
      </c>
      <c r="E3353" s="11" t="inlineStr">
        <is>
          <t>{2}{R}</t>
        </is>
      </c>
      <c r="F3353" s="11" t="inlineStr">
        <is>
          <t>Vermelho</t>
        </is>
      </c>
      <c r="G3353" s="8" t="n">
        <v>0.75</v>
      </c>
      <c r="H3353" s="11" t="inlineStr">
        <is>
          <t>Modern Horizons 3 (MH3)</t>
        </is>
      </c>
      <c r="I3353" s="11" t="inlineStr">
        <is>
          <t>Sim</t>
        </is>
      </c>
      <c r="J3353" s="11" t="n">
        <v>2024</v>
      </c>
      <c r="K3353" s="10" t="n">
        <v>46083</v>
      </c>
      <c r="L3353" s="11" t="n">
        <v>1</v>
      </c>
      <c r="M3353" s="8">
        <f>L3353*G3353</f>
        <v/>
      </c>
      <c r="P3353" s="9" t="n"/>
    </row>
    <row r="3354">
      <c r="A3354" s="11" t="inlineStr">
        <is>
          <t>Spitebellows / Bocarras Hostis</t>
        </is>
      </c>
      <c r="B3354" s="11" t="inlineStr">
        <is>
          <t>Creature — Elemental / Criatura — Elemental</t>
        </is>
      </c>
      <c r="C3354" s="11" t="inlineStr">
        <is>
          <t>Common / Comum</t>
        </is>
      </c>
      <c r="D3354" s="11" t="inlineStr">
        <is>
          <t>When this creature leaves the battlefield, it deals 6 damage to target creature. Evoke {1}{R}{R} (You may cast this spell for its evoke cost. If you do, it's sacrificed when it enters.) / Quando Bocarras Hostis deixa o jogo, ele causa 6 pontos de dano à criatura alvo. Evocar {1}{R}{R} (Você pode jogar esta mágica pagando seu custo de evocar. Se fizer isso, ela será sacrificada quando entrar em jogo.)</t>
        </is>
      </c>
      <c r="E3354" s="11" t="inlineStr">
        <is>
          <t>{5}{R}</t>
        </is>
      </c>
      <c r="F3354" s="11" t="inlineStr">
        <is>
          <t>Vermelho</t>
        </is>
      </c>
      <c r="G3354" s="8" t="n">
        <v>0.4</v>
      </c>
      <c r="H3354" s="11" t="inlineStr">
        <is>
          <t>Commander Masters (CMM)</t>
        </is>
      </c>
      <c r="I3354" s="11" t="inlineStr">
        <is>
          <t>Sim</t>
        </is>
      </c>
      <c r="J3354" s="11" t="n">
        <v>2023</v>
      </c>
      <c r="K3354" s="10" t="n">
        <v>46028</v>
      </c>
      <c r="L3354" s="11" t="n">
        <v>1</v>
      </c>
      <c r="M3354" s="8">
        <f>L3354*G3354</f>
        <v/>
      </c>
      <c r="P3354" s="9" t="n"/>
    </row>
    <row r="3355">
      <c r="A3355" s="11" t="inlineStr">
        <is>
          <t>Trial of Agony</t>
        </is>
      </c>
      <c r="B3355" s="11" t="inlineStr">
        <is>
          <t>Sorcery</t>
        </is>
      </c>
      <c r="C3355" s="11" t="inlineStr">
        <is>
          <t>Uncommon / Incomum</t>
        </is>
      </c>
      <c r="D3355" s="11" t="inlineStr">
        <is>
          <t>Choose two target creatures controlled by the same opponent. That player chooses one of those creatures. Trial of Agony deals 5 damage to that creature, and the other can't block this turn.</t>
        </is>
      </c>
      <c r="E3355" s="11" t="inlineStr">
        <is>
          <t>{R}</t>
        </is>
      </c>
      <c r="F3355" s="11" t="inlineStr">
        <is>
          <t>Vermelho</t>
        </is>
      </c>
      <c r="G3355" s="8" t="n">
        <v>0.23</v>
      </c>
      <c r="H3355" s="11" t="inlineStr">
        <is>
          <t>Duskmourn: House of Horror (DSK)</t>
        </is>
      </c>
      <c r="I3355" s="11" t="inlineStr">
        <is>
          <t>Sim</t>
        </is>
      </c>
      <c r="J3355" s="11" t="n">
        <v>2024</v>
      </c>
      <c r="L3355" s="11" t="n">
        <v>1</v>
      </c>
      <c r="M3355" s="8">
        <f>L3355*G3355</f>
        <v/>
      </c>
      <c r="P3355" s="9" t="n"/>
    </row>
    <row r="3356">
      <c r="A3356" s="11" t="inlineStr">
        <is>
          <t>Subira, Tulzidi Caravanner / Subira, Caravaneira Tulzidi</t>
        </is>
      </c>
      <c r="B3356" s="11" t="inlineStr">
        <is>
          <t>Legendary Creature — Human Shaman / Criatura Lendária — Humano Xamã</t>
        </is>
      </c>
      <c r="C3356" s="11" t="inlineStr">
        <is>
          <t>Uncommon / Incomum</t>
        </is>
      </c>
      <c r="D3356" s="11" t="inlineStr">
        <is>
          <t>Haste {1}: Another target creature with power 2 or less can't be blocked this turn. {1}{R}, {T}, Discard your hand: Until end of turn, whenever a creature you control with power 2 or less deals combat damage to a player, draw a card. / Ímpeto {1}: Outra criatura alvo com poder igual ou inferior a 2 não pode ser bloqueada neste turno. {1}{R}, {T}, descarte sua mão: Até o final do turno, toda vez que uma criatura que você controla com poder igual ou inferior a 2 causar dano de combate a um jogador, compre um card.</t>
        </is>
      </c>
      <c r="E3356" s="11" t="inlineStr">
        <is>
          <t>{2}{R}</t>
        </is>
      </c>
      <c r="F3356" s="11" t="inlineStr">
        <is>
          <t>Vermelho</t>
        </is>
      </c>
      <c r="G3356" s="8" t="n">
        <v>0.45</v>
      </c>
      <c r="H3356" s="11" t="inlineStr">
        <is>
          <t>Commander Masters (CMM)</t>
        </is>
      </c>
      <c r="I3356" s="11" t="inlineStr">
        <is>
          <t>Sim</t>
        </is>
      </c>
      <c r="J3356" s="11" t="n">
        <v>2023</v>
      </c>
      <c r="K3356" s="10" t="n">
        <v>46083</v>
      </c>
      <c r="L3356" s="11" t="n">
        <v>1</v>
      </c>
      <c r="M3356" s="8">
        <f>L3356*G3356</f>
        <v/>
      </c>
      <c r="P3356" s="9" t="n"/>
    </row>
    <row r="3357">
      <c r="A3357" s="11" t="inlineStr">
        <is>
          <t>Elvish Pioneer / Pioneiro Élfico</t>
        </is>
      </c>
      <c r="B3357" s="11" t="inlineStr">
        <is>
          <t>Creature — Elf Druid / Criatura — Druida Elfo</t>
        </is>
      </c>
      <c r="C3357" s="11" t="inlineStr">
        <is>
          <t>Common / Comum</t>
        </is>
      </c>
      <c r="D3357" s="11" t="inlineStr">
        <is>
          <t>When this creature enters, you may put a basic land card from your hand onto the battlefield tapped. / Quando Pioneiro Élfico entra em jogo, você pode colocar em jogo, virado, um card de terreno básico de sua mão.</t>
        </is>
      </c>
      <c r="E3357" s="11" t="inlineStr">
        <is>
          <t>{G}</t>
        </is>
      </c>
      <c r="F3357" s="11" t="inlineStr">
        <is>
          <t>Verde</t>
        </is>
      </c>
      <c r="G3357" s="8" t="n">
        <v>0.24</v>
      </c>
      <c r="H3357" s="11" t="inlineStr">
        <is>
          <t>Onslaught (ONS)</t>
        </is>
      </c>
      <c r="I3357" s="11" t="inlineStr">
        <is>
          <t>Não</t>
        </is>
      </c>
      <c r="J3357" s="11" t="n">
        <v>2002</v>
      </c>
      <c r="K3357" s="10" t="n">
        <v>46023</v>
      </c>
      <c r="L3357" s="11" t="n">
        <v>1</v>
      </c>
      <c r="M3357" s="8">
        <f>L3357*G3357</f>
        <v/>
      </c>
      <c r="P3357" s="9" t="n"/>
    </row>
    <row r="3358">
      <c r="A3358" s="11" t="inlineStr">
        <is>
          <t>Gift of the Viper / Presente da Víbora</t>
        </is>
      </c>
      <c r="B3358" s="11" t="inlineStr">
        <is>
          <t>Instant / Mágica Instantânea</t>
        </is>
      </c>
      <c r="C3358" s="11" t="inlineStr">
        <is>
          <t>Common / Comum</t>
        </is>
      </c>
      <c r="D3358" s="11" t="inlineStr">
        <is>
          <t>Put a +1/+1 counter, a reach counter, and a deathtouch counter on target creature. Untap it. / Coloque um marcador +1/+1, um marcador de alcance e um marcador de toque mortífero na criatura alvo. Desvire aquela criatura.</t>
        </is>
      </c>
      <c r="E3358" s="11" t="inlineStr">
        <is>
          <t>{G}</t>
        </is>
      </c>
      <c r="F3358" s="11" t="inlineStr">
        <is>
          <t>Verde</t>
        </is>
      </c>
      <c r="G3358" s="8" t="n">
        <v>0.11</v>
      </c>
      <c r="H3358" s="11" t="inlineStr">
        <is>
          <t>Modern Horizons 3 (MH3)</t>
        </is>
      </c>
      <c r="I3358" s="11" t="inlineStr">
        <is>
          <t>Não</t>
        </is>
      </c>
      <c r="J3358" s="11" t="n">
        <v>2024</v>
      </c>
      <c r="L3358" s="11" t="n">
        <v>1</v>
      </c>
      <c r="M3358" s="8">
        <f>L3358*G3358</f>
        <v/>
      </c>
      <c r="P3358" s="9" t="n"/>
    </row>
    <row r="3359">
      <c r="A3359" s="11" t="inlineStr">
        <is>
          <t>Surrak, the Hunt Caller / Surrak, o Convocador da Caçada</t>
        </is>
      </c>
      <c r="B3359" s="11" t="inlineStr">
        <is>
          <t>Legendary Creature — Human Warrior / Criatura Lendária — Humano Guerreiro</t>
        </is>
      </c>
      <c r="C3359" s="11" t="inlineStr">
        <is>
          <t>Uncommon / Incomum</t>
        </is>
      </c>
      <c r="D3359" s="11" t="inlineStr">
        <is>
          <t>Formidable — At the beginning of combat on your turn, if creatures you control have total power 8 or greater, target creature you control gains haste until end of turn. (It can attack and {T} no matter when it came under your control.) / Formidável — No início do combate no seu turno, se o total de poder das criaturas que você controla for igual ou superior a 8, a criatura alvo que você controla ganha ímpeto até o final do turno.</t>
        </is>
      </c>
      <c r="E3359" s="11" t="inlineStr">
        <is>
          <t>{2}{G}{G}</t>
        </is>
      </c>
      <c r="F3359" s="11" t="inlineStr">
        <is>
          <t>Verde</t>
        </is>
      </c>
      <c r="G3359" s="8" t="n">
        <v>0.59</v>
      </c>
      <c r="H3359" s="11" t="inlineStr">
        <is>
          <t>Commander Masters (CMM)</t>
        </is>
      </c>
      <c r="I3359" s="11" t="inlineStr">
        <is>
          <t>Não</t>
        </is>
      </c>
      <c r="J3359" s="11" t="n">
        <v>2023</v>
      </c>
      <c r="K3359" s="10" t="n">
        <v>46117</v>
      </c>
      <c r="L3359" s="11" t="n">
        <v>1</v>
      </c>
      <c r="M3359" s="8">
        <f>L3359*G3359</f>
        <v/>
      </c>
      <c r="P3359" s="9" t="n"/>
    </row>
    <row r="3360">
      <c r="A3360" s="11" t="inlineStr">
        <is>
          <t>Jade Mage / Mago Jade</t>
        </is>
      </c>
      <c r="B3360" s="11" t="inlineStr">
        <is>
          <t>Creature — Human Shaman / Criatura — Humano Xamã</t>
        </is>
      </c>
      <c r="C3360" s="11" t="inlineStr">
        <is>
          <t>Uncommon / Incomum</t>
        </is>
      </c>
      <c r="D3360" s="11" t="inlineStr">
        <is>
          <t>{2}{G}: Create a 1/1 green Saproling creature token. / {2}{G}: Coloque no campo de batalha uma ficha de criatura verde 1/1 do tipo Saprófita.</t>
        </is>
      </c>
      <c r="E3360" s="11" t="inlineStr">
        <is>
          <t>{1}{G}</t>
        </is>
      </c>
      <c r="F3360" s="11" t="inlineStr">
        <is>
          <t>Verde</t>
        </is>
      </c>
      <c r="G3360" s="8" t="n">
        <v>0.24</v>
      </c>
      <c r="H3360" s="11" t="inlineStr">
        <is>
          <t>Commander Masters (CMM)</t>
        </is>
      </c>
      <c r="I3360" s="11" t="inlineStr">
        <is>
          <t>Não</t>
        </is>
      </c>
      <c r="J3360" s="11" t="n">
        <v>2023</v>
      </c>
      <c r="K3360" s="10" t="n">
        <v>46024</v>
      </c>
      <c r="L3360" s="11" t="n">
        <v>1</v>
      </c>
      <c r="M3360" s="8">
        <f>L3360*G3360</f>
        <v/>
      </c>
      <c r="P3360" s="9" t="n"/>
    </row>
    <row r="3361">
      <c r="A3361" s="11" t="inlineStr">
        <is>
          <t>Hunter's Insight / Percepção do Caçador</t>
        </is>
      </c>
      <c r="B3361" s="11" t="inlineStr">
        <is>
          <t>Instant / Mágica Instantânea</t>
        </is>
      </c>
      <c r="C3361" s="11" t="inlineStr">
        <is>
          <t>Uncommon / Incomum</t>
        </is>
      </c>
      <c r="D3361" s="11" t="inlineStr">
        <is>
          <t>Choose target creature you control. Whenever that creature deals combat damage to a player or planeswalker this turn, draw that many cards. / Escolha a criatura alvo que você controla. Toda vez que aquela criatura causar dano de combate a um jogador ou a um planeswalker neste turno, compre uma quantidade equivalente de cards.</t>
        </is>
      </c>
      <c r="E3361" s="11" t="inlineStr">
        <is>
          <t>{2}{G}</t>
        </is>
      </c>
      <c r="F3361" s="11" t="inlineStr">
        <is>
          <t>Verde</t>
        </is>
      </c>
      <c r="G3361" s="8" t="n">
        <v>1.99</v>
      </c>
      <c r="H3361" s="11" t="inlineStr">
        <is>
          <t>Commander Masters (CMM)</t>
        </is>
      </c>
      <c r="I3361" s="11" t="inlineStr">
        <is>
          <t>Não</t>
        </is>
      </c>
      <c r="J3361" s="11" t="n">
        <v>2023</v>
      </c>
      <c r="L3361" s="11" t="n">
        <v>1</v>
      </c>
      <c r="M3361" s="8">
        <f>L3361*G3361</f>
        <v/>
      </c>
      <c r="N3361" s="11" t="inlineStr">
        <is>
          <t>Pasta</t>
        </is>
      </c>
      <c r="P3361" s="9" t="n"/>
    </row>
    <row r="3362">
      <c r="A3362" s="11" t="inlineStr">
        <is>
          <t>Animal Magnetism / Magnetismo Animal</t>
        </is>
      </c>
      <c r="B3362" s="11" t="inlineStr">
        <is>
          <t>Sorcery / Feitiço</t>
        </is>
      </c>
      <c r="C3362" s="11" t="inlineStr">
        <is>
          <t>Uncommon / Incomum</t>
        </is>
      </c>
      <c r="D3362" s="11" t="inlineStr">
        <is>
          <t>Reveal the top five cards of your library. An opponent chooses a creature card from among them. Put that card onto the battlefield and the rest into your graveyard. / Revele os cinco cards do topo de seu grimório. Um oponente escolhe um card de criatura entre eles. Coloque aquele card em jogo em os outros em seu cemitério.</t>
        </is>
      </c>
      <c r="E3362" s="11" t="inlineStr">
        <is>
          <t>{4}{G}</t>
        </is>
      </c>
      <c r="F3362" s="11" t="inlineStr">
        <is>
          <t>Verde</t>
        </is>
      </c>
      <c r="G3362" s="8" t="n">
        <v>0.15</v>
      </c>
      <c r="H3362" s="11" t="inlineStr">
        <is>
          <t>Commander Masters (CMM)</t>
        </is>
      </c>
      <c r="I3362" s="11" t="inlineStr">
        <is>
          <t>Não</t>
        </is>
      </c>
      <c r="J3362" s="11" t="n">
        <v>2023</v>
      </c>
      <c r="L3362" s="11" t="n">
        <v>1</v>
      </c>
      <c r="M3362" s="8">
        <f>L3362*G3362</f>
        <v/>
      </c>
      <c r="P3362" s="9" t="n"/>
    </row>
    <row r="3363">
      <c r="A3363" s="11" t="inlineStr">
        <is>
          <t>Slavering Branchsnapper</t>
        </is>
      </c>
      <c r="B3363" s="11" t="inlineStr">
        <is>
          <t>Creature — Lizard</t>
        </is>
      </c>
      <c r="C3363" s="11" t="inlineStr">
        <is>
          <t>Common / Comum</t>
        </is>
      </c>
      <c r="D3363" s="11" t="inlineStr">
        <is>
          <t>Trample Forestcycling {2} ({2}, Discard this card: Search your library for a Forest card, reveal it, put it into your hand, then shuffle.)</t>
        </is>
      </c>
      <c r="E3363" s="11" t="inlineStr">
        <is>
          <t>{4}{G}{G}</t>
        </is>
      </c>
      <c r="F3363" s="11" t="inlineStr">
        <is>
          <t>Verde</t>
        </is>
      </c>
      <c r="G3363" s="8" t="n">
        <v>0.05</v>
      </c>
      <c r="H3363" s="11" t="inlineStr">
        <is>
          <t>Duskmourn: House of Horror (DSK)</t>
        </is>
      </c>
      <c r="I3363" s="11" t="inlineStr">
        <is>
          <t>Não</t>
        </is>
      </c>
      <c r="J3363" s="11" t="n">
        <v>2024</v>
      </c>
      <c r="K3363" s="10" t="n">
        <v>46180</v>
      </c>
      <c r="L3363" s="11" t="n">
        <v>1</v>
      </c>
      <c r="M3363" s="8">
        <f>L3363*G3363</f>
        <v/>
      </c>
      <c r="P3363" s="9" t="n"/>
    </row>
    <row r="3364">
      <c r="A3364" s="11" t="inlineStr">
        <is>
          <t>Loyal Guardian / Guardião Leal</t>
        </is>
      </c>
      <c r="B3364" s="11" t="inlineStr">
        <is>
          <t>Creature — Rhino / Criatura — Rinoceronte</t>
        </is>
      </c>
      <c r="C3364" s="11" t="inlineStr">
        <is>
          <t>Uncommon / Incomum</t>
        </is>
      </c>
      <c r="D3364" s="11" t="inlineStr">
        <is>
          <t>Trample Lieutenant — At the beginning of combat on your turn, if you control your commander, put a +1/+1 counter on each creature you control. / Atropelar Tenente — No início do combate no seu turno, se você controlar seu comandante, coloque um marcador +1/+1 em cada criatura que você controla.</t>
        </is>
      </c>
      <c r="E3364" s="11" t="inlineStr">
        <is>
          <t>{4}{G}</t>
        </is>
      </c>
      <c r="F3364" s="11" t="inlineStr">
        <is>
          <t>Verde</t>
        </is>
      </c>
      <c r="G3364" s="8" t="n">
        <v>1.32</v>
      </c>
      <c r="H3364" s="11" t="inlineStr">
        <is>
          <t>Commander Masters (CMM)</t>
        </is>
      </c>
      <c r="I3364" s="11" t="inlineStr">
        <is>
          <t>Não</t>
        </is>
      </c>
      <c r="J3364" s="11" t="n">
        <v>2023</v>
      </c>
      <c r="K3364" s="10" t="n">
        <v>46116</v>
      </c>
      <c r="L3364" s="11" t="n">
        <v>1</v>
      </c>
      <c r="M3364" s="8">
        <f>L3364*G3364</f>
        <v/>
      </c>
      <c r="N3364" s="11" t="inlineStr">
        <is>
          <t>Pasta</t>
        </is>
      </c>
      <c r="P3364" s="9" t="n"/>
    </row>
    <row r="3365">
      <c r="A3365" s="11" t="inlineStr">
        <is>
          <t>Tunnel Tipster / Informante dos Túneis</t>
        </is>
      </c>
      <c r="B3365" s="11" t="inlineStr">
        <is>
          <t>Creature — Mole Scout / Criatura — Toupeira Batedor</t>
        </is>
      </c>
      <c r="C3365" s="11" t="inlineStr">
        <is>
          <t>Common / Comum</t>
        </is>
      </c>
      <c r="D3365" s="11" t="inlineStr">
        <is>
          <t>At the beginning of your end step, if a face-down creature entered the battlefield under your control this turn, put a +1/+1 counter on this creature. {T}: Add {G}. / No início de sua etapa final, se uma criatura com a face voltada para baixo tiver entrado no campo de batalha sob seu controle neste turno, coloque um marcador +1/+1 em Informante dos Túneis. {T}: Adicione {G}.</t>
        </is>
      </c>
      <c r="E3365" s="11" t="inlineStr">
        <is>
          <t>{1}{G}</t>
        </is>
      </c>
      <c r="F3365" s="11" t="inlineStr">
        <is>
          <t>Verde</t>
        </is>
      </c>
      <c r="G3365" s="8" t="n">
        <v>0.09</v>
      </c>
      <c r="H3365" s="11" t="inlineStr">
        <is>
          <t>Murders at Karlov Manor (MKM)</t>
        </is>
      </c>
      <c r="I3365" s="11" t="inlineStr">
        <is>
          <t>Não</t>
        </is>
      </c>
      <c r="J3365" s="11" t="n">
        <v>2024</v>
      </c>
      <c r="K3365" s="10" t="n">
        <v>46023</v>
      </c>
      <c r="L3365" s="11" t="n">
        <v>1</v>
      </c>
      <c r="M3365" s="8">
        <f>L3365*G3365</f>
        <v/>
      </c>
      <c r="P3365" s="9" t="n"/>
    </row>
    <row r="3366">
      <c r="A3366" s="11" t="inlineStr">
        <is>
          <t>Mammoth Growth / Crescimento Mastodôntico</t>
        </is>
      </c>
      <c r="B3366" s="11" t="inlineStr">
        <is>
          <t>Instant / Mágica Instantânea</t>
        </is>
      </c>
      <c r="C3366" s="11" t="inlineStr">
        <is>
          <t>Common / Comum</t>
        </is>
      </c>
      <c r="D3366" s="11" t="inlineStr">
        <is>
          <t>Target creature gets +4/+4 until end of turn. Foretell {G} (During your turn, you may pay {2} and exile this card from your hand face down. Cast it on a later turn for its foretell cost.) / A criatura alvo recebe +4/+4 até o final do turno. Profetizar {G} (Durante o seu turno, você pode pagar {2} e exilar este card de sua mão voltado para baixo. Conjure-o em um turno posterior pagando seu custo de profetizar.)</t>
        </is>
      </c>
      <c r="E3366" s="11" t="inlineStr">
        <is>
          <t>{2}{G}</t>
        </is>
      </c>
      <c r="F3366" s="11" t="inlineStr">
        <is>
          <t>Verde</t>
        </is>
      </c>
      <c r="G3366" s="8" t="n">
        <v>0.06</v>
      </c>
      <c r="H3366" s="11" t="inlineStr">
        <is>
          <t>Kaldheim (KHM)</t>
        </is>
      </c>
      <c r="I3366" s="11" t="inlineStr">
        <is>
          <t>Não</t>
        </is>
      </c>
      <c r="J3366" s="11" t="n">
        <v>2021</v>
      </c>
      <c r="L3366" s="11" t="n">
        <v>1</v>
      </c>
      <c r="M3366" s="8">
        <f>L3366*G3366</f>
        <v/>
      </c>
      <c r="P3366" s="9" t="n"/>
    </row>
    <row r="3367">
      <c r="A3367" s="11" t="inlineStr">
        <is>
          <t>Forced Landing / Aterrissagem Forçada</t>
        </is>
      </c>
      <c r="B3367" s="11" t="inlineStr">
        <is>
          <t>Instant / Mágica Instantânea</t>
        </is>
      </c>
      <c r="C3367" s="11" t="inlineStr">
        <is>
          <t>Common / Comum</t>
        </is>
      </c>
      <c r="D3367" s="11" t="inlineStr">
        <is>
          <t>Put target creature with flying on the bottom of its owner's library. / Coloque a criatura alvo com voar no fundo do grimório de seu dono.</t>
        </is>
      </c>
      <c r="E3367" s="11" t="inlineStr">
        <is>
          <t>{1}{G}</t>
        </is>
      </c>
      <c r="F3367" s="11" t="inlineStr">
        <is>
          <t>Verde</t>
        </is>
      </c>
      <c r="G3367" s="8" t="n">
        <v>0.09</v>
      </c>
      <c r="H3367" s="11" t="inlineStr">
        <is>
          <t>Ravnica Remastered (RVR)</t>
        </is>
      </c>
      <c r="I3367" s="11" t="inlineStr">
        <is>
          <t>Não</t>
        </is>
      </c>
      <c r="J3367" s="11" t="n">
        <v>2024</v>
      </c>
      <c r="L3367" s="11" t="n">
        <v>1</v>
      </c>
      <c r="M3367" s="8">
        <f>L3367*G3367</f>
        <v/>
      </c>
      <c r="P3367" s="9" t="n"/>
    </row>
    <row r="3368">
      <c r="A3368" s="11" t="inlineStr">
        <is>
          <t>Migrating Ketradon</t>
        </is>
      </c>
      <c r="B3368" s="11" t="inlineStr">
        <is>
          <t>Creature — Dinosaur</t>
        </is>
      </c>
      <c r="C3368" s="11" t="inlineStr">
        <is>
          <t>Common / Comum</t>
        </is>
      </c>
      <c r="D3368" s="11" t="inlineStr">
        <is>
          <t>Reach When this creature enters, you gain 4 life. Cycling {2} ({2}, Discard this card: Draw a card.)</t>
        </is>
      </c>
      <c r="E3368" s="11" t="inlineStr">
        <is>
          <t>{4}{G}{G}</t>
        </is>
      </c>
      <c r="F3368" s="11" t="inlineStr">
        <is>
          <t>Verde</t>
        </is>
      </c>
      <c r="G3368" s="8" t="n">
        <v>0.1</v>
      </c>
      <c r="H3368" s="11" t="inlineStr">
        <is>
          <t>Aetherdrift (DFT)</t>
        </is>
      </c>
      <c r="I3368" s="11" t="inlineStr">
        <is>
          <t>Não</t>
        </is>
      </c>
      <c r="J3368" s="11" t="n">
        <v>2025</v>
      </c>
      <c r="K3368" s="10" t="n">
        <v>46179</v>
      </c>
      <c r="L3368" s="11" t="n">
        <v>1</v>
      </c>
      <c r="M3368" s="8">
        <f>L3368*G3368</f>
        <v/>
      </c>
      <c r="P3368" s="9" t="n"/>
    </row>
    <row r="3369">
      <c r="A3369" s="11" t="inlineStr">
        <is>
          <t>Adventurous Impulse / Impulso Aventureiro</t>
        </is>
      </c>
      <c r="B3369" s="11" t="inlineStr">
        <is>
          <t>Sorcery / Feitiço</t>
        </is>
      </c>
      <c r="C3369" s="11" t="inlineStr">
        <is>
          <t>Common / Comum</t>
        </is>
      </c>
      <c r="D3369" s="11" t="inlineStr">
        <is>
          <t>Look at the top three cards of your library. You may reveal a creature or land card from among them and put it into your hand. Put the rest on the bottom of your library in any order. / Olhe os três cards do topo de seu grimório. Você pode revelar um card de criatura ou terreno dentre eles e colocá-lo em sua mão. Coloque o restante no fundo de seu grimório em qualquer ordem.</t>
        </is>
      </c>
      <c r="E3369" s="11" t="inlineStr">
        <is>
          <t>{G}</t>
        </is>
      </c>
      <c r="F3369" s="11" t="inlineStr">
        <is>
          <t>Verde</t>
        </is>
      </c>
      <c r="G3369" s="8" t="n">
        <v>0.15</v>
      </c>
      <c r="H3369" s="11" t="inlineStr">
        <is>
          <t>Foundations Jumpstart (J25)</t>
        </is>
      </c>
      <c r="I3369" s="11" t="inlineStr">
        <is>
          <t>Não</t>
        </is>
      </c>
      <c r="J3369" s="11" t="n">
        <v>2024</v>
      </c>
      <c r="L3369" s="11" t="n">
        <v>1</v>
      </c>
      <c r="M3369" s="8">
        <f>L3369*G3369</f>
        <v/>
      </c>
      <c r="P3369" s="9" t="n"/>
    </row>
    <row r="3370">
      <c r="A3370" s="11" t="inlineStr">
        <is>
          <t>Scale the Heights / Escalar as Alturas</t>
        </is>
      </c>
      <c r="B3370" s="11" t="inlineStr">
        <is>
          <t>Sorcery / Feitiço</t>
        </is>
      </c>
      <c r="C3370" s="11" t="inlineStr">
        <is>
          <t>Common / Comum</t>
        </is>
      </c>
      <c r="D3370" s="11" t="inlineStr">
        <is>
          <t>Put a +1/+1 counter on up to one target creature. You gain 2 life. You may play an additional land this turn. Draw a card. / Coloque um marcador +1/+1 em até uma criatura alvo. Você ganha 2 pontos de vida. Você pode jogar um terreno adicional neste turno. Compre um card.</t>
        </is>
      </c>
      <c r="E3370" s="11" t="inlineStr">
        <is>
          <t>{2}{G}</t>
        </is>
      </c>
      <c r="F3370" s="11" t="inlineStr">
        <is>
          <t>Verde</t>
        </is>
      </c>
      <c r="G3370" s="8" t="n">
        <v>0.25</v>
      </c>
      <c r="H3370" s="11" t="inlineStr">
        <is>
          <t>Jumpstart 2022 (J22)</t>
        </is>
      </c>
      <c r="I3370" s="11" t="inlineStr">
        <is>
          <t>Não</t>
        </is>
      </c>
      <c r="J3370" s="11" t="n">
        <v>2022</v>
      </c>
      <c r="L3370" s="11" t="n">
        <v>1</v>
      </c>
      <c r="M3370" s="8">
        <f>L3370*G3370</f>
        <v/>
      </c>
      <c r="P3370" s="9" t="n"/>
    </row>
    <row r="3371">
      <c r="A3371" s="11" t="inlineStr">
        <is>
          <t>Hunter's Edge / Vantagem da Caçadora</t>
        </is>
      </c>
      <c r="B3371" s="11" t="inlineStr">
        <is>
          <t>Sorcery / Feitiço</t>
        </is>
      </c>
      <c r="C3371" s="11" t="inlineStr">
        <is>
          <t>Common / Comum</t>
        </is>
      </c>
      <c r="D3371" s="11" t="inlineStr">
        <is>
          <t>Put a +1/+1 counter on target creature you control. Then that creature deals damage equal to its power to target creature you don't control. / Coloque um marcador +1/+1 na criatura alvo que você controla. Em seguida, aquela criatura causa uma quantidade de dano igual ao próprio poder à criatura alvo que você não controla.</t>
        </is>
      </c>
      <c r="E3371" s="11" t="inlineStr">
        <is>
          <t>{3}{G}</t>
        </is>
      </c>
      <c r="F3371" s="11" t="inlineStr">
        <is>
          <t>Verde</t>
        </is>
      </c>
      <c r="G3371" s="8" t="n">
        <v>0.18</v>
      </c>
      <c r="H3371" s="11" t="inlineStr">
        <is>
          <t>Foundations Jumpstart (J25)</t>
        </is>
      </c>
      <c r="I3371" s="11" t="inlineStr">
        <is>
          <t>Não</t>
        </is>
      </c>
      <c r="J3371" s="11" t="n">
        <v>2024</v>
      </c>
      <c r="L3371" s="11" t="n">
        <v>1</v>
      </c>
      <c r="M3371" s="8">
        <f>L3371*G3371</f>
        <v/>
      </c>
      <c r="P3371" s="9" t="n"/>
    </row>
    <row r="3372">
      <c r="A3372" s="11" t="inlineStr">
        <is>
          <t>Flaxen Intruder // Welcome Home / Intrusa das Madeixas Douradas // Boas-vindas ao Lar</t>
        </is>
      </c>
      <c r="B3372" s="11" t="inlineStr">
        <is>
          <t>Creature — Human Berserker // Sorcery — Adventure / Criatura — Humano Amoque</t>
        </is>
      </c>
      <c r="C3372" s="11" t="inlineStr">
        <is>
          <t>Uncommon / Incomum</t>
        </is>
      </c>
      <c r="D3372" s="11" t="inlineStr">
        <is>
          <t>Flaxen Intruder: Whenever this creature deals combat damage to a player, you may sacrifice it. When you do, destroy target artifact or enchantment. // Welcome Home: Create three 2/2 green Bear creature tokens. (Then exile this card. You may cast the creature later from exile.) / Toda vez que Intrusa das Madeixas Douradas causa dano de combate a um jogador, você pode sacrificá-la. Quando fizer isso, destrua o artefato ou encantamento alvo.</t>
        </is>
      </c>
      <c r="E3372" s="11" t="inlineStr">
        <is>
          <t>{G} // {5}{G}{G}</t>
        </is>
      </c>
      <c r="F3372" s="11" t="inlineStr">
        <is>
          <t>Verde</t>
        </is>
      </c>
      <c r="G3372" s="8" t="n">
        <v>0.3</v>
      </c>
      <c r="H3372" s="11" t="inlineStr">
        <is>
          <t>Throne of Eldraine (ELD)</t>
        </is>
      </c>
      <c r="I3372" s="11" t="inlineStr">
        <is>
          <t>Sim</t>
        </is>
      </c>
      <c r="J3372" s="11" t="n">
        <v>2019</v>
      </c>
      <c r="K3372" s="10" t="n">
        <v>46054</v>
      </c>
      <c r="L3372" s="11" t="n">
        <v>1</v>
      </c>
      <c r="M3372" s="8">
        <f>L3372*G3372</f>
        <v/>
      </c>
      <c r="P3372" s="9" t="n"/>
    </row>
    <row r="3373">
      <c r="G3373" s="8" t="n"/>
      <c r="M3373" s="8">
        <f>L3373*G3373</f>
        <v/>
      </c>
      <c r="P3373" s="9" t="n"/>
    </row>
    <row r="3374">
      <c r="G3374" s="8" t="n"/>
      <c r="M3374" s="8">
        <f>L3374*G3374</f>
        <v/>
      </c>
      <c r="P3374" s="9" t="n"/>
    </row>
    <row r="3375">
      <c r="G3375" s="8" t="n"/>
      <c r="M3375" s="8">
        <f>L3375*G3375</f>
        <v/>
      </c>
      <c r="P3375" s="9" t="n"/>
    </row>
    <row r="3376">
      <c r="G3376" s="8" t="n"/>
      <c r="M3376" s="8">
        <f>L3376*G3376</f>
        <v/>
      </c>
      <c r="P3376" s="9" t="n"/>
    </row>
    <row r="3377">
      <c r="G3377" s="8" t="n"/>
      <c r="M3377" s="8">
        <f>L3377*G3377</f>
        <v/>
      </c>
      <c r="P3377" s="9" t="n"/>
    </row>
    <row r="3378">
      <c r="G3378" s="8" t="n"/>
      <c r="M3378" s="8">
        <f>L3378*G3378</f>
        <v/>
      </c>
      <c r="P3378" s="9" t="n"/>
    </row>
    <row r="3379">
      <c r="G3379" s="8" t="n"/>
      <c r="M3379" s="8">
        <f>L3379*G3379</f>
        <v/>
      </c>
      <c r="P3379" s="9" t="n"/>
    </row>
    <row r="3380">
      <c r="G3380" s="8" t="n"/>
      <c r="M3380" s="8">
        <f>L3380*G3380</f>
        <v/>
      </c>
      <c r="P3380" s="9" t="n"/>
    </row>
    <row r="3381">
      <c r="G3381" s="8" t="n"/>
      <c r="M3381" s="8">
        <f>L3381*G3381</f>
        <v/>
      </c>
      <c r="P3381" s="9" t="n"/>
    </row>
    <row r="3382">
      <c r="G3382" s="8" t="n"/>
      <c r="M3382" s="8">
        <f>L3382*G3382</f>
        <v/>
      </c>
      <c r="P3382" s="9" t="n"/>
    </row>
    <row r="3383">
      <c r="G3383" s="8" t="n"/>
      <c r="M3383" s="8">
        <f>L3383*G3383</f>
        <v/>
      </c>
      <c r="P3383" s="9" t="n"/>
    </row>
    <row r="3384">
      <c r="G3384" s="8" t="n"/>
      <c r="M3384" s="8">
        <f>L3384*G3384</f>
        <v/>
      </c>
      <c r="P3384" s="9" t="n"/>
    </row>
    <row r="3385">
      <c r="G3385" s="8" t="n"/>
      <c r="M3385" s="8">
        <f>L3385*G3385</f>
        <v/>
      </c>
      <c r="P3385" s="9" t="n"/>
    </row>
    <row r="3386">
      <c r="G3386" s="8" t="n"/>
      <c r="M3386" s="8">
        <f>L3386*G3386</f>
        <v/>
      </c>
      <c r="P3386" s="9" t="n"/>
    </row>
    <row r="3387">
      <c r="G3387" s="8" t="n"/>
      <c r="M3387" s="8">
        <f>L3387*G3387</f>
        <v/>
      </c>
      <c r="P3387" s="9" t="n"/>
    </row>
    <row r="3388">
      <c r="G3388" s="8" t="n"/>
      <c r="M3388" s="8">
        <f>L3388*G3388</f>
        <v/>
      </c>
      <c r="P3388" s="9" t="n"/>
    </row>
    <row r="3389">
      <c r="G3389" s="8" t="n"/>
      <c r="M3389" s="8">
        <f>L3389*G3389</f>
        <v/>
      </c>
      <c r="P3389" s="9" t="n"/>
    </row>
    <row r="3390">
      <c r="G3390" s="8" t="n"/>
      <c r="M3390" s="8">
        <f>L3390*G3390</f>
        <v/>
      </c>
      <c r="P3390" s="9" t="n"/>
    </row>
    <row r="3391">
      <c r="G3391" s="8" t="n"/>
      <c r="M3391" s="8">
        <f>L3391*G3391</f>
        <v/>
      </c>
      <c r="P3391" s="9" t="n"/>
    </row>
    <row r="3392">
      <c r="G3392" s="8" t="n"/>
      <c r="M3392" s="8">
        <f>L3392*G3392</f>
        <v/>
      </c>
      <c r="P3392" s="9" t="n"/>
    </row>
    <row r="3393">
      <c r="G3393" s="8" t="n"/>
      <c r="M3393" s="8">
        <f>L3393*G3393</f>
        <v/>
      </c>
      <c r="P3393" s="9" t="n"/>
    </row>
    <row r="3394">
      <c r="G3394" s="8" t="n"/>
      <c r="M3394" s="8">
        <f>L3394*G3394</f>
        <v/>
      </c>
      <c r="P3394" s="9" t="n"/>
    </row>
    <row r="3395">
      <c r="G3395" s="8" t="n"/>
      <c r="M3395" s="8">
        <f>L3395*G3395</f>
        <v/>
      </c>
      <c r="P3395" s="9" t="n"/>
    </row>
    <row r="3396">
      <c r="G3396" s="8" t="n"/>
      <c r="M3396" s="8">
        <f>L3396*G3396</f>
        <v/>
      </c>
      <c r="P3396" s="9" t="n"/>
    </row>
    <row r="3397">
      <c r="G3397" s="8" t="n"/>
      <c r="M3397" s="8">
        <f>L3397*G3397</f>
        <v/>
      </c>
      <c r="P3397" s="9" t="n"/>
    </row>
    <row r="3398">
      <c r="G3398" s="8" t="n"/>
      <c r="M3398" s="8">
        <f>L3398*G3398</f>
        <v/>
      </c>
      <c r="P3398" s="9" t="n"/>
    </row>
    <row r="3399">
      <c r="G3399" s="8" t="n"/>
      <c r="M3399" s="8">
        <f>L3399*G3399</f>
        <v/>
      </c>
      <c r="P3399" s="9" t="n"/>
    </row>
    <row r="3400">
      <c r="G3400" s="8" t="n"/>
      <c r="M3400" s="8">
        <f>L3400*G3400</f>
        <v/>
      </c>
      <c r="P3400" s="9" t="n"/>
    </row>
    <row r="3401">
      <c r="G3401" s="8" t="n"/>
      <c r="M3401" s="8">
        <f>L3401*G3401</f>
        <v/>
      </c>
      <c r="P3401" s="9" t="n"/>
    </row>
    <row r="3402">
      <c r="G3402" s="8" t="n"/>
      <c r="M3402" s="8">
        <f>L3402*G3402</f>
        <v/>
      </c>
      <c r="P3402" s="9" t="n"/>
    </row>
    <row r="3403">
      <c r="G3403" s="8" t="n"/>
      <c r="M3403" s="8">
        <f>L3403*G3403</f>
        <v/>
      </c>
      <c r="P3403" s="9" t="n"/>
    </row>
    <row r="3404">
      <c r="G3404" s="8" t="n"/>
      <c r="M3404" s="8">
        <f>L3404*G3404</f>
        <v/>
      </c>
      <c r="P3404" s="9" t="n"/>
    </row>
    <row r="3405">
      <c r="G3405" s="8" t="n"/>
      <c r="M3405" s="8">
        <f>L3405*G3405</f>
        <v/>
      </c>
      <c r="P3405" s="9" t="n"/>
    </row>
    <row r="3406">
      <c r="G3406" s="8" t="n"/>
      <c r="M3406" s="8">
        <f>L3406*G3406</f>
        <v/>
      </c>
      <c r="P3406" s="9" t="n"/>
    </row>
    <row r="3407">
      <c r="G3407" s="8" t="n"/>
      <c r="M3407" s="8">
        <f>L3407*G3407</f>
        <v/>
      </c>
      <c r="P3407" s="9" t="n"/>
    </row>
    <row r="3408">
      <c r="G3408" s="8" t="n"/>
      <c r="M3408" s="8">
        <f>L3408*G3408</f>
        <v/>
      </c>
      <c r="P3408" s="9" t="n"/>
    </row>
    <row r="3409">
      <c r="G3409" s="8" t="n"/>
      <c r="M3409" s="8">
        <f>L3409*G3409</f>
        <v/>
      </c>
      <c r="P3409" s="9" t="n"/>
    </row>
    <row r="3410">
      <c r="G3410" s="8" t="n"/>
      <c r="M3410" s="8">
        <f>L3410*G3410</f>
        <v/>
      </c>
      <c r="P3410" s="9" t="n"/>
    </row>
    <row r="3411">
      <c r="G3411" s="8" t="n"/>
      <c r="M3411" s="8">
        <f>L3411*G3411</f>
        <v/>
      </c>
      <c r="P3411" s="9" t="n"/>
    </row>
    <row r="3412">
      <c r="G3412" s="8" t="n"/>
      <c r="M3412" s="8">
        <f>L3412*G3412</f>
        <v/>
      </c>
      <c r="P3412" s="9" t="n"/>
    </row>
    <row r="3413">
      <c r="G3413" s="8" t="n"/>
      <c r="M3413" s="8">
        <f>L3413*G3413</f>
        <v/>
      </c>
      <c r="P3413" s="9" t="n"/>
    </row>
    <row r="3414">
      <c r="G3414" s="8" t="n"/>
      <c r="M3414" s="8">
        <f>L3414*G3414</f>
        <v/>
      </c>
      <c r="P3414" s="9" t="n"/>
    </row>
    <row r="3415">
      <c r="G3415" s="8" t="n"/>
      <c r="M3415" s="8">
        <f>L3415*G3415</f>
        <v/>
      </c>
      <c r="P3415" s="9" t="n"/>
    </row>
    <row r="3416">
      <c r="G3416" s="8" t="n"/>
      <c r="M3416" s="8">
        <f>L3416*G3416</f>
        <v/>
      </c>
      <c r="P3416" s="9" t="n"/>
    </row>
    <row r="3417">
      <c r="G3417" s="8" t="n"/>
      <c r="M3417" s="8">
        <f>L3417*G3417</f>
        <v/>
      </c>
      <c r="P3417" s="9" t="n"/>
    </row>
    <row r="3418">
      <c r="G3418" s="8" t="n"/>
      <c r="M3418" s="8">
        <f>L3418*G3418</f>
        <v/>
      </c>
      <c r="P3418" s="9" t="n"/>
    </row>
    <row r="3419">
      <c r="G3419" s="8" t="n"/>
      <c r="M3419" s="8">
        <f>L3419*G3419</f>
        <v/>
      </c>
      <c r="P3419" s="9" t="n"/>
    </row>
    <row r="3420">
      <c r="G3420" s="8" t="n"/>
      <c r="M3420" s="8">
        <f>L3420*G3420</f>
        <v/>
      </c>
      <c r="P3420" s="9" t="n"/>
    </row>
    <row r="3421">
      <c r="G3421" s="8" t="n"/>
      <c r="M3421" s="8">
        <f>L3421*G3421</f>
        <v/>
      </c>
      <c r="P3421" s="9" t="n"/>
    </row>
    <row r="3422">
      <c r="G3422" s="8" t="n"/>
      <c r="M3422" s="8">
        <f>L3422*G3422</f>
        <v/>
      </c>
      <c r="P3422" s="9" t="n"/>
    </row>
    <row r="3423">
      <c r="G3423" s="8" t="n"/>
      <c r="M3423" s="8">
        <f>L3423*G3423</f>
        <v/>
      </c>
      <c r="P3423" s="9" t="n"/>
    </row>
    <row r="3424">
      <c r="G3424" s="8" t="n"/>
      <c r="M3424" s="8">
        <f>L3424*G3424</f>
        <v/>
      </c>
      <c r="P3424" s="9" t="n"/>
    </row>
    <row r="3425">
      <c r="G3425" s="8" t="n"/>
      <c r="M3425" s="8">
        <f>L3425*G3425</f>
        <v/>
      </c>
      <c r="P3425" s="9" t="n"/>
    </row>
    <row r="3426">
      <c r="G3426" s="8" t="n"/>
      <c r="M3426" s="8">
        <f>L3426*G3426</f>
        <v/>
      </c>
      <c r="P3426" s="9" t="n"/>
    </row>
    <row r="3427">
      <c r="G3427" s="8" t="n"/>
      <c r="M3427" s="8">
        <f>L3427*G3427</f>
        <v/>
      </c>
      <c r="P3427" s="9" t="n"/>
    </row>
    <row r="3428">
      <c r="G3428" s="8" t="n"/>
      <c r="M3428" s="8">
        <f>L3428*G3428</f>
        <v/>
      </c>
      <c r="P3428" s="9" t="n"/>
    </row>
    <row r="3429">
      <c r="G3429" s="8" t="n"/>
      <c r="M3429" s="8">
        <f>L3429*G3429</f>
        <v/>
      </c>
      <c r="P3429" s="9" t="n"/>
    </row>
    <row r="3430">
      <c r="G3430" s="8" t="n"/>
      <c r="M3430" s="8">
        <f>L3430*G3430</f>
        <v/>
      </c>
      <c r="P3430" s="9" t="n"/>
    </row>
    <row r="3431">
      <c r="G3431" s="8" t="n"/>
      <c r="M3431" s="8">
        <f>L3431*G3431</f>
        <v/>
      </c>
      <c r="P3431" s="9" t="n"/>
    </row>
    <row r="3432">
      <c r="G3432" s="8" t="n"/>
      <c r="M3432" s="8">
        <f>L3432*G3432</f>
        <v/>
      </c>
      <c r="P3432" s="9" t="n"/>
    </row>
    <row r="3433">
      <c r="G3433" s="8" t="n"/>
      <c r="M3433" s="8">
        <f>L3433*G3433</f>
        <v/>
      </c>
      <c r="P3433" s="9" t="n"/>
    </row>
    <row r="3434">
      <c r="G3434" s="8" t="n"/>
      <c r="M3434" s="8">
        <f>L3434*G3434</f>
        <v/>
      </c>
      <c r="P3434" s="9" t="n"/>
    </row>
    <row r="3435">
      <c r="G3435" s="8" t="n"/>
      <c r="M3435" s="8">
        <f>L3435*G3435</f>
        <v/>
      </c>
      <c r="P3435" s="9" t="n"/>
    </row>
    <row r="3436">
      <c r="G3436" s="8" t="n"/>
      <c r="M3436" s="8">
        <f>L3436*G3436</f>
        <v/>
      </c>
      <c r="P3436" s="9" t="n"/>
    </row>
    <row r="3437">
      <c r="G3437" s="8" t="n"/>
      <c r="M3437" s="8">
        <f>L3437*G3437</f>
        <v/>
      </c>
      <c r="P3437" s="9" t="n"/>
    </row>
    <row r="3438">
      <c r="G3438" s="8" t="n"/>
      <c r="M3438" s="8">
        <f>L3438*G3438</f>
        <v/>
      </c>
      <c r="P3438" s="9" t="n"/>
    </row>
    <row r="3439">
      <c r="G3439" s="8" t="n"/>
      <c r="M3439" s="8">
        <f>L3439*G3439</f>
        <v/>
      </c>
      <c r="P3439" s="9" t="n"/>
    </row>
    <row r="3440">
      <c r="G3440" s="8" t="n"/>
      <c r="M3440" s="8">
        <f>L3440*G3440</f>
        <v/>
      </c>
      <c r="P3440" s="9" t="n"/>
    </row>
    <row r="3441">
      <c r="G3441" s="8" t="n"/>
      <c r="M3441" s="8">
        <f>L3441*G3441</f>
        <v/>
      </c>
      <c r="P3441" s="9" t="n"/>
    </row>
    <row r="3442">
      <c r="G3442" s="8" t="n"/>
      <c r="M3442" s="8">
        <f>L3442*G3442</f>
        <v/>
      </c>
      <c r="P3442" s="9" t="n"/>
    </row>
    <row r="3443">
      <c r="G3443" s="8" t="n"/>
      <c r="M3443" s="8">
        <f>L3443*G3443</f>
        <v/>
      </c>
      <c r="P3443" s="9" t="n"/>
    </row>
    <row r="3444">
      <c r="G3444" s="8" t="n"/>
      <c r="M3444" s="8">
        <f>L3444*G3444</f>
        <v/>
      </c>
      <c r="P3444" s="9" t="n"/>
    </row>
    <row r="3445">
      <c r="G3445" s="8" t="n"/>
      <c r="M3445" s="8">
        <f>L3445*G3445</f>
        <v/>
      </c>
      <c r="P3445" s="9" t="n"/>
    </row>
    <row r="3446">
      <c r="G3446" s="8" t="n"/>
      <c r="M3446" s="8">
        <f>L3446*G3446</f>
        <v/>
      </c>
      <c r="P3446" s="9" t="n"/>
    </row>
    <row r="3447">
      <c r="G3447" s="8" t="n"/>
      <c r="M3447" s="8">
        <f>L3447*G3447</f>
        <v/>
      </c>
      <c r="P3447" s="9" t="n"/>
    </row>
    <row r="3448">
      <c r="G3448" s="8" t="n"/>
      <c r="M3448" s="8">
        <f>L3448*G3448</f>
        <v/>
      </c>
      <c r="P3448" s="9" t="n"/>
    </row>
    <row r="3449">
      <c r="G3449" s="8" t="n"/>
      <c r="M3449" s="8">
        <f>L3449*G3449</f>
        <v/>
      </c>
      <c r="P3449" s="9" t="n"/>
    </row>
    <row r="3450">
      <c r="G3450" s="8" t="n"/>
      <c r="M3450" s="8">
        <f>L3450*G3450</f>
        <v/>
      </c>
      <c r="P3450" s="9" t="n"/>
    </row>
    <row r="3451">
      <c r="G3451" s="8" t="n"/>
      <c r="M3451" s="8">
        <f>L3451*G3451</f>
        <v/>
      </c>
      <c r="P3451" s="9" t="n"/>
    </row>
    <row r="3452">
      <c r="G3452" s="8" t="n"/>
      <c r="M3452" s="8">
        <f>L3452*G3452</f>
        <v/>
      </c>
      <c r="P3452" s="9" t="n"/>
    </row>
    <row r="3453">
      <c r="G3453" s="8" t="n"/>
      <c r="M3453" s="8">
        <f>L3453*G3453</f>
        <v/>
      </c>
      <c r="P3453" s="9" t="n"/>
    </row>
    <row r="3454">
      <c r="G3454" s="8" t="n"/>
      <c r="M3454" s="8">
        <f>L3454*G3454</f>
        <v/>
      </c>
      <c r="P3454" s="9" t="n"/>
    </row>
    <row r="3455">
      <c r="G3455" s="8" t="n"/>
      <c r="M3455" s="8">
        <f>L3455*G3455</f>
        <v/>
      </c>
      <c r="P3455" s="9" t="n"/>
    </row>
    <row r="3456">
      <c r="G3456" s="8" t="n"/>
      <c r="M3456" s="8">
        <f>L3456*G3456</f>
        <v/>
      </c>
      <c r="P3456" s="9" t="n"/>
    </row>
    <row r="3457">
      <c r="G3457" s="8" t="n"/>
      <c r="M3457" s="8">
        <f>L3457*G3457</f>
        <v/>
      </c>
      <c r="P3457" s="9" t="n"/>
    </row>
    <row r="3458">
      <c r="G3458" s="8" t="n"/>
      <c r="M3458" s="8">
        <f>L3458*G3458</f>
        <v/>
      </c>
      <c r="P3458" s="9" t="n"/>
    </row>
    <row r="3459">
      <c r="G3459" s="8" t="n"/>
      <c r="M3459" s="8">
        <f>L3459*G3459</f>
        <v/>
      </c>
      <c r="P3459" s="9" t="n"/>
    </row>
    <row r="3460">
      <c r="G3460" s="8" t="n"/>
      <c r="M3460" s="8">
        <f>L3460*G3460</f>
        <v/>
      </c>
      <c r="P3460" s="9" t="n"/>
    </row>
    <row r="3461">
      <c r="G3461" s="8" t="n"/>
      <c r="M3461" s="8">
        <f>L3461*G3461</f>
        <v/>
      </c>
      <c r="P3461" s="9" t="n"/>
    </row>
    <row r="3462">
      <c r="G3462" s="8" t="n"/>
      <c r="M3462" s="8">
        <f>L3462*G3462</f>
        <v/>
      </c>
      <c r="P3462" s="9" t="n"/>
    </row>
    <row r="3463">
      <c r="G3463" s="8" t="n"/>
      <c r="M3463" s="8">
        <f>L3463*G3463</f>
        <v/>
      </c>
      <c r="P3463" s="9" t="n"/>
    </row>
    <row r="3464">
      <c r="G3464" s="8" t="n"/>
      <c r="M3464" s="8">
        <f>L3464*G3464</f>
        <v/>
      </c>
      <c r="P3464" s="9" t="n"/>
    </row>
    <row r="3465">
      <c r="G3465" s="8" t="n"/>
      <c r="M3465" s="8">
        <f>L3465*G3465</f>
        <v/>
      </c>
      <c r="P3465" s="9" t="n"/>
    </row>
    <row r="3466">
      <c r="G3466" s="8" t="n"/>
      <c r="M3466" s="8">
        <f>L3466*G3466</f>
        <v/>
      </c>
      <c r="P3466" s="9" t="n"/>
    </row>
    <row r="3467">
      <c r="G3467" s="8" t="n"/>
      <c r="M3467" s="8">
        <f>L3467*G3467</f>
        <v/>
      </c>
      <c r="P3467" s="9" t="n"/>
    </row>
    <row r="3468">
      <c r="G3468" s="8" t="n"/>
      <c r="M3468" s="8">
        <f>L3468*G3468</f>
        <v/>
      </c>
      <c r="P3468" s="9" t="n"/>
    </row>
    <row r="3469">
      <c r="G3469" s="8" t="n"/>
      <c r="M3469" s="8">
        <f>L3469*G3469</f>
        <v/>
      </c>
      <c r="P3469" s="9" t="n"/>
    </row>
    <row r="3470">
      <c r="G3470" s="8" t="n"/>
      <c r="M3470" s="8">
        <f>L3470*G3470</f>
        <v/>
      </c>
      <c r="P3470" s="9" t="n"/>
    </row>
    <row r="3471">
      <c r="G3471" s="8" t="n"/>
      <c r="M3471" s="8">
        <f>L3471*G3471</f>
        <v/>
      </c>
      <c r="P3471" s="9" t="n"/>
    </row>
    <row r="3472">
      <c r="G3472" s="8" t="n"/>
      <c r="M3472" s="8">
        <f>L3472*G3472</f>
        <v/>
      </c>
      <c r="P3472" s="9" t="n"/>
    </row>
    <row r="3473">
      <c r="G3473" s="8" t="n"/>
      <c r="M3473" s="8">
        <f>L3473*G3473</f>
        <v/>
      </c>
      <c r="P3473" s="9" t="n"/>
    </row>
    <row r="3474">
      <c r="G3474" s="8" t="n"/>
      <c r="M3474" s="8">
        <f>L3474*G3474</f>
        <v/>
      </c>
      <c r="P3474" s="9" t="n"/>
    </row>
    <row r="3475">
      <c r="G3475" s="8" t="n"/>
      <c r="M3475" s="8">
        <f>L3475*G3475</f>
        <v/>
      </c>
      <c r="P3475" s="9" t="n"/>
    </row>
    <row r="3476">
      <c r="G3476" s="8" t="n"/>
      <c r="M3476" s="8">
        <f>L3476*G3476</f>
        <v/>
      </c>
      <c r="P3476" s="9" t="n"/>
    </row>
    <row r="3477">
      <c r="G3477" s="8" t="n"/>
      <c r="M3477" s="8">
        <f>L3477*G3477</f>
        <v/>
      </c>
      <c r="P3477" s="9" t="n"/>
    </row>
    <row r="3478">
      <c r="G3478" s="8" t="n"/>
      <c r="M3478" s="8">
        <f>L3478*G3478</f>
        <v/>
      </c>
      <c r="P3478" s="9" t="n"/>
    </row>
    <row r="3479">
      <c r="G3479" s="8" t="n"/>
      <c r="M3479" s="8">
        <f>L3479*G3479</f>
        <v/>
      </c>
      <c r="P3479" s="9" t="n"/>
    </row>
    <row r="3480">
      <c r="G3480" s="8" t="n"/>
      <c r="M3480" s="8">
        <f>L3480*G3480</f>
        <v/>
      </c>
      <c r="P3480" s="9" t="n"/>
    </row>
    <row r="3481">
      <c r="G3481" s="8" t="n"/>
      <c r="M3481" s="8">
        <f>L3481*G3481</f>
        <v/>
      </c>
      <c r="P3481" s="9" t="n"/>
    </row>
    <row r="3482">
      <c r="G3482" s="8" t="n"/>
      <c r="M3482" s="8">
        <f>L3482*G3482</f>
        <v/>
      </c>
      <c r="P3482" s="9" t="n"/>
    </row>
    <row r="3483">
      <c r="G3483" s="8" t="n"/>
      <c r="M3483" s="8">
        <f>L3483*G3483</f>
        <v/>
      </c>
      <c r="P3483" s="9" t="n"/>
    </row>
    <row r="3484">
      <c r="G3484" s="8" t="n"/>
      <c r="M3484" s="8">
        <f>L3484*G3484</f>
        <v/>
      </c>
      <c r="P3484" s="9" t="n"/>
    </row>
    <row r="3485">
      <c r="G3485" s="8" t="n"/>
      <c r="M3485" s="8">
        <f>L3485*G3485</f>
        <v/>
      </c>
      <c r="P3485" s="9" t="n"/>
    </row>
    <row r="3486">
      <c r="G3486" s="8" t="n"/>
      <c r="M3486" s="8">
        <f>L3486*G3486</f>
        <v/>
      </c>
      <c r="P3486" s="9" t="n"/>
    </row>
    <row r="3487">
      <c r="G3487" s="8" t="n"/>
      <c r="M3487" s="8">
        <f>L3487*G3487</f>
        <v/>
      </c>
      <c r="P3487" s="9" t="n"/>
    </row>
    <row r="3488">
      <c r="G3488" s="8" t="n"/>
      <c r="M3488" s="8">
        <f>L3488*G3488</f>
        <v/>
      </c>
      <c r="P3488" s="9" t="n"/>
    </row>
    <row r="3489">
      <c r="G3489" s="8" t="n"/>
      <c r="M3489" s="8">
        <f>L3489*G3489</f>
        <v/>
      </c>
      <c r="P3489" s="9" t="n"/>
    </row>
    <row r="3490">
      <c r="G3490" s="8" t="n"/>
      <c r="M3490" s="8">
        <f>L3490*G3490</f>
        <v/>
      </c>
      <c r="P3490" s="9" t="n"/>
    </row>
    <row r="3491">
      <c r="G3491" s="8" t="n"/>
      <c r="M3491" s="8">
        <f>L3491*G3491</f>
        <v/>
      </c>
      <c r="P3491" s="9" t="n"/>
    </row>
    <row r="3492">
      <c r="G3492" s="8" t="n"/>
      <c r="M3492" s="8">
        <f>L3492*G3492</f>
        <v/>
      </c>
      <c r="P3492" s="9" t="n"/>
    </row>
    <row r="3493">
      <c r="G3493" s="8" t="n"/>
      <c r="M3493" s="8">
        <f>L3493*G3493</f>
        <v/>
      </c>
      <c r="P3493" s="9" t="n"/>
    </row>
    <row r="3494">
      <c r="G3494" s="8" t="n"/>
      <c r="M3494" s="8">
        <f>L3494*G3494</f>
        <v/>
      </c>
      <c r="P3494" s="9" t="n"/>
    </row>
    <row r="3495">
      <c r="G3495" s="8" t="n"/>
      <c r="M3495" s="8">
        <f>L3495*G3495</f>
        <v/>
      </c>
      <c r="P3495" s="9" t="n"/>
    </row>
    <row r="3496">
      <c r="G3496" s="8" t="n"/>
      <c r="M3496" s="8">
        <f>L3496*G3496</f>
        <v/>
      </c>
      <c r="P3496" s="9" t="n"/>
    </row>
    <row r="3497">
      <c r="G3497" s="8" t="n"/>
      <c r="M3497" s="8">
        <f>L3497*G3497</f>
        <v/>
      </c>
      <c r="P3497" s="9" t="n"/>
    </row>
    <row r="3498">
      <c r="G3498" s="8" t="n"/>
      <c r="M3498" s="8">
        <f>L3498*G3498</f>
        <v/>
      </c>
      <c r="P3498" s="9" t="n"/>
    </row>
    <row r="3499">
      <c r="G3499" s="8" t="n"/>
      <c r="M3499" s="8">
        <f>L3499*G3499</f>
        <v/>
      </c>
      <c r="P3499" s="9" t="n"/>
    </row>
    <row r="3500">
      <c r="G3500" s="8" t="n"/>
      <c r="M3500" s="8">
        <f>L3500*G3500</f>
        <v/>
      </c>
      <c r="P3500" s="9" t="n"/>
    </row>
    <row r="3501">
      <c r="G3501" s="8" t="n"/>
      <c r="M3501" s="8">
        <f>L3501*G3501</f>
        <v/>
      </c>
      <c r="P3501" s="9" t="n"/>
    </row>
    <row r="3502">
      <c r="G3502" s="8" t="n"/>
      <c r="M3502" s="8">
        <f>L3502*G3502</f>
        <v/>
      </c>
      <c r="P3502" s="9" t="n"/>
    </row>
    <row r="3503">
      <c r="G3503" s="8" t="n"/>
      <c r="M3503" s="8">
        <f>L3503*G3503</f>
        <v/>
      </c>
      <c r="P3503" s="9" t="n"/>
    </row>
    <row r="3504">
      <c r="G3504" s="8" t="n"/>
      <c r="M3504" s="8">
        <f>L3504*G3504</f>
        <v/>
      </c>
      <c r="P3504" s="9" t="n"/>
    </row>
    <row r="3505">
      <c r="G3505" s="8" t="n"/>
      <c r="M3505" s="8">
        <f>L3505*G3505</f>
        <v/>
      </c>
      <c r="P3505" s="9" t="n"/>
    </row>
    <row r="3506">
      <c r="G3506" s="8" t="n"/>
      <c r="M3506" s="8">
        <f>L3506*G3506</f>
        <v/>
      </c>
      <c r="P3506" s="9" t="n"/>
    </row>
    <row r="3507">
      <c r="G3507" s="8" t="n"/>
      <c r="M3507" s="8">
        <f>L3507*G3507</f>
        <v/>
      </c>
      <c r="P3507" s="9" t="n"/>
    </row>
    <row r="3508">
      <c r="G3508" s="8" t="n"/>
      <c r="M3508" s="8">
        <f>L3508*G3508</f>
        <v/>
      </c>
      <c r="P3508" s="9" t="n"/>
    </row>
    <row r="3509">
      <c r="G3509" s="8" t="n"/>
      <c r="M3509" s="8">
        <f>L3509*G3509</f>
        <v/>
      </c>
      <c r="P3509" s="9" t="n"/>
    </row>
    <row r="3510">
      <c r="G3510" s="8" t="n"/>
      <c r="M3510" s="8">
        <f>L3510*G3510</f>
        <v/>
      </c>
      <c r="P3510" s="9" t="n"/>
    </row>
    <row r="3511">
      <c r="G3511" s="8" t="n"/>
      <c r="M3511" s="8">
        <f>L3511*G3511</f>
        <v/>
      </c>
      <c r="P3511" s="9" t="n"/>
    </row>
    <row r="3512">
      <c r="G3512" s="8" t="n"/>
      <c r="M3512" s="8">
        <f>L3512*G3512</f>
        <v/>
      </c>
      <c r="P3512" s="9" t="n"/>
    </row>
    <row r="3513">
      <c r="G3513" s="8" t="n"/>
      <c r="M3513" s="8">
        <f>L3513*G3513</f>
        <v/>
      </c>
      <c r="P3513" s="9" t="n"/>
    </row>
    <row r="3514">
      <c r="G3514" s="8" t="n"/>
      <c r="M3514" s="8">
        <f>L3514*G3514</f>
        <v/>
      </c>
      <c r="P3514" s="9" t="n"/>
    </row>
    <row r="3515">
      <c r="G3515" s="8" t="n"/>
      <c r="M3515" s="8">
        <f>L3515*G3515</f>
        <v/>
      </c>
      <c r="P3515" s="9" t="n"/>
    </row>
    <row r="3516">
      <c r="G3516" s="8" t="n"/>
      <c r="M3516" s="8">
        <f>L3516*G3516</f>
        <v/>
      </c>
      <c r="P3516" s="9" t="n"/>
    </row>
    <row r="3517">
      <c r="G3517" s="8" t="n"/>
      <c r="M3517" s="8">
        <f>L3517*G3517</f>
        <v/>
      </c>
      <c r="P3517" s="9" t="n"/>
    </row>
    <row r="3518">
      <c r="G3518" s="8" t="n"/>
      <c r="M3518" s="8">
        <f>L3518*G3518</f>
        <v/>
      </c>
      <c r="P3518" s="9" t="n"/>
    </row>
    <row r="3519">
      <c r="G3519" s="8" t="n"/>
      <c r="M3519" s="8">
        <f>L3519*G3519</f>
        <v/>
      </c>
      <c r="P3519" s="9" t="n"/>
    </row>
    <row r="3520">
      <c r="G3520" s="8" t="n"/>
      <c r="M3520" s="8">
        <f>L3520*G3520</f>
        <v/>
      </c>
      <c r="P3520" s="9" t="n"/>
    </row>
    <row r="3521">
      <c r="G3521" s="8" t="n"/>
      <c r="M3521" s="8">
        <f>L3521*G3521</f>
        <v/>
      </c>
      <c r="P3521" s="9" t="n"/>
    </row>
    <row r="3522">
      <c r="G3522" s="8" t="n"/>
      <c r="M3522" s="8">
        <f>L3522*G3522</f>
        <v/>
      </c>
      <c r="P3522" s="9" t="n"/>
    </row>
    <row r="3523">
      <c r="G3523" s="8" t="n"/>
      <c r="M3523" s="8">
        <f>L3523*G3523</f>
        <v/>
      </c>
      <c r="P3523" s="9" t="n"/>
    </row>
    <row r="3524">
      <c r="G3524" s="8" t="n"/>
      <c r="M3524" s="8">
        <f>L3524*G3524</f>
        <v/>
      </c>
      <c r="P3524" s="9" t="n"/>
    </row>
    <row r="3525">
      <c r="G3525" s="8" t="n"/>
      <c r="M3525" s="8">
        <f>L3525*G3525</f>
        <v/>
      </c>
      <c r="P3525" s="9" t="n"/>
    </row>
    <row r="3526">
      <c r="G3526" s="8" t="n"/>
      <c r="M3526" s="8">
        <f>L3526*G3526</f>
        <v/>
      </c>
      <c r="P3526" s="9" t="n"/>
    </row>
    <row r="3527">
      <c r="G3527" s="8" t="n"/>
      <c r="M3527" s="8">
        <f>L3527*G3527</f>
        <v/>
      </c>
      <c r="P3527" s="9" t="n"/>
    </row>
    <row r="3528">
      <c r="G3528" s="8" t="n"/>
      <c r="M3528" s="8">
        <f>L3528*G3528</f>
        <v/>
      </c>
      <c r="P3528" s="9" t="n"/>
    </row>
    <row r="3529">
      <c r="G3529" s="8" t="n"/>
      <c r="M3529" s="8">
        <f>L3529*G3529</f>
        <v/>
      </c>
      <c r="P3529" s="9" t="n"/>
    </row>
    <row r="3530">
      <c r="G3530" s="8" t="n"/>
      <c r="M3530" s="8">
        <f>L3530*G3530</f>
        <v/>
      </c>
      <c r="P3530" s="9" t="n"/>
    </row>
    <row r="3531">
      <c r="G3531" s="8" t="n"/>
      <c r="M3531" s="8">
        <f>L3531*G3531</f>
        <v/>
      </c>
      <c r="P3531" s="9" t="n"/>
    </row>
    <row r="3532">
      <c r="G3532" s="8" t="n"/>
      <c r="M3532" s="8">
        <f>L3532*G3532</f>
        <v/>
      </c>
      <c r="P3532" s="9" t="n"/>
    </row>
    <row r="3533">
      <c r="G3533" s="8" t="n"/>
      <c r="M3533" s="8">
        <f>L3533*G3533</f>
        <v/>
      </c>
      <c r="P3533" s="9" t="n"/>
    </row>
    <row r="3534">
      <c r="G3534" s="8" t="n"/>
      <c r="M3534" s="8">
        <f>L3534*G3534</f>
        <v/>
      </c>
      <c r="P3534" s="9" t="n"/>
    </row>
    <row r="3535">
      <c r="G3535" s="8" t="n"/>
      <c r="M3535" s="8">
        <f>L3535*G3535</f>
        <v/>
      </c>
      <c r="P3535" s="9" t="n"/>
    </row>
    <row r="3536">
      <c r="G3536" s="8" t="n"/>
      <c r="M3536" s="8">
        <f>L3536*G3536</f>
        <v/>
      </c>
      <c r="P3536" s="9" t="n"/>
    </row>
    <row r="3537">
      <c r="G3537" s="8" t="n"/>
      <c r="M3537" s="8">
        <f>L3537*G3537</f>
        <v/>
      </c>
      <c r="P3537" s="9" t="n"/>
    </row>
    <row r="3538">
      <c r="G3538" s="8" t="n"/>
      <c r="M3538" s="8">
        <f>L3538*G3538</f>
        <v/>
      </c>
      <c r="P3538" s="9" t="n"/>
    </row>
    <row r="3539">
      <c r="G3539" s="8" t="n"/>
      <c r="M3539" s="8">
        <f>L3539*G3539</f>
        <v/>
      </c>
      <c r="P3539" s="9" t="n"/>
    </row>
    <row r="3540">
      <c r="G3540" s="8" t="n"/>
      <c r="M3540" s="8">
        <f>L3540*G3540</f>
        <v/>
      </c>
      <c r="P3540" s="9" t="n"/>
    </row>
    <row r="3541">
      <c r="G3541" s="8" t="n"/>
      <c r="M3541" s="8">
        <f>L3541*G3541</f>
        <v/>
      </c>
      <c r="P3541" s="9" t="n"/>
    </row>
    <row r="3542">
      <c r="G3542" s="8" t="n"/>
      <c r="M3542" s="8">
        <f>L3542*G3542</f>
        <v/>
      </c>
      <c r="P3542" s="9" t="n"/>
    </row>
    <row r="3543">
      <c r="G3543" s="8" t="n"/>
      <c r="M3543" s="8">
        <f>L3543*G3543</f>
        <v/>
      </c>
      <c r="P3543" s="9" t="n"/>
    </row>
    <row r="3544">
      <c r="G3544" s="8" t="n"/>
      <c r="M3544" s="8">
        <f>L3544*G3544</f>
        <v/>
      </c>
      <c r="P3544" s="9" t="n"/>
    </row>
    <row r="3545">
      <c r="G3545" s="8" t="n"/>
      <c r="M3545" s="8">
        <f>L3545*G3545</f>
        <v/>
      </c>
      <c r="P3545" s="9" t="n"/>
    </row>
    <row r="3546">
      <c r="G3546" s="8" t="n"/>
      <c r="M3546" s="8">
        <f>L3546*G3546</f>
        <v/>
      </c>
      <c r="P3546" s="9" t="n"/>
    </row>
    <row r="3547">
      <c r="G3547" s="8" t="n"/>
      <c r="M3547" s="8">
        <f>L3547*G3547</f>
        <v/>
      </c>
      <c r="P3547" s="9" t="n"/>
    </row>
    <row r="3548">
      <c r="G3548" s="8" t="n"/>
      <c r="M3548" s="8">
        <f>L3548*G3548</f>
        <v/>
      </c>
      <c r="P3548" s="9" t="n"/>
    </row>
    <row r="3549">
      <c r="G3549" s="8" t="n"/>
      <c r="M3549" s="8">
        <f>L3549*G3549</f>
        <v/>
      </c>
      <c r="P3549" s="9" t="n"/>
    </row>
    <row r="3550">
      <c r="G3550" s="8" t="n"/>
      <c r="M3550" s="8">
        <f>L3550*G3550</f>
        <v/>
      </c>
      <c r="P3550" s="9" t="n"/>
    </row>
    <row r="3551">
      <c r="G3551" s="8" t="n"/>
      <c r="M3551" s="8">
        <f>L3551*G3551</f>
        <v/>
      </c>
      <c r="P3551" s="9" t="n"/>
    </row>
    <row r="3552">
      <c r="G3552" s="8" t="n"/>
      <c r="M3552" s="8">
        <f>L3552*G3552</f>
        <v/>
      </c>
      <c r="P3552" s="9" t="n"/>
    </row>
    <row r="3553">
      <c r="G3553" s="8" t="n"/>
      <c r="M3553" s="8">
        <f>L3553*G3553</f>
        <v/>
      </c>
      <c r="P3553" s="9" t="n"/>
    </row>
    <row r="3554">
      <c r="G3554" s="8" t="n"/>
      <c r="M3554" s="8">
        <f>L3554*G3554</f>
        <v/>
      </c>
      <c r="P3554" s="9" t="n"/>
    </row>
    <row r="3555">
      <c r="G3555" s="8" t="n"/>
      <c r="M3555" s="8">
        <f>L3555*G3555</f>
        <v/>
      </c>
      <c r="P3555" s="9" t="n"/>
    </row>
    <row r="3556">
      <c r="G3556" s="8" t="n"/>
      <c r="M3556" s="8">
        <f>L3556*G3556</f>
        <v/>
      </c>
      <c r="P3556" s="9" t="n"/>
    </row>
    <row r="3557">
      <c r="G3557" s="8" t="n"/>
      <c r="M3557" s="8">
        <f>L3557*G3557</f>
        <v/>
      </c>
      <c r="P3557" s="9" t="n"/>
    </row>
    <row r="3558">
      <c r="G3558" s="8" t="n"/>
      <c r="M3558" s="8">
        <f>L3558*G3558</f>
        <v/>
      </c>
      <c r="P3558" s="9" t="n"/>
    </row>
    <row r="3559">
      <c r="G3559" s="8" t="n"/>
      <c r="M3559" s="8">
        <f>L3559*G3559</f>
        <v/>
      </c>
      <c r="P3559" s="9" t="n"/>
    </row>
    <row r="3560">
      <c r="G3560" s="8" t="n"/>
      <c r="M3560" s="8">
        <f>L3560*G3560</f>
        <v/>
      </c>
      <c r="P3560" s="9" t="n"/>
    </row>
    <row r="3561">
      <c r="G3561" s="8" t="n"/>
      <c r="M3561" s="8">
        <f>L3561*G3561</f>
        <v/>
      </c>
      <c r="P3561" s="9" t="n"/>
    </row>
    <row r="3562">
      <c r="G3562" s="8" t="n"/>
      <c r="M3562" s="8">
        <f>L3562*G3562</f>
        <v/>
      </c>
      <c r="P3562" s="9" t="n"/>
    </row>
    <row r="3563">
      <c r="G3563" s="8" t="n"/>
      <c r="M3563" s="8">
        <f>L3563*G3563</f>
        <v/>
      </c>
      <c r="P3563" s="9" t="n"/>
    </row>
    <row r="3564">
      <c r="G3564" s="8" t="n"/>
      <c r="M3564" s="8">
        <f>L3564*G3564</f>
        <v/>
      </c>
      <c r="P3564" s="9" t="n"/>
    </row>
    <row r="3565">
      <c r="G3565" s="8" t="n"/>
      <c r="M3565" s="8">
        <f>L3565*G3565</f>
        <v/>
      </c>
      <c r="P3565" s="9" t="n"/>
    </row>
    <row r="3566">
      <c r="G3566" s="8" t="n"/>
      <c r="M3566" s="8">
        <f>L3566*G3566</f>
        <v/>
      </c>
      <c r="P3566" s="9" t="n"/>
    </row>
    <row r="3567">
      <c r="G3567" s="8" t="n"/>
      <c r="M3567" s="8">
        <f>L3567*G3567</f>
        <v/>
      </c>
      <c r="P3567" s="9" t="n"/>
    </row>
    <row r="3568">
      <c r="G3568" s="8" t="n"/>
      <c r="M3568" s="8">
        <f>L3568*G3568</f>
        <v/>
      </c>
      <c r="P3568" s="9" t="n"/>
    </row>
    <row r="3569">
      <c r="G3569" s="8" t="n"/>
      <c r="M3569" s="8">
        <f>L3569*G3569</f>
        <v/>
      </c>
      <c r="P3569" s="9" t="n"/>
    </row>
    <row r="3570">
      <c r="G3570" s="8" t="n"/>
      <c r="M3570" s="8">
        <f>L3570*G3570</f>
        <v/>
      </c>
      <c r="P3570" s="9" t="n"/>
    </row>
    <row r="3571">
      <c r="G3571" s="8" t="n"/>
      <c r="M3571" s="8">
        <f>L3571*G3571</f>
        <v/>
      </c>
      <c r="P3571" s="9" t="n"/>
    </row>
    <row r="3572">
      <c r="G3572" s="8" t="n"/>
      <c r="M3572" s="8">
        <f>L3572*G3572</f>
        <v/>
      </c>
      <c r="P3572" s="9" t="n"/>
    </row>
    <row r="3573">
      <c r="G3573" s="8" t="n"/>
      <c r="M3573" s="8">
        <f>L3573*G3573</f>
        <v/>
      </c>
      <c r="P3573" s="9" t="n"/>
    </row>
    <row r="3574">
      <c r="G3574" s="8" t="n"/>
      <c r="M3574" s="8">
        <f>L3574*G3574</f>
        <v/>
      </c>
      <c r="P3574" s="9" t="n"/>
    </row>
    <row r="3575">
      <c r="G3575" s="8" t="n"/>
      <c r="M3575" s="8">
        <f>L3575*G3575</f>
        <v/>
      </c>
      <c r="P3575" s="9" t="n"/>
    </row>
    <row r="3576">
      <c r="G3576" s="8" t="n"/>
      <c r="M3576" s="8">
        <f>L3576*G3576</f>
        <v/>
      </c>
      <c r="P3576" s="9" t="n"/>
    </row>
    <row r="3577">
      <c r="G3577" s="8" t="n"/>
      <c r="M3577" s="8">
        <f>L3577*G3577</f>
        <v/>
      </c>
      <c r="P3577" s="9" t="n"/>
    </row>
    <row r="3578">
      <c r="G3578" s="8" t="n"/>
      <c r="M3578" s="8">
        <f>L3578*G3578</f>
        <v/>
      </c>
      <c r="P3578" s="9" t="n"/>
    </row>
    <row r="3579">
      <c r="G3579" s="8" t="n"/>
      <c r="M3579" s="8">
        <f>L3579*G3579</f>
        <v/>
      </c>
      <c r="P3579" s="9" t="n"/>
    </row>
    <row r="3580">
      <c r="G3580" s="8" t="n"/>
      <c r="M3580" s="8">
        <f>L3580*G3580</f>
        <v/>
      </c>
      <c r="P3580" s="9" t="n"/>
    </row>
    <row r="3581">
      <c r="G3581" s="8" t="n"/>
      <c r="M3581" s="8">
        <f>L3581*G3581</f>
        <v/>
      </c>
      <c r="P3581" s="9" t="n"/>
    </row>
    <row r="3582">
      <c r="G3582" s="8" t="n"/>
      <c r="M3582" s="8">
        <f>L3582*G3582</f>
        <v/>
      </c>
      <c r="P3582" s="9" t="n"/>
    </row>
    <row r="3583">
      <c r="G3583" s="8" t="n"/>
      <c r="M3583" s="8">
        <f>L3583*G3583</f>
        <v/>
      </c>
      <c r="P3583" s="9" t="n"/>
    </row>
    <row r="3584">
      <c r="G3584" s="8" t="n"/>
      <c r="M3584" s="8">
        <f>L3584*G3584</f>
        <v/>
      </c>
      <c r="P3584" s="9" t="n"/>
    </row>
    <row r="3585">
      <c r="G3585" s="8" t="n"/>
      <c r="M3585" s="8">
        <f>L3585*G3585</f>
        <v/>
      </c>
      <c r="P3585" s="9" t="n"/>
    </row>
    <row r="3586">
      <c r="G3586" s="8" t="n"/>
      <c r="M3586" s="8">
        <f>L3586*G3586</f>
        <v/>
      </c>
      <c r="P3586" s="9" t="n"/>
    </row>
    <row r="3587">
      <c r="G3587" s="8" t="n"/>
      <c r="M3587" s="8">
        <f>L3587*G3587</f>
        <v/>
      </c>
      <c r="P3587" s="9" t="n"/>
    </row>
    <row r="3588">
      <c r="G3588" s="8" t="n"/>
      <c r="M3588" s="8">
        <f>L3588*G3588</f>
        <v/>
      </c>
      <c r="P3588" s="9" t="n"/>
    </row>
    <row r="3589">
      <c r="G3589" s="8" t="n"/>
      <c r="M3589" s="8">
        <f>L3589*G3589</f>
        <v/>
      </c>
      <c r="P3589" s="9" t="n"/>
    </row>
    <row r="3590">
      <c r="G3590" s="8" t="n"/>
      <c r="M3590" s="8">
        <f>L3590*G3590</f>
        <v/>
      </c>
      <c r="P3590" s="9" t="n"/>
    </row>
    <row r="3591">
      <c r="G3591" s="8" t="n"/>
      <c r="M3591" s="8">
        <f>L3591*G3591</f>
        <v/>
      </c>
      <c r="P3591" s="9" t="n"/>
    </row>
    <row r="3592">
      <c r="G3592" s="8" t="n"/>
      <c r="M3592" s="8">
        <f>L3592*G3592</f>
        <v/>
      </c>
      <c r="P3592" s="9" t="n"/>
    </row>
    <row r="3593">
      <c r="G3593" s="8" t="n"/>
      <c r="M3593" s="8">
        <f>L3593*G3593</f>
        <v/>
      </c>
      <c r="P3593" s="9" t="n"/>
    </row>
    <row r="3594">
      <c r="G3594" s="8" t="n"/>
      <c r="M3594" s="8">
        <f>L3594*G3594</f>
        <v/>
      </c>
      <c r="P3594" s="9" t="n"/>
    </row>
    <row r="3595">
      <c r="G3595" s="8" t="n"/>
      <c r="M3595" s="8">
        <f>L3595*G3595</f>
        <v/>
      </c>
      <c r="P3595" s="9" t="n"/>
    </row>
    <row r="3596">
      <c r="G3596" s="8" t="n"/>
      <c r="M3596" s="8">
        <f>L3596*G3596</f>
        <v/>
      </c>
      <c r="P3596" s="9" t="n"/>
    </row>
    <row r="3597">
      <c r="G3597" s="8" t="n"/>
      <c r="M3597" s="8">
        <f>L3597*G3597</f>
        <v/>
      </c>
      <c r="P3597" s="9" t="n"/>
    </row>
    <row r="3598">
      <c r="G3598" s="8" t="n"/>
      <c r="M3598" s="8">
        <f>L3598*G3598</f>
        <v/>
      </c>
      <c r="P3598" s="9" t="n"/>
    </row>
    <row r="3599">
      <c r="G3599" s="8" t="n"/>
      <c r="M3599" s="8">
        <f>L3599*G3599</f>
        <v/>
      </c>
      <c r="P3599" s="9" t="n"/>
    </row>
    <row r="3600">
      <c r="G3600" s="8" t="n"/>
      <c r="M3600" s="8">
        <f>L3600*G3600</f>
        <v/>
      </c>
      <c r="P3600" s="9" t="n"/>
    </row>
    <row r="3601">
      <c r="G3601" s="8" t="n"/>
      <c r="M3601" s="8">
        <f>L3601*G3601</f>
        <v/>
      </c>
      <c r="P3601" s="9" t="n"/>
    </row>
    <row r="3602">
      <c r="G3602" s="8" t="n"/>
      <c r="M3602" s="8">
        <f>L3602*G3602</f>
        <v/>
      </c>
      <c r="P3602" s="9" t="n"/>
    </row>
    <row r="3603">
      <c r="G3603" s="8" t="n"/>
      <c r="M3603" s="8">
        <f>L3603*G3603</f>
        <v/>
      </c>
      <c r="P3603" s="9" t="n"/>
    </row>
    <row r="3604">
      <c r="G3604" s="8" t="n"/>
      <c r="M3604" s="8">
        <f>L3604*G3604</f>
        <v/>
      </c>
      <c r="P3604" s="9" t="n"/>
    </row>
    <row r="3605">
      <c r="G3605" s="8" t="n"/>
      <c r="M3605" s="8">
        <f>L3605*G3605</f>
        <v/>
      </c>
      <c r="P3605" s="9" t="n"/>
    </row>
    <row r="3606">
      <c r="G3606" s="8" t="n"/>
      <c r="M3606" s="8">
        <f>L3606*G3606</f>
        <v/>
      </c>
      <c r="P3606" s="9" t="n"/>
    </row>
    <row r="3607">
      <c r="G3607" s="8" t="n"/>
      <c r="M3607" s="8">
        <f>L3607*G3607</f>
        <v/>
      </c>
      <c r="P3607" s="9" t="n"/>
    </row>
    <row r="3608">
      <c r="G3608" s="8" t="n"/>
      <c r="M3608" s="8">
        <f>L3608*G3608</f>
        <v/>
      </c>
      <c r="P3608" s="9" t="n"/>
    </row>
    <row r="3609">
      <c r="G3609" s="8" t="n"/>
      <c r="M3609" s="8">
        <f>L3609*G3609</f>
        <v/>
      </c>
      <c r="P3609" s="9" t="n"/>
    </row>
    <row r="3610">
      <c r="G3610" s="8" t="n"/>
      <c r="M3610" s="8">
        <f>L3610*G3610</f>
        <v/>
      </c>
      <c r="P3610" s="9" t="n"/>
    </row>
    <row r="3611">
      <c r="G3611" s="8" t="n"/>
      <c r="M3611" s="8">
        <f>L3611*G3611</f>
        <v/>
      </c>
      <c r="P3611" s="9" t="n"/>
    </row>
    <row r="3612">
      <c r="G3612" s="8" t="n"/>
      <c r="M3612" s="8">
        <f>L3612*G3612</f>
        <v/>
      </c>
      <c r="P3612" s="9" t="n"/>
    </row>
    <row r="3613">
      <c r="G3613" s="8" t="n"/>
      <c r="M3613" s="8">
        <f>L3613*G3613</f>
        <v/>
      </c>
      <c r="P3613" s="9" t="n"/>
    </row>
    <row r="3614">
      <c r="G3614" s="8" t="n"/>
      <c r="M3614" s="8">
        <f>L3614*G3614</f>
        <v/>
      </c>
      <c r="P3614" s="9" t="n"/>
    </row>
    <row r="3615">
      <c r="G3615" s="8" t="n"/>
      <c r="M3615" s="8">
        <f>L3615*G3615</f>
        <v/>
      </c>
      <c r="P3615" s="9" t="n"/>
    </row>
    <row r="3616">
      <c r="G3616" s="8" t="n"/>
      <c r="M3616" s="8">
        <f>L3616*G3616</f>
        <v/>
      </c>
      <c r="P3616" s="9" t="n"/>
    </row>
    <row r="3617">
      <c r="G3617" s="8" t="n"/>
      <c r="M3617" s="8">
        <f>L3617*G3617</f>
        <v/>
      </c>
      <c r="P3617" s="9" t="n"/>
    </row>
    <row r="3618">
      <c r="G3618" s="8" t="n"/>
      <c r="M3618" s="8">
        <f>L3618*G3618</f>
        <v/>
      </c>
      <c r="P3618" s="9" t="n"/>
    </row>
    <row r="3619">
      <c r="G3619" s="8" t="n"/>
      <c r="M3619" s="8">
        <f>L3619*G3619</f>
        <v/>
      </c>
      <c r="P3619" s="9" t="n"/>
    </row>
    <row r="3620">
      <c r="G3620" s="8" t="n"/>
      <c r="M3620" s="8">
        <f>L3620*G3620</f>
        <v/>
      </c>
      <c r="P3620" s="9" t="n"/>
    </row>
    <row r="3621">
      <c r="G3621" s="8" t="n"/>
      <c r="M3621" s="8">
        <f>L3621*G3621</f>
        <v/>
      </c>
      <c r="P3621" s="9" t="n"/>
    </row>
    <row r="3622">
      <c r="G3622" s="8" t="n"/>
      <c r="M3622" s="8">
        <f>L3622*G3622</f>
        <v/>
      </c>
      <c r="P3622" s="9" t="n"/>
    </row>
    <row r="3623">
      <c r="G3623" s="8" t="n"/>
      <c r="M3623" s="8">
        <f>L3623*G3623</f>
        <v/>
      </c>
      <c r="P3623" s="9" t="n"/>
    </row>
    <row r="3624">
      <c r="G3624" s="8" t="n"/>
      <c r="M3624" s="8">
        <f>L3624*G3624</f>
        <v/>
      </c>
      <c r="P3624" s="9" t="n"/>
    </row>
    <row r="3625">
      <c r="G3625" s="8" t="n"/>
      <c r="M3625" s="8">
        <f>L3625*G3625</f>
        <v/>
      </c>
      <c r="P3625" s="9" t="n"/>
    </row>
    <row r="3626">
      <c r="G3626" s="8" t="n"/>
      <c r="M3626" s="8">
        <f>L3626*G3626</f>
        <v/>
      </c>
      <c r="P3626" s="9" t="n"/>
    </row>
    <row r="3627">
      <c r="G3627" s="8" t="n"/>
      <c r="M3627" s="8">
        <f>L3627*G3627</f>
        <v/>
      </c>
      <c r="P3627" s="9" t="n"/>
    </row>
    <row r="3628">
      <c r="G3628" s="8" t="n"/>
      <c r="M3628" s="8">
        <f>L3628*G3628</f>
        <v/>
      </c>
      <c r="P3628" s="9" t="n"/>
    </row>
    <row r="3629">
      <c r="G3629" s="8" t="n"/>
      <c r="M3629" s="8">
        <f>L3629*G3629</f>
        <v/>
      </c>
      <c r="P3629" s="9" t="n"/>
    </row>
    <row r="3630">
      <c r="G3630" s="8" t="n"/>
      <c r="M3630" s="8">
        <f>L3630*G3630</f>
        <v/>
      </c>
      <c r="P3630" s="9" t="n"/>
    </row>
    <row r="3631">
      <c r="G3631" s="8" t="n"/>
      <c r="M3631" s="8">
        <f>L3631*G3631</f>
        <v/>
      </c>
      <c r="P3631" s="9" t="n"/>
    </row>
    <row r="3632">
      <c r="G3632" s="8" t="n"/>
      <c r="M3632" s="8">
        <f>L3632*G3632</f>
        <v/>
      </c>
      <c r="P3632" s="9" t="n"/>
    </row>
    <row r="3633">
      <c r="G3633" s="8" t="n"/>
      <c r="M3633" s="8">
        <f>L3633*G3633</f>
        <v/>
      </c>
      <c r="P3633" s="9" t="n"/>
    </row>
    <row r="3634">
      <c r="G3634" s="8" t="n"/>
      <c r="M3634" s="8">
        <f>L3634*G3634</f>
        <v/>
      </c>
      <c r="P3634" s="9" t="n"/>
    </row>
    <row r="3635">
      <c r="G3635" s="8" t="n"/>
      <c r="M3635" s="8">
        <f>L3635*G3635</f>
        <v/>
      </c>
      <c r="P3635" s="9" t="n"/>
    </row>
    <row r="3636">
      <c r="G3636" s="8" t="n"/>
      <c r="M3636" s="8">
        <f>L3636*G3636</f>
        <v/>
      </c>
      <c r="P3636" s="9" t="n"/>
    </row>
    <row r="3637">
      <c r="G3637" s="8" t="n"/>
      <c r="M3637" s="8">
        <f>L3637*G3637</f>
        <v/>
      </c>
      <c r="P3637" s="9" t="n"/>
    </row>
    <row r="3638">
      <c r="G3638" s="8" t="n"/>
      <c r="M3638" s="8">
        <f>L3638*G3638</f>
        <v/>
      </c>
      <c r="P3638" s="9" t="n"/>
    </row>
    <row r="3639">
      <c r="G3639" s="8" t="n"/>
      <c r="M3639" s="8">
        <f>L3639*G3639</f>
        <v/>
      </c>
      <c r="P3639" s="9" t="n"/>
    </row>
    <row r="3640">
      <c r="G3640" s="8" t="n"/>
      <c r="M3640" s="8">
        <f>L3640*G3640</f>
        <v/>
      </c>
      <c r="P3640" s="9" t="n"/>
    </row>
    <row r="3641">
      <c r="G3641" s="8" t="n"/>
      <c r="M3641" s="8">
        <f>L3641*G3641</f>
        <v/>
      </c>
      <c r="P3641" s="9" t="n"/>
    </row>
    <row r="3642">
      <c r="G3642" s="8" t="n"/>
      <c r="M3642" s="8">
        <f>L3642*G3642</f>
        <v/>
      </c>
      <c r="P3642" s="9" t="n"/>
    </row>
    <row r="3643">
      <c r="G3643" s="8" t="n"/>
      <c r="M3643" s="8">
        <f>L3643*G3643</f>
        <v/>
      </c>
      <c r="P3643" s="9" t="n"/>
    </row>
    <row r="3644">
      <c r="G3644" s="8" t="n"/>
      <c r="M3644" s="8">
        <f>L3644*G3644</f>
        <v/>
      </c>
      <c r="P3644" s="9" t="n"/>
    </row>
    <row r="3645">
      <c r="G3645" s="8" t="n"/>
      <c r="M3645" s="8">
        <f>L3645*G3645</f>
        <v/>
      </c>
      <c r="P3645" s="9" t="n"/>
    </row>
    <row r="3646">
      <c r="G3646" s="8" t="n"/>
      <c r="M3646" s="8">
        <f>L3646*G3646</f>
        <v/>
      </c>
      <c r="P3646" s="9" t="n"/>
    </row>
    <row r="3647">
      <c r="G3647" s="8" t="n"/>
      <c r="M3647" s="8">
        <f>L3647*G3647</f>
        <v/>
      </c>
      <c r="P3647" s="9" t="n"/>
    </row>
    <row r="3648">
      <c r="G3648" s="8" t="n"/>
      <c r="M3648" s="8">
        <f>L3648*G3648</f>
        <v/>
      </c>
      <c r="P3648" s="9" t="n"/>
    </row>
    <row r="3649">
      <c r="G3649" s="8" t="n"/>
      <c r="M3649" s="8">
        <f>L3649*G3649</f>
        <v/>
      </c>
      <c r="P3649" s="9" t="n"/>
    </row>
    <row r="3650">
      <c r="G3650" s="8" t="n"/>
      <c r="M3650" s="8">
        <f>L3650*G3650</f>
        <v/>
      </c>
      <c r="P3650" s="9" t="n"/>
    </row>
    <row r="3651">
      <c r="G3651" s="8" t="n"/>
      <c r="M3651" s="8">
        <f>L3651*G3651</f>
        <v/>
      </c>
      <c r="P3651" s="9" t="n"/>
    </row>
    <row r="3652">
      <c r="G3652" s="8" t="n"/>
      <c r="M3652" s="8">
        <f>L3652*G3652</f>
        <v/>
      </c>
      <c r="P3652" s="9" t="n"/>
    </row>
    <row r="3653">
      <c r="G3653" s="8" t="n"/>
      <c r="M3653" s="8">
        <f>L3653*G3653</f>
        <v/>
      </c>
      <c r="P3653" s="9" t="n"/>
    </row>
    <row r="3654">
      <c r="G3654" s="8" t="n"/>
      <c r="M3654" s="8">
        <f>L3654*G3654</f>
        <v/>
      </c>
      <c r="P3654" s="9" t="n"/>
    </row>
    <row r="3655">
      <c r="G3655" s="8" t="n"/>
      <c r="M3655" s="8">
        <f>L3655*G3655</f>
        <v/>
      </c>
      <c r="P3655" s="9" t="n"/>
    </row>
    <row r="3656">
      <c r="G3656" s="8" t="n"/>
      <c r="M3656" s="8">
        <f>L3656*G3656</f>
        <v/>
      </c>
      <c r="P3656" s="9" t="n"/>
    </row>
    <row r="3657">
      <c r="G3657" s="8" t="n"/>
      <c r="M3657" s="8">
        <f>L3657*G3657</f>
        <v/>
      </c>
      <c r="P3657" s="9" t="n"/>
    </row>
    <row r="3658">
      <c r="G3658" s="8" t="n"/>
      <c r="M3658" s="8">
        <f>L3658*G3658</f>
        <v/>
      </c>
      <c r="P3658" s="9" t="n"/>
    </row>
    <row r="3659">
      <c r="G3659" s="8" t="n"/>
      <c r="M3659" s="8">
        <f>L3659*G3659</f>
        <v/>
      </c>
      <c r="P3659" s="9" t="n"/>
    </row>
    <row r="3660">
      <c r="G3660" s="8" t="n"/>
      <c r="M3660" s="8">
        <f>L3660*G3660</f>
        <v/>
      </c>
      <c r="P3660" s="9" t="n"/>
    </row>
    <row r="3661">
      <c r="G3661" s="8" t="n"/>
      <c r="M3661" s="8">
        <f>L3661*G3661</f>
        <v/>
      </c>
      <c r="P3661" s="9" t="n"/>
    </row>
    <row r="3662">
      <c r="G3662" s="8" t="n"/>
      <c r="M3662" s="8">
        <f>L3662*G3662</f>
        <v/>
      </c>
      <c r="P3662" s="9" t="n"/>
    </row>
    <row r="3663">
      <c r="G3663" s="8" t="n"/>
      <c r="M3663" s="8">
        <f>L3663*G3663</f>
        <v/>
      </c>
      <c r="P3663" s="9" t="n"/>
    </row>
    <row r="3664">
      <c r="G3664" s="8" t="n"/>
      <c r="M3664" s="8">
        <f>L3664*G3664</f>
        <v/>
      </c>
      <c r="P3664" s="9" t="n"/>
    </row>
    <row r="3665">
      <c r="G3665" s="8" t="n"/>
      <c r="M3665" s="8">
        <f>L3665*G3665</f>
        <v/>
      </c>
      <c r="P3665" s="9" t="n"/>
    </row>
    <row r="3666">
      <c r="G3666" s="8" t="n"/>
      <c r="M3666" s="8">
        <f>L3666*G3666</f>
        <v/>
      </c>
      <c r="P3666" s="9" t="n"/>
    </row>
    <row r="3667">
      <c r="G3667" s="8" t="n"/>
      <c r="M3667" s="8">
        <f>L3667*G3667</f>
        <v/>
      </c>
      <c r="P3667" s="9" t="n"/>
    </row>
    <row r="3668">
      <c r="G3668" s="8" t="n"/>
      <c r="M3668" s="8">
        <f>L3668*G3668</f>
        <v/>
      </c>
      <c r="P3668" s="9" t="n"/>
    </row>
    <row r="3669">
      <c r="G3669" s="8" t="n"/>
      <c r="M3669" s="8">
        <f>L3669*G3669</f>
        <v/>
      </c>
      <c r="P3669" s="9" t="n"/>
    </row>
    <row r="3670">
      <c r="G3670" s="8" t="n"/>
      <c r="M3670" s="8">
        <f>L3670*G3670</f>
        <v/>
      </c>
      <c r="P3670" s="9" t="n"/>
    </row>
    <row r="3671">
      <c r="G3671" s="8" t="n"/>
      <c r="M3671" s="8">
        <f>L3671*G3671</f>
        <v/>
      </c>
      <c r="P3671" s="9" t="n"/>
    </row>
    <row r="3672">
      <c r="G3672" s="8" t="n"/>
      <c r="M3672" s="8">
        <f>L3672*G3672</f>
        <v/>
      </c>
      <c r="P3672" s="9" t="n"/>
    </row>
    <row r="3673">
      <c r="G3673" s="8" t="n"/>
      <c r="M3673" s="8">
        <f>L3673*G3673</f>
        <v/>
      </c>
      <c r="P3673" s="9" t="n"/>
    </row>
    <row r="3674">
      <c r="G3674" s="8" t="n"/>
      <c r="M3674" s="8">
        <f>L3674*G3674</f>
        <v/>
      </c>
      <c r="P3674" s="9" t="n"/>
    </row>
    <row r="3675">
      <c r="G3675" s="8" t="n"/>
      <c r="M3675" s="8">
        <f>L3675*G3675</f>
        <v/>
      </c>
      <c r="P3675" s="9" t="n"/>
    </row>
    <row r="3676">
      <c r="G3676" s="8" t="n"/>
      <c r="M3676" s="8">
        <f>L3676*G3676</f>
        <v/>
      </c>
      <c r="P3676" s="9" t="n"/>
    </row>
    <row r="3677">
      <c r="G3677" s="8" t="n"/>
      <c r="M3677" s="8">
        <f>L3677*G3677</f>
        <v/>
      </c>
      <c r="P3677" s="9" t="n"/>
    </row>
    <row r="3678">
      <c r="G3678" s="8" t="n"/>
      <c r="M3678" s="8">
        <f>L3678*G3678</f>
        <v/>
      </c>
      <c r="P3678" s="9" t="n"/>
    </row>
    <row r="3679">
      <c r="G3679" s="8" t="n"/>
      <c r="M3679" s="8">
        <f>L3679*G3679</f>
        <v/>
      </c>
      <c r="P3679" s="9" t="n"/>
    </row>
    <row r="3680">
      <c r="G3680" s="8" t="n"/>
      <c r="M3680" s="8">
        <f>L3680*G3680</f>
        <v/>
      </c>
      <c r="P3680" s="9" t="n"/>
    </row>
    <row r="3681">
      <c r="G3681" s="8" t="n"/>
      <c r="M3681" s="8">
        <f>L3681*G3681</f>
        <v/>
      </c>
      <c r="P3681" s="9" t="n"/>
    </row>
    <row r="3682">
      <c r="G3682" s="8" t="n"/>
      <c r="M3682" s="8">
        <f>L3682*G3682</f>
        <v/>
      </c>
      <c r="P3682" s="9" t="n"/>
    </row>
    <row r="3683">
      <c r="G3683" s="8" t="n"/>
      <c r="M3683" s="8">
        <f>L3683*G3683</f>
        <v/>
      </c>
      <c r="P3683" s="9" t="n"/>
    </row>
    <row r="3684">
      <c r="G3684" s="8" t="n"/>
      <c r="M3684" s="8">
        <f>L3684*G3684</f>
        <v/>
      </c>
      <c r="P3684" s="9" t="n"/>
    </row>
    <row r="3685">
      <c r="G3685" s="8" t="n"/>
      <c r="M3685" s="8">
        <f>L3685*G3685</f>
        <v/>
      </c>
      <c r="P3685" s="9" t="n"/>
    </row>
    <row r="3686">
      <c r="G3686" s="8" t="n"/>
      <c r="M3686" s="8">
        <f>L3686*G3686</f>
        <v/>
      </c>
      <c r="P3686" s="9" t="n"/>
    </row>
    <row r="3687">
      <c r="G3687" s="8" t="n"/>
      <c r="M3687" s="8">
        <f>L3687*G3687</f>
        <v/>
      </c>
      <c r="P3687" s="9" t="n"/>
    </row>
    <row r="3688">
      <c r="G3688" s="8" t="n"/>
      <c r="M3688" s="8">
        <f>L3688*G3688</f>
        <v/>
      </c>
      <c r="P3688" s="9" t="n"/>
    </row>
    <row r="3689">
      <c r="G3689" s="8" t="n"/>
      <c r="M3689" s="8">
        <f>L3689*G3689</f>
        <v/>
      </c>
      <c r="P3689" s="9" t="n"/>
    </row>
    <row r="3690">
      <c r="G3690" s="8" t="n"/>
      <c r="M3690" s="8">
        <f>L3690*G3690</f>
        <v/>
      </c>
      <c r="P3690" s="9" t="n"/>
    </row>
    <row r="3691">
      <c r="G3691" s="8" t="n"/>
      <c r="M3691" s="8">
        <f>L3691*G3691</f>
        <v/>
      </c>
      <c r="P3691" s="9" t="n"/>
    </row>
    <row r="3692">
      <c r="G3692" s="8" t="n"/>
      <c r="M3692" s="8">
        <f>L3692*G3692</f>
        <v/>
      </c>
      <c r="P3692" s="9" t="n"/>
    </row>
    <row r="3693">
      <c r="G3693" s="8" t="n"/>
      <c r="M3693" s="8">
        <f>L3693*G3693</f>
        <v/>
      </c>
      <c r="P3693" s="9" t="n"/>
    </row>
    <row r="3694">
      <c r="G3694" s="8" t="n"/>
      <c r="M3694" s="8">
        <f>L3694*G3694</f>
        <v/>
      </c>
      <c r="P3694" s="9" t="n"/>
    </row>
    <row r="3695">
      <c r="G3695" s="8" t="n"/>
      <c r="M3695" s="8">
        <f>L3695*G3695</f>
        <v/>
      </c>
      <c r="P3695" s="9" t="n"/>
    </row>
    <row r="3696">
      <c r="G3696" s="8" t="n"/>
      <c r="M3696" s="8">
        <f>L3696*G3696</f>
        <v/>
      </c>
      <c r="P3696" s="9" t="n"/>
    </row>
    <row r="3697">
      <c r="G3697" s="8" t="n"/>
      <c r="M3697" s="8">
        <f>L3697*G3697</f>
        <v/>
      </c>
      <c r="P3697" s="9" t="n"/>
    </row>
    <row r="3698">
      <c r="G3698" s="8" t="n"/>
      <c r="M3698" s="8">
        <f>L3698*G3698</f>
        <v/>
      </c>
      <c r="P3698" s="9" t="n"/>
    </row>
    <row r="3699">
      <c r="G3699" s="8" t="n"/>
      <c r="M3699" s="8">
        <f>L3699*G3699</f>
        <v/>
      </c>
      <c r="P3699" s="9" t="n"/>
    </row>
    <row r="3700">
      <c r="G3700" s="8" t="n"/>
      <c r="M3700" s="8">
        <f>L3700*G3700</f>
        <v/>
      </c>
      <c r="P3700" s="9" t="n"/>
    </row>
    <row r="3701">
      <c r="G3701" s="8" t="n"/>
      <c r="M3701" s="8">
        <f>L3701*G3701</f>
        <v/>
      </c>
      <c r="P3701" s="9" t="n"/>
    </row>
    <row r="3702">
      <c r="G3702" s="8" t="n"/>
      <c r="M3702" s="8">
        <f>L3702*G3702</f>
        <v/>
      </c>
      <c r="P3702" s="9" t="n"/>
    </row>
    <row r="3703">
      <c r="G3703" s="8" t="n"/>
      <c r="M3703" s="8">
        <f>L3703*G3703</f>
        <v/>
      </c>
      <c r="P3703" s="9" t="n"/>
    </row>
    <row r="3704">
      <c r="G3704" s="8" t="n"/>
      <c r="M3704" s="8">
        <f>L3704*G3704</f>
        <v/>
      </c>
      <c r="P3704" s="9" t="n"/>
    </row>
    <row r="3705">
      <c r="G3705" s="8" t="n"/>
      <c r="M3705" s="8">
        <f>L3705*G3705</f>
        <v/>
      </c>
      <c r="P3705" s="9" t="n"/>
    </row>
    <row r="3706">
      <c r="G3706" s="8" t="n"/>
      <c r="M3706" s="8">
        <f>L3706*G3706</f>
        <v/>
      </c>
      <c r="P3706" s="9" t="n"/>
    </row>
    <row r="3707">
      <c r="G3707" s="8" t="n"/>
      <c r="M3707" s="8">
        <f>L3707*G3707</f>
        <v/>
      </c>
      <c r="P3707" s="9" t="n"/>
    </row>
    <row r="3708">
      <c r="G3708" s="8" t="n"/>
      <c r="M3708" s="8">
        <f>L3708*G3708</f>
        <v/>
      </c>
      <c r="P3708" s="9" t="n"/>
    </row>
    <row r="3709">
      <c r="G3709" s="8" t="n"/>
      <c r="M3709" s="8">
        <f>L3709*G3709</f>
        <v/>
      </c>
      <c r="P3709" s="9" t="n"/>
    </row>
    <row r="3710">
      <c r="G3710" s="8" t="n"/>
      <c r="M3710" s="8">
        <f>L3710*G3710</f>
        <v/>
      </c>
      <c r="P3710" s="9" t="n"/>
    </row>
    <row r="3711">
      <c r="G3711" s="8" t="n"/>
      <c r="M3711" s="8">
        <f>L3711*G3711</f>
        <v/>
      </c>
      <c r="P3711" s="9" t="n"/>
    </row>
    <row r="3712">
      <c r="G3712" s="8" t="n"/>
      <c r="M3712" s="8">
        <f>L3712*G3712</f>
        <v/>
      </c>
      <c r="P3712" s="9" t="n"/>
    </row>
    <row r="3713">
      <c r="G3713" s="8" t="n"/>
      <c r="M3713" s="8">
        <f>L3713*G3713</f>
        <v/>
      </c>
      <c r="P3713" s="9" t="n"/>
    </row>
    <row r="3714">
      <c r="G3714" s="8" t="n"/>
      <c r="M3714" s="8">
        <f>L3714*G3714</f>
        <v/>
      </c>
      <c r="P3714" s="9" t="n"/>
    </row>
    <row r="3715">
      <c r="G3715" s="8" t="n"/>
      <c r="M3715" s="8">
        <f>L3715*G3715</f>
        <v/>
      </c>
      <c r="P3715" s="9" t="n"/>
    </row>
    <row r="3716">
      <c r="G3716" s="8" t="n"/>
      <c r="M3716" s="8">
        <f>L3716*G3716</f>
        <v/>
      </c>
      <c r="P3716" s="9" t="n"/>
    </row>
    <row r="3717">
      <c r="G3717" s="8" t="n"/>
      <c r="M3717" s="8">
        <f>L3717*G3717</f>
        <v/>
      </c>
      <c r="P3717" s="9" t="n"/>
    </row>
    <row r="3718">
      <c r="G3718" s="8" t="n"/>
      <c r="M3718" s="8">
        <f>L3718*G3718</f>
        <v/>
      </c>
      <c r="P3718" s="9" t="n"/>
    </row>
    <row r="3719">
      <c r="G3719" s="8" t="n"/>
      <c r="M3719" s="8">
        <f>L3719*G3719</f>
        <v/>
      </c>
      <c r="P3719" s="9" t="n"/>
    </row>
    <row r="3720">
      <c r="G3720" s="8" t="n"/>
      <c r="M3720" s="8">
        <f>L3720*G3720</f>
        <v/>
      </c>
      <c r="P3720" s="9" t="n"/>
    </row>
    <row r="3721">
      <c r="G3721" s="8" t="n"/>
      <c r="M3721" s="8">
        <f>L3721*G3721</f>
        <v/>
      </c>
      <c r="P3721" s="9" t="n"/>
    </row>
    <row r="3722">
      <c r="G3722" s="8" t="n"/>
      <c r="M3722" s="8">
        <f>L3722*G3722</f>
        <v/>
      </c>
      <c r="P3722" s="9" t="n"/>
    </row>
    <row r="3723">
      <c r="G3723" s="8" t="n"/>
      <c r="M3723" s="8">
        <f>L3723*G3723</f>
        <v/>
      </c>
      <c r="P3723" s="9" t="n"/>
    </row>
    <row r="3724">
      <c r="G3724" s="8" t="n"/>
      <c r="M3724" s="8">
        <f>L3724*G3724</f>
        <v/>
      </c>
      <c r="P3724" s="9" t="n"/>
    </row>
    <row r="3725">
      <c r="G3725" s="8" t="n"/>
      <c r="M3725" s="8">
        <f>L3725*G3725</f>
        <v/>
      </c>
      <c r="P3725" s="9" t="n"/>
    </row>
    <row r="3726">
      <c r="G3726" s="8" t="n"/>
      <c r="M3726" s="8">
        <f>L3726*G3726</f>
        <v/>
      </c>
      <c r="P3726" s="9" t="n"/>
    </row>
    <row r="3727">
      <c r="G3727" s="8" t="n"/>
      <c r="M3727" s="8">
        <f>L3727*G3727</f>
        <v/>
      </c>
      <c r="P3727" s="9" t="n"/>
    </row>
    <row r="3728">
      <c r="G3728" s="8" t="n"/>
      <c r="M3728" s="8">
        <f>L3728*G3728</f>
        <v/>
      </c>
      <c r="P3728" s="9" t="n"/>
    </row>
    <row r="3729">
      <c r="G3729" s="8" t="n"/>
      <c r="M3729" s="8">
        <f>L3729*G3729</f>
        <v/>
      </c>
      <c r="P3729" s="9" t="n"/>
    </row>
    <row r="3730">
      <c r="G3730" s="8" t="n"/>
      <c r="M3730" s="8">
        <f>L3730*G3730</f>
        <v/>
      </c>
      <c r="P3730" s="9" t="n"/>
    </row>
    <row r="3731">
      <c r="G3731" s="8" t="n"/>
      <c r="M3731" s="8">
        <f>L3731*G3731</f>
        <v/>
      </c>
      <c r="P3731" s="9" t="n"/>
    </row>
    <row r="3732">
      <c r="G3732" s="8" t="n"/>
      <c r="M3732" s="8">
        <f>L3732*G3732</f>
        <v/>
      </c>
      <c r="P3732" s="9" t="n"/>
    </row>
    <row r="3733">
      <c r="G3733" s="8" t="n"/>
      <c r="M3733" s="8">
        <f>L3733*G3733</f>
        <v/>
      </c>
      <c r="P3733" s="9" t="n"/>
    </row>
    <row r="3734">
      <c r="G3734" s="8" t="n"/>
      <c r="M3734" s="8">
        <f>L3734*G3734</f>
        <v/>
      </c>
      <c r="P3734" s="9" t="n"/>
    </row>
    <row r="3735">
      <c r="G3735" s="8" t="n"/>
      <c r="M3735" s="8">
        <f>L3735*G3735</f>
        <v/>
      </c>
      <c r="P3735" s="9" t="n"/>
    </row>
    <row r="3736">
      <c r="G3736" s="8" t="n"/>
      <c r="M3736" s="8">
        <f>L3736*G3736</f>
        <v/>
      </c>
      <c r="P3736" s="9" t="n"/>
    </row>
    <row r="3737">
      <c r="G3737" s="8" t="n"/>
      <c r="M3737" s="8">
        <f>L3737*G3737</f>
        <v/>
      </c>
      <c r="P3737" s="9" t="n"/>
    </row>
    <row r="3738">
      <c r="G3738" s="8" t="n"/>
      <c r="M3738" s="8">
        <f>L3738*G3738</f>
        <v/>
      </c>
      <c r="P3738" s="9" t="n"/>
    </row>
    <row r="3739">
      <c r="G3739" s="8" t="n"/>
      <c r="M3739" s="8">
        <f>L3739*G3739</f>
        <v/>
      </c>
      <c r="P3739" s="9" t="n"/>
    </row>
    <row r="3740">
      <c r="G3740" s="8" t="n"/>
      <c r="M3740" s="8">
        <f>L3740*G3740</f>
        <v/>
      </c>
      <c r="P3740" s="9" t="n"/>
    </row>
    <row r="3741">
      <c r="G3741" s="8" t="n"/>
      <c r="M3741" s="8">
        <f>L3741*G3741</f>
        <v/>
      </c>
      <c r="P3741" s="9" t="n"/>
    </row>
    <row r="3742">
      <c r="G3742" s="8" t="n"/>
      <c r="M3742" s="8">
        <f>L3742*G3742</f>
        <v/>
      </c>
      <c r="P3742" s="9" t="n"/>
    </row>
    <row r="3743">
      <c r="G3743" s="8" t="n"/>
      <c r="M3743" s="8">
        <f>L3743*G3743</f>
        <v/>
      </c>
      <c r="P3743" s="9" t="n"/>
    </row>
    <row r="3744">
      <c r="G3744" s="8" t="n"/>
      <c r="M3744" s="8">
        <f>L3744*G3744</f>
        <v/>
      </c>
      <c r="P3744" s="9" t="n"/>
    </row>
    <row r="3745">
      <c r="G3745" s="8" t="n"/>
      <c r="M3745" s="8">
        <f>L3745*G3745</f>
        <v/>
      </c>
      <c r="P3745" s="9" t="n"/>
    </row>
    <row r="3746">
      <c r="G3746" s="8" t="n"/>
      <c r="M3746" s="8">
        <f>L3746*G3746</f>
        <v/>
      </c>
      <c r="P3746" s="9" t="n"/>
    </row>
    <row r="3747">
      <c r="G3747" s="8" t="n"/>
      <c r="M3747" s="8">
        <f>L3747*G3747</f>
        <v/>
      </c>
      <c r="P3747" s="9" t="n"/>
    </row>
    <row r="3748">
      <c r="G3748" s="8" t="n"/>
      <c r="M3748" s="8">
        <f>L3748*G3748</f>
        <v/>
      </c>
      <c r="P3748" s="9" t="n"/>
    </row>
    <row r="3749">
      <c r="G3749" s="8" t="n"/>
      <c r="M3749" s="8">
        <f>L3749*G3749</f>
        <v/>
      </c>
      <c r="P3749" s="9" t="n"/>
    </row>
    <row r="3750">
      <c r="G3750" s="8" t="n"/>
      <c r="M3750" s="8">
        <f>L3750*G3750</f>
        <v/>
      </c>
      <c r="P3750" s="9" t="n"/>
    </row>
    <row r="3751">
      <c r="G3751" s="8" t="n"/>
      <c r="M3751" s="8">
        <f>L3751*G3751</f>
        <v/>
      </c>
      <c r="P3751" s="9" t="n"/>
    </row>
    <row r="3752">
      <c r="G3752" s="8" t="n"/>
      <c r="M3752" s="8">
        <f>L3752*G3752</f>
        <v/>
      </c>
      <c r="P3752" s="9" t="n"/>
    </row>
    <row r="3753">
      <c r="G3753" s="8" t="n"/>
      <c r="M3753" s="8">
        <f>L3753*G3753</f>
        <v/>
      </c>
      <c r="P3753" s="9" t="n"/>
    </row>
    <row r="3754">
      <c r="G3754" s="8" t="n"/>
      <c r="M3754" s="8">
        <f>L3754*G3754</f>
        <v/>
      </c>
      <c r="P3754" s="9" t="n"/>
    </row>
    <row r="3755">
      <c r="G3755" s="8" t="n"/>
      <c r="M3755" s="8">
        <f>L3755*G3755</f>
        <v/>
      </c>
      <c r="P3755" s="9" t="n"/>
    </row>
    <row r="3756">
      <c r="G3756" s="8" t="n"/>
      <c r="M3756" s="8">
        <f>L3756*G3756</f>
        <v/>
      </c>
      <c r="P3756" s="9" t="n"/>
    </row>
    <row r="3757">
      <c r="G3757" s="8" t="n"/>
      <c r="M3757" s="8">
        <f>L3757*G3757</f>
        <v/>
      </c>
      <c r="P3757" s="9" t="n"/>
    </row>
    <row r="3758">
      <c r="G3758" s="8" t="n"/>
      <c r="M3758" s="8">
        <f>L3758*G3758</f>
        <v/>
      </c>
      <c r="P3758" s="9" t="n"/>
    </row>
    <row r="3759">
      <c r="G3759" s="8" t="n"/>
      <c r="M3759" s="8">
        <f>L3759*G3759</f>
        <v/>
      </c>
      <c r="P3759" s="9" t="n"/>
    </row>
    <row r="3760">
      <c r="G3760" s="8" t="n"/>
      <c r="M3760" s="8">
        <f>L3760*G3760</f>
        <v/>
      </c>
      <c r="P3760" s="9" t="n"/>
    </row>
    <row r="3761">
      <c r="G3761" s="8" t="n"/>
      <c r="M3761" s="8">
        <f>L3761*G3761</f>
        <v/>
      </c>
      <c r="P3761" s="9" t="n"/>
    </row>
    <row r="3762">
      <c r="G3762" s="8" t="n"/>
      <c r="M3762" s="8">
        <f>L3762*G3762</f>
        <v/>
      </c>
      <c r="P3762" s="9" t="n"/>
    </row>
    <row r="3763">
      <c r="G3763" s="8" t="n"/>
      <c r="M3763" s="8">
        <f>L3763*G3763</f>
        <v/>
      </c>
      <c r="P3763" s="9" t="n"/>
    </row>
    <row r="3764">
      <c r="G3764" s="8" t="n"/>
      <c r="M3764" s="8">
        <f>L3764*G3764</f>
        <v/>
      </c>
      <c r="P3764" s="9" t="n"/>
    </row>
    <row r="3765">
      <c r="G3765" s="8" t="n"/>
      <c r="M3765" s="8">
        <f>L3765*G3765</f>
        <v/>
      </c>
      <c r="P3765" s="9" t="n"/>
    </row>
    <row r="3766">
      <c r="G3766" s="8" t="n"/>
      <c r="M3766" s="8">
        <f>L3766*G3766</f>
        <v/>
      </c>
      <c r="P3766" s="9" t="n"/>
    </row>
    <row r="3767">
      <c r="G3767" s="8" t="n"/>
      <c r="M3767" s="8">
        <f>L3767*G3767</f>
        <v/>
      </c>
      <c r="P3767" s="9" t="n"/>
    </row>
    <row r="3768">
      <c r="G3768" s="8" t="n"/>
      <c r="M3768" s="8">
        <f>L3768*G3768</f>
        <v/>
      </c>
      <c r="P3768" s="9" t="n"/>
    </row>
    <row r="3769">
      <c r="G3769" s="8" t="n"/>
      <c r="M3769" s="8">
        <f>L3769*G3769</f>
        <v/>
      </c>
      <c r="P3769" s="9" t="n"/>
    </row>
    <row r="3770">
      <c r="G3770" s="8" t="n"/>
      <c r="M3770" s="8">
        <f>L3770*G3770</f>
        <v/>
      </c>
      <c r="P3770" s="9" t="n"/>
    </row>
    <row r="3771">
      <c r="G3771" s="8" t="n"/>
      <c r="M3771" s="8">
        <f>L3771*G3771</f>
        <v/>
      </c>
      <c r="P3771" s="9" t="n"/>
    </row>
    <row r="3772">
      <c r="G3772" s="8" t="n"/>
      <c r="M3772" s="8">
        <f>L3772*G3772</f>
        <v/>
      </c>
      <c r="P3772" s="9" t="n"/>
    </row>
    <row r="3773">
      <c r="G3773" s="8" t="n"/>
      <c r="M3773" s="8">
        <f>L3773*G3773</f>
        <v/>
      </c>
      <c r="P3773" s="9" t="n"/>
    </row>
    <row r="3774">
      <c r="G3774" s="8" t="n"/>
      <c r="M3774" s="8">
        <f>L3774*G3774</f>
        <v/>
      </c>
      <c r="P3774" s="9" t="n"/>
    </row>
    <row r="3775">
      <c r="G3775" s="8" t="n"/>
      <c r="M3775" s="8">
        <f>L3775*G3775</f>
        <v/>
      </c>
      <c r="P3775" s="9" t="n"/>
    </row>
    <row r="3776">
      <c r="G3776" s="8" t="n"/>
      <c r="M3776" s="8">
        <f>L3776*G3776</f>
        <v/>
      </c>
      <c r="P3776" s="9" t="n"/>
    </row>
    <row r="3777">
      <c r="G3777" s="8" t="n"/>
      <c r="M3777" s="8">
        <f>L3777*G3777</f>
        <v/>
      </c>
      <c r="P3777" s="9" t="n"/>
    </row>
    <row r="3778">
      <c r="G3778" s="8" t="n"/>
      <c r="M3778" s="8">
        <f>L3778*G3778</f>
        <v/>
      </c>
      <c r="P3778" s="9" t="n"/>
    </row>
    <row r="3779">
      <c r="G3779" s="8" t="n"/>
      <c r="M3779" s="8">
        <f>L3779*G3779</f>
        <v/>
      </c>
      <c r="P3779" s="9" t="n"/>
    </row>
    <row r="3780">
      <c r="G3780" s="8" t="n"/>
      <c r="M3780" s="8">
        <f>L3780*G3780</f>
        <v/>
      </c>
      <c r="P3780" s="9" t="n"/>
    </row>
    <row r="3781">
      <c r="G3781" s="8" t="n"/>
      <c r="M3781" s="8">
        <f>L3781*G3781</f>
        <v/>
      </c>
      <c r="P3781" s="9" t="n"/>
    </row>
    <row r="3782">
      <c r="G3782" s="8" t="n"/>
      <c r="M3782" s="8">
        <f>L3782*G3782</f>
        <v/>
      </c>
      <c r="P3782" s="9" t="n"/>
    </row>
    <row r="3783">
      <c r="G3783" s="8" t="n"/>
      <c r="M3783" s="8">
        <f>L3783*G3783</f>
        <v/>
      </c>
      <c r="P3783" s="9" t="n"/>
    </row>
    <row r="3784">
      <c r="G3784" s="8" t="n"/>
      <c r="M3784" s="8">
        <f>L3784*G3784</f>
        <v/>
      </c>
      <c r="P3784" s="9" t="n"/>
    </row>
    <row r="3785">
      <c r="G3785" s="8" t="n"/>
      <c r="M3785" s="8">
        <f>L3785*G3785</f>
        <v/>
      </c>
      <c r="P3785" s="9" t="n"/>
    </row>
    <row r="3786">
      <c r="G3786" s="8" t="n"/>
      <c r="M3786" s="8">
        <f>L3786*G3786</f>
        <v/>
      </c>
      <c r="P3786" s="9" t="n"/>
    </row>
    <row r="3787">
      <c r="G3787" s="8" t="n"/>
      <c r="M3787" s="8">
        <f>L3787*G3787</f>
        <v/>
      </c>
      <c r="P3787" s="9" t="n"/>
    </row>
    <row r="3788">
      <c r="G3788" s="8" t="n"/>
      <c r="M3788" s="8">
        <f>L3788*G3788</f>
        <v/>
      </c>
      <c r="P3788" s="9" t="n"/>
    </row>
    <row r="3789">
      <c r="G3789" s="8" t="n"/>
      <c r="M3789" s="8">
        <f>L3789*G3789</f>
        <v/>
      </c>
      <c r="P3789" s="9" t="n"/>
    </row>
    <row r="3790">
      <c r="G3790" s="8" t="n"/>
      <c r="M3790" s="8">
        <f>L3790*G3790</f>
        <v/>
      </c>
      <c r="P3790" s="9" t="n"/>
    </row>
    <row r="3791">
      <c r="G3791" s="8" t="n"/>
      <c r="M3791" s="8">
        <f>L3791*G3791</f>
        <v/>
      </c>
      <c r="P3791" s="9" t="n"/>
    </row>
    <row r="3792">
      <c r="G3792" s="8" t="n"/>
      <c r="M3792" s="8">
        <f>L3792*G3792</f>
        <v/>
      </c>
      <c r="P3792" s="9" t="n"/>
    </row>
    <row r="3793">
      <c r="G3793" s="8" t="n"/>
      <c r="M3793" s="8">
        <f>L3793*G3793</f>
        <v/>
      </c>
      <c r="P3793" s="9" t="n"/>
    </row>
    <row r="3794">
      <c r="G3794" s="8" t="n"/>
      <c r="M3794" s="8">
        <f>L3794*G3794</f>
        <v/>
      </c>
      <c r="P3794" s="9" t="n"/>
    </row>
    <row r="3795">
      <c r="G3795" s="8" t="n"/>
      <c r="M3795" s="8">
        <f>L3795*G3795</f>
        <v/>
      </c>
      <c r="P3795" s="9" t="n"/>
    </row>
    <row r="3796">
      <c r="G3796" s="8" t="n"/>
      <c r="M3796" s="8">
        <f>L3796*G3796</f>
        <v/>
      </c>
      <c r="P3796" s="9" t="n"/>
    </row>
    <row r="3797">
      <c r="G3797" s="8" t="n"/>
      <c r="M3797" s="8">
        <f>L3797*G3797</f>
        <v/>
      </c>
      <c r="P3797" s="9" t="n"/>
    </row>
    <row r="3798">
      <c r="G3798" s="8" t="n"/>
      <c r="M3798" s="8">
        <f>L3798*G3798</f>
        <v/>
      </c>
      <c r="P3798" s="9" t="n"/>
    </row>
    <row r="3799">
      <c r="G3799" s="8" t="n"/>
      <c r="M3799" s="8">
        <f>L3799*G3799</f>
        <v/>
      </c>
      <c r="P3799" s="9" t="n"/>
    </row>
    <row r="3800">
      <c r="G3800" s="8" t="n"/>
      <c r="M3800" s="8">
        <f>L3800*G3800</f>
        <v/>
      </c>
      <c r="P3800" s="9" t="n"/>
    </row>
    <row r="3801">
      <c r="G3801" s="8" t="n"/>
      <c r="M3801" s="8">
        <f>L3801*G3801</f>
        <v/>
      </c>
      <c r="P3801" s="9" t="n"/>
    </row>
    <row r="3802">
      <c r="G3802" s="8" t="n"/>
      <c r="M3802" s="8">
        <f>L3802*G3802</f>
        <v/>
      </c>
      <c r="P3802" s="9" t="n"/>
    </row>
    <row r="3803">
      <c r="G3803" s="8" t="n"/>
      <c r="M3803" s="8">
        <f>L3803*G3803</f>
        <v/>
      </c>
      <c r="P3803" s="9" t="n"/>
    </row>
    <row r="3804">
      <c r="G3804" s="8" t="n"/>
      <c r="M3804" s="8">
        <f>L3804*G3804</f>
        <v/>
      </c>
      <c r="P3804" s="9" t="n"/>
    </row>
    <row r="3805">
      <c r="G3805" s="8" t="n"/>
      <c r="M3805" s="8">
        <f>L3805*G3805</f>
        <v/>
      </c>
      <c r="P3805" s="9" t="n"/>
    </row>
    <row r="3806">
      <c r="G3806" s="8" t="n"/>
      <c r="M3806" s="8">
        <f>L3806*G3806</f>
        <v/>
      </c>
      <c r="P3806" s="9" t="n"/>
    </row>
    <row r="3807">
      <c r="G3807" s="8" t="n"/>
      <c r="M3807" s="8">
        <f>L3807*G3807</f>
        <v/>
      </c>
      <c r="P3807" s="9" t="n"/>
    </row>
    <row r="3808">
      <c r="G3808" s="8" t="n"/>
      <c r="M3808" s="8">
        <f>L3808*G3808</f>
        <v/>
      </c>
      <c r="P3808" s="9" t="n"/>
    </row>
    <row r="3809">
      <c r="G3809" s="8" t="n"/>
      <c r="M3809" s="8">
        <f>L3809*G3809</f>
        <v/>
      </c>
      <c r="P3809" s="9" t="n"/>
    </row>
    <row r="3810">
      <c r="G3810" s="8" t="n"/>
      <c r="M3810" s="8">
        <f>L3810*G3810</f>
        <v/>
      </c>
      <c r="P3810" s="9" t="n"/>
    </row>
    <row r="3811">
      <c r="G3811" s="8" t="n"/>
      <c r="M3811" s="8">
        <f>L3811*G3811</f>
        <v/>
      </c>
      <c r="P3811" s="9" t="n"/>
    </row>
    <row r="3812">
      <c r="G3812" s="8" t="n"/>
      <c r="M3812" s="8">
        <f>L3812*G3812</f>
        <v/>
      </c>
      <c r="P3812" s="9" t="n"/>
    </row>
    <row r="3813">
      <c r="G3813" s="8" t="n"/>
      <c r="M3813" s="8">
        <f>L3813*G3813</f>
        <v/>
      </c>
      <c r="P3813" s="9" t="n"/>
    </row>
    <row r="3814">
      <c r="G3814" s="8" t="n"/>
      <c r="M3814" s="8">
        <f>L3814*G3814</f>
        <v/>
      </c>
      <c r="P3814" s="9" t="n"/>
    </row>
    <row r="3815">
      <c r="G3815" s="8" t="n"/>
      <c r="M3815" s="8">
        <f>L3815*G3815</f>
        <v/>
      </c>
      <c r="P3815" s="9" t="n"/>
    </row>
    <row r="3816">
      <c r="G3816" s="8" t="n"/>
      <c r="M3816" s="8">
        <f>L3816*G3816</f>
        <v/>
      </c>
      <c r="P3816" s="9" t="n"/>
    </row>
    <row r="3817">
      <c r="G3817" s="8" t="n"/>
      <c r="M3817" s="8">
        <f>L3817*G3817</f>
        <v/>
      </c>
      <c r="P3817" s="9" t="n"/>
    </row>
    <row r="3818">
      <c r="G3818" s="8" t="n"/>
      <c r="M3818" s="8">
        <f>L3818*G3818</f>
        <v/>
      </c>
      <c r="P3818" s="9" t="n"/>
    </row>
    <row r="3819">
      <c r="G3819" s="8" t="n"/>
      <c r="M3819" s="8">
        <f>L3819*G3819</f>
        <v/>
      </c>
      <c r="P3819" s="9" t="n"/>
    </row>
    <row r="3820">
      <c r="G3820" s="8" t="n"/>
      <c r="M3820" s="8">
        <f>L3820*G3820</f>
        <v/>
      </c>
      <c r="P3820" s="9" t="n"/>
    </row>
    <row r="3821">
      <c r="G3821" s="8" t="n"/>
      <c r="M3821" s="8">
        <f>L3821*G3821</f>
        <v/>
      </c>
      <c r="P3821" s="9" t="n"/>
    </row>
    <row r="3822">
      <c r="G3822" s="8" t="n"/>
      <c r="M3822" s="8">
        <f>L3822*G3822</f>
        <v/>
      </c>
      <c r="P3822" s="9" t="n"/>
    </row>
    <row r="3823">
      <c r="G3823" s="8" t="n"/>
      <c r="M3823" s="8">
        <f>L3823*G3823</f>
        <v/>
      </c>
      <c r="P3823" s="9" t="n"/>
    </row>
    <row r="3824">
      <c r="G3824" s="8" t="n"/>
      <c r="M3824" s="8">
        <f>L3824*G3824</f>
        <v/>
      </c>
      <c r="P3824" s="9" t="n"/>
    </row>
    <row r="3825">
      <c r="G3825" s="8" t="n"/>
      <c r="M3825" s="8">
        <f>L3825*G3825</f>
        <v/>
      </c>
      <c r="P3825" s="9" t="n"/>
    </row>
    <row r="3826">
      <c r="G3826" s="8" t="n"/>
      <c r="M3826" s="8">
        <f>L3826*G3826</f>
        <v/>
      </c>
      <c r="P3826" s="9" t="n"/>
    </row>
    <row r="3827">
      <c r="G3827" s="8" t="n"/>
      <c r="M3827" s="8">
        <f>L3827*G3827</f>
        <v/>
      </c>
      <c r="P3827" s="9" t="n"/>
    </row>
    <row r="3828">
      <c r="G3828" s="8" t="n"/>
      <c r="M3828" s="8">
        <f>L3828*G3828</f>
        <v/>
      </c>
      <c r="P3828" s="9" t="n"/>
    </row>
    <row r="3829">
      <c r="G3829" s="8" t="n"/>
      <c r="M3829" s="8">
        <f>L3829*G3829</f>
        <v/>
      </c>
      <c r="P3829" s="9" t="n"/>
    </row>
    <row r="3830">
      <c r="G3830" s="8" t="n"/>
      <c r="M3830" s="8">
        <f>L3830*G3830</f>
        <v/>
      </c>
      <c r="P3830" s="9" t="n"/>
    </row>
    <row r="3831">
      <c r="G3831" s="8" t="n"/>
      <c r="M3831" s="8">
        <f>L3831*G3831</f>
        <v/>
      </c>
      <c r="P3831" s="9" t="n"/>
    </row>
    <row r="3832">
      <c r="G3832" s="8" t="n"/>
      <c r="M3832" s="8">
        <f>L3832*G3832</f>
        <v/>
      </c>
      <c r="P3832" s="9" t="n"/>
    </row>
    <row r="3833">
      <c r="G3833" s="8" t="n"/>
      <c r="M3833" s="8">
        <f>L3833*G3833</f>
        <v/>
      </c>
      <c r="P3833" s="9" t="n"/>
    </row>
    <row r="3834">
      <c r="G3834" s="8" t="n"/>
      <c r="M3834" s="8">
        <f>L3834*G3834</f>
        <v/>
      </c>
      <c r="P3834" s="9" t="n"/>
    </row>
    <row r="3835">
      <c r="G3835" s="8" t="n"/>
      <c r="M3835" s="8">
        <f>L3835*G3835</f>
        <v/>
      </c>
      <c r="P3835" s="9" t="n"/>
    </row>
    <row r="3836">
      <c r="G3836" s="8" t="n"/>
      <c r="M3836" s="8">
        <f>L3836*G3836</f>
        <v/>
      </c>
      <c r="P3836" s="9" t="n"/>
    </row>
    <row r="3837">
      <c r="G3837" s="8" t="n"/>
      <c r="M3837" s="8">
        <f>L3837*G3837</f>
        <v/>
      </c>
      <c r="P3837" s="9" t="n"/>
    </row>
    <row r="3838">
      <c r="G3838" s="8" t="n"/>
      <c r="M3838" s="8">
        <f>L3838*G3838</f>
        <v/>
      </c>
      <c r="P3838" s="9" t="n"/>
    </row>
    <row r="3839">
      <c r="G3839" s="8" t="n"/>
      <c r="M3839" s="8">
        <f>L3839*G3839</f>
        <v/>
      </c>
      <c r="P3839" s="9" t="n"/>
    </row>
    <row r="3840">
      <c r="G3840" s="8" t="n"/>
      <c r="M3840" s="8">
        <f>L3840*G3840</f>
        <v/>
      </c>
      <c r="P3840" s="9" t="n"/>
    </row>
    <row r="3841">
      <c r="G3841" s="8" t="n"/>
      <c r="M3841" s="8">
        <f>L3841*G3841</f>
        <v/>
      </c>
      <c r="P3841" s="9" t="n"/>
    </row>
    <row r="3842">
      <c r="G3842" s="8" t="n"/>
      <c r="M3842" s="8">
        <f>L3842*G3842</f>
        <v/>
      </c>
      <c r="P3842" s="9" t="n"/>
    </row>
    <row r="3843">
      <c r="G3843" s="8" t="n"/>
      <c r="M3843" s="8">
        <f>L3843*G3843</f>
        <v/>
      </c>
      <c r="P3843" s="9" t="n"/>
    </row>
    <row r="3844">
      <c r="G3844" s="8" t="n"/>
      <c r="M3844" s="8">
        <f>L3844*G3844</f>
        <v/>
      </c>
      <c r="P3844" s="9" t="n"/>
    </row>
    <row r="3845">
      <c r="G3845" s="8" t="n"/>
      <c r="M3845" s="8">
        <f>L3845*G3845</f>
        <v/>
      </c>
      <c r="P3845" s="9" t="n"/>
    </row>
    <row r="3846">
      <c r="G3846" s="8" t="n"/>
      <c r="M3846" s="8">
        <f>L3846*G3846</f>
        <v/>
      </c>
      <c r="P3846" s="9" t="n"/>
    </row>
    <row r="3847">
      <c r="G3847" s="8" t="n"/>
      <c r="M3847" s="8">
        <f>L3847*G3847</f>
        <v/>
      </c>
      <c r="P3847" s="9" t="n"/>
    </row>
    <row r="3848">
      <c r="G3848" s="8" t="n"/>
      <c r="M3848" s="8">
        <f>L3848*G3848</f>
        <v/>
      </c>
      <c r="P3848" s="9" t="n"/>
    </row>
    <row r="3849">
      <c r="G3849" s="8" t="n"/>
      <c r="M3849" s="8">
        <f>L3849*G3849</f>
        <v/>
      </c>
      <c r="P3849" s="9" t="n"/>
    </row>
    <row r="3850">
      <c r="G3850" s="8" t="n"/>
      <c r="M3850" s="8">
        <f>L3850*G3850</f>
        <v/>
      </c>
      <c r="P3850" s="9" t="n"/>
    </row>
    <row r="3851">
      <c r="G3851" s="8" t="n"/>
      <c r="M3851" s="8">
        <f>L3851*G3851</f>
        <v/>
      </c>
      <c r="P3851" s="9" t="n"/>
    </row>
    <row r="3852">
      <c r="G3852" s="8" t="n"/>
      <c r="M3852" s="8">
        <f>L3852*G3852</f>
        <v/>
      </c>
      <c r="P3852" s="9" t="n"/>
    </row>
    <row r="3853">
      <c r="G3853" s="8" t="n"/>
      <c r="M3853" s="8">
        <f>L3853*G3853</f>
        <v/>
      </c>
      <c r="P3853" s="9" t="n"/>
    </row>
    <row r="3854">
      <c r="G3854" s="8" t="n"/>
      <c r="M3854" s="8">
        <f>L3854*G3854</f>
        <v/>
      </c>
      <c r="P3854" s="9" t="n"/>
    </row>
    <row r="3855">
      <c r="G3855" s="8" t="n"/>
      <c r="M3855" s="8">
        <f>L3855*G3855</f>
        <v/>
      </c>
      <c r="P3855" s="9" t="n"/>
    </row>
    <row r="3856">
      <c r="G3856" s="8" t="n"/>
      <c r="M3856" s="8">
        <f>L3856*G3856</f>
        <v/>
      </c>
      <c r="P3856" s="9" t="n"/>
    </row>
    <row r="3857">
      <c r="G3857" s="8" t="n"/>
      <c r="M3857" s="8">
        <f>L3857*G3857</f>
        <v/>
      </c>
      <c r="P3857" s="9" t="n"/>
    </row>
    <row r="3858">
      <c r="G3858" s="8" t="n"/>
      <c r="M3858" s="8">
        <f>L3858*G3858</f>
        <v/>
      </c>
      <c r="P3858" s="9" t="n"/>
    </row>
    <row r="3859">
      <c r="G3859" s="8" t="n"/>
      <c r="M3859" s="8">
        <f>L3859*G3859</f>
        <v/>
      </c>
      <c r="P3859" s="9" t="n"/>
    </row>
    <row r="3860">
      <c r="G3860" s="8" t="n"/>
      <c r="M3860" s="8">
        <f>L3860*G3860</f>
        <v/>
      </c>
      <c r="P3860" s="9" t="n"/>
    </row>
    <row r="3861">
      <c r="G3861" s="8" t="n"/>
      <c r="M3861" s="8">
        <f>L3861*G3861</f>
        <v/>
      </c>
      <c r="P3861" s="9" t="n"/>
    </row>
    <row r="3862">
      <c r="G3862" s="8" t="n"/>
      <c r="M3862" s="8">
        <f>L3862*G3862</f>
        <v/>
      </c>
      <c r="P3862" s="9" t="n"/>
    </row>
    <row r="3863">
      <c r="G3863" s="8" t="n"/>
      <c r="M3863" s="8">
        <f>L3863*G3863</f>
        <v/>
      </c>
      <c r="P3863" s="9" t="n"/>
    </row>
    <row r="3864">
      <c r="G3864" s="8" t="n"/>
      <c r="M3864" s="8">
        <f>L3864*G3864</f>
        <v/>
      </c>
      <c r="P3864" s="9" t="n"/>
    </row>
    <row r="3865">
      <c r="G3865" s="8" t="n"/>
      <c r="M3865" s="8">
        <f>L3865*G3865</f>
        <v/>
      </c>
      <c r="P3865" s="9" t="n"/>
    </row>
    <row r="3866">
      <c r="G3866" s="8" t="n"/>
      <c r="M3866" s="8">
        <f>L3866*G3866</f>
        <v/>
      </c>
      <c r="P3866" s="9" t="n"/>
    </row>
    <row r="3867">
      <c r="G3867" s="8" t="n"/>
      <c r="M3867" s="8">
        <f>L3867*G3867</f>
        <v/>
      </c>
      <c r="P3867" s="9" t="n"/>
    </row>
    <row r="3868">
      <c r="G3868" s="8" t="n"/>
      <c r="M3868" s="8">
        <f>L3868*G3868</f>
        <v/>
      </c>
      <c r="P3868" s="9" t="n"/>
    </row>
    <row r="3869">
      <c r="G3869" s="8" t="n"/>
      <c r="M3869" s="8">
        <f>L3869*G3869</f>
        <v/>
      </c>
      <c r="P3869" s="9" t="n"/>
    </row>
    <row r="3870">
      <c r="G3870" s="8" t="n"/>
      <c r="M3870" s="8">
        <f>L3870*G3870</f>
        <v/>
      </c>
      <c r="P3870" s="9" t="n"/>
    </row>
    <row r="3871">
      <c r="G3871" s="8" t="n"/>
      <c r="M3871" s="8">
        <f>L3871*G3871</f>
        <v/>
      </c>
      <c r="P3871" s="9" t="n"/>
    </row>
    <row r="3872">
      <c r="G3872" s="8" t="n"/>
      <c r="M3872" s="8">
        <f>L3872*G3872</f>
        <v/>
      </c>
      <c r="P3872" s="9" t="n"/>
    </row>
    <row r="3873">
      <c r="G3873" s="8" t="n"/>
      <c r="M3873" s="8">
        <f>L3873*G3873</f>
        <v/>
      </c>
      <c r="P3873" s="9" t="n"/>
    </row>
    <row r="3874">
      <c r="G3874" s="8" t="n"/>
      <c r="M3874" s="8">
        <f>L3874*G3874</f>
        <v/>
      </c>
      <c r="P3874" s="9" t="n"/>
    </row>
    <row r="3875">
      <c r="G3875" s="8" t="n"/>
      <c r="M3875" s="8">
        <f>L3875*G3875</f>
        <v/>
      </c>
      <c r="P3875" s="9" t="n"/>
    </row>
    <row r="3876">
      <c r="G3876" s="8" t="n"/>
      <c r="M3876" s="8">
        <f>L3876*G3876</f>
        <v/>
      </c>
      <c r="P3876" s="9" t="n"/>
    </row>
    <row r="3877">
      <c r="G3877" s="8" t="n"/>
      <c r="M3877" s="8">
        <f>L3877*G3877</f>
        <v/>
      </c>
      <c r="P3877" s="9" t="n"/>
    </row>
    <row r="3878">
      <c r="G3878" s="8" t="n"/>
      <c r="M3878" s="8">
        <f>L3878*G3878</f>
        <v/>
      </c>
      <c r="P3878" s="9" t="n"/>
    </row>
    <row r="3879">
      <c r="G3879" s="8" t="n"/>
      <c r="M3879" s="8">
        <f>L3879*G3879</f>
        <v/>
      </c>
      <c r="P3879" s="9" t="n"/>
    </row>
    <row r="3880">
      <c r="G3880" s="8" t="n"/>
      <c r="M3880" s="8">
        <f>L3880*G3880</f>
        <v/>
      </c>
      <c r="P3880" s="9" t="n"/>
    </row>
    <row r="3881">
      <c r="G3881" s="8" t="n"/>
      <c r="M3881" s="8">
        <f>L3881*G3881</f>
        <v/>
      </c>
      <c r="P3881" s="9" t="n"/>
    </row>
    <row r="3882">
      <c r="G3882" s="8" t="n"/>
      <c r="M3882" s="8">
        <f>L3882*G3882</f>
        <v/>
      </c>
      <c r="P3882" s="9" t="n"/>
    </row>
    <row r="3883">
      <c r="G3883" s="8" t="n"/>
      <c r="M3883" s="8">
        <f>L3883*G3883</f>
        <v/>
      </c>
      <c r="P3883" s="9" t="n"/>
    </row>
    <row r="3884">
      <c r="G3884" s="8" t="n"/>
      <c r="M3884" s="8">
        <f>L3884*G3884</f>
        <v/>
      </c>
      <c r="P3884" s="9" t="n"/>
    </row>
    <row r="3885">
      <c r="G3885" s="8" t="n"/>
      <c r="M3885" s="8">
        <f>L3885*G3885</f>
        <v/>
      </c>
      <c r="P3885" s="9" t="n"/>
    </row>
    <row r="3886">
      <c r="G3886" s="8" t="n"/>
      <c r="M3886" s="8">
        <f>L3886*G3886</f>
        <v/>
      </c>
      <c r="P3886" s="9" t="n"/>
    </row>
    <row r="3887">
      <c r="G3887" s="8" t="n"/>
      <c r="M3887" s="8">
        <f>L3887*G3887</f>
        <v/>
      </c>
      <c r="P3887" s="9" t="n"/>
    </row>
    <row r="3888">
      <c r="G3888" s="8" t="n"/>
      <c r="M3888" s="8">
        <f>L3888*G3888</f>
        <v/>
      </c>
      <c r="P3888" s="9" t="n"/>
    </row>
    <row r="3889">
      <c r="G3889" s="8" t="n"/>
      <c r="M3889" s="8">
        <f>L3889*G3889</f>
        <v/>
      </c>
      <c r="P3889" s="9" t="n"/>
    </row>
    <row r="3890">
      <c r="G3890" s="8" t="n"/>
      <c r="M3890" s="8">
        <f>L3890*G3890</f>
        <v/>
      </c>
      <c r="P3890" s="9" t="n"/>
    </row>
    <row r="3891">
      <c r="G3891" s="8" t="n"/>
      <c r="M3891" s="8">
        <f>L3891*G3891</f>
        <v/>
      </c>
      <c r="P3891" s="9" t="n"/>
    </row>
    <row r="3892">
      <c r="G3892" s="8" t="n"/>
      <c r="M3892" s="8">
        <f>L3892*G3892</f>
        <v/>
      </c>
      <c r="P3892" s="9" t="n"/>
    </row>
    <row r="3893">
      <c r="G3893" s="8" t="n"/>
      <c r="M3893" s="8">
        <f>L3893*G3893</f>
        <v/>
      </c>
      <c r="P3893" s="9" t="n"/>
    </row>
    <row r="3894">
      <c r="G3894" s="8" t="n"/>
      <c r="M3894" s="8">
        <f>L3894*G3894</f>
        <v/>
      </c>
      <c r="P3894" s="9" t="n"/>
    </row>
    <row r="3895">
      <c r="G3895" s="8" t="n"/>
      <c r="M3895" s="8">
        <f>L3895*G3895</f>
        <v/>
      </c>
      <c r="P3895" s="9" t="n"/>
    </row>
    <row r="3896">
      <c r="G3896" s="8" t="n"/>
      <c r="M3896" s="8">
        <f>L3896*G3896</f>
        <v/>
      </c>
      <c r="P3896" s="9" t="n"/>
    </row>
    <row r="3897">
      <c r="G3897" s="8" t="n"/>
      <c r="M3897" s="8">
        <f>L3897*G3897</f>
        <v/>
      </c>
      <c r="P3897" s="9" t="n"/>
    </row>
    <row r="3898">
      <c r="G3898" s="8" t="n"/>
      <c r="M3898" s="8">
        <f>L3898*G3898</f>
        <v/>
      </c>
      <c r="P3898" s="9" t="n"/>
    </row>
    <row r="3899">
      <c r="G3899" s="8" t="n"/>
      <c r="M3899" s="8">
        <f>L3899*G3899</f>
        <v/>
      </c>
      <c r="P3899" s="9" t="n"/>
    </row>
    <row r="3900">
      <c r="G3900" s="8" t="n"/>
      <c r="M3900" s="8">
        <f>L3900*G3900</f>
        <v/>
      </c>
      <c r="P3900" s="9" t="n"/>
    </row>
    <row r="3901">
      <c r="G3901" s="8" t="n"/>
      <c r="M3901" s="8">
        <f>L3901*G3901</f>
        <v/>
      </c>
      <c r="P3901" s="9" t="n"/>
    </row>
    <row r="3902">
      <c r="G3902" s="8" t="n"/>
      <c r="M3902" s="8">
        <f>L3902*G3902</f>
        <v/>
      </c>
      <c r="P3902" s="9" t="n"/>
    </row>
    <row r="3903">
      <c r="G3903" s="8" t="n"/>
      <c r="M3903" s="8">
        <f>L3903*G3903</f>
        <v/>
      </c>
      <c r="P3903" s="9" t="n"/>
    </row>
    <row r="3904">
      <c r="G3904" s="8" t="n"/>
      <c r="M3904" s="8">
        <f>L3904*G3904</f>
        <v/>
      </c>
      <c r="P3904" s="9" t="n"/>
    </row>
    <row r="3905">
      <c r="G3905" s="8" t="n"/>
      <c r="M3905" s="8">
        <f>L3905*G3905</f>
        <v/>
      </c>
      <c r="P3905" s="9" t="n"/>
    </row>
    <row r="3906">
      <c r="G3906" s="8" t="n"/>
      <c r="M3906" s="8">
        <f>L3906*G3906</f>
        <v/>
      </c>
      <c r="P3906" s="9" t="n"/>
    </row>
    <row r="3907">
      <c r="G3907" s="8" t="n"/>
      <c r="M3907" s="8">
        <f>L3907*G3907</f>
        <v/>
      </c>
      <c r="P3907" s="9" t="n"/>
    </row>
    <row r="3908">
      <c r="G3908" s="8" t="n"/>
      <c r="M3908" s="8">
        <f>L3908*G3908</f>
        <v/>
      </c>
      <c r="P3908" s="9" t="n"/>
    </row>
    <row r="3909">
      <c r="G3909" s="8" t="n"/>
      <c r="M3909" s="8">
        <f>L3909*G3909</f>
        <v/>
      </c>
      <c r="P3909" s="9" t="n"/>
    </row>
    <row r="3910">
      <c r="G3910" s="8" t="n"/>
      <c r="M3910" s="8">
        <f>L3910*G3910</f>
        <v/>
      </c>
      <c r="P3910" s="9" t="n"/>
    </row>
    <row r="3911">
      <c r="G3911" s="8" t="n"/>
      <c r="M3911" s="8">
        <f>L3911*G3911</f>
        <v/>
      </c>
      <c r="P3911" s="9" t="n"/>
    </row>
    <row r="3912">
      <c r="G3912" s="8" t="n"/>
      <c r="M3912" s="8">
        <f>L3912*G3912</f>
        <v/>
      </c>
      <c r="P3912" s="9" t="n"/>
    </row>
    <row r="3913">
      <c r="G3913" s="8" t="n"/>
      <c r="M3913" s="8">
        <f>L3913*G3913</f>
        <v/>
      </c>
      <c r="P3913" s="9" t="n"/>
    </row>
    <row r="3914">
      <c r="G3914" s="8" t="n"/>
      <c r="M3914" s="8">
        <f>L3914*G3914</f>
        <v/>
      </c>
      <c r="P3914" s="9" t="n"/>
    </row>
    <row r="3915">
      <c r="G3915" s="8" t="n"/>
      <c r="M3915" s="8">
        <f>L3915*G3915</f>
        <v/>
      </c>
      <c r="P3915" s="9" t="n"/>
    </row>
    <row r="3916">
      <c r="G3916" s="8" t="n"/>
      <c r="M3916" s="8">
        <f>L3916*G3916</f>
        <v/>
      </c>
      <c r="P3916" s="9" t="n"/>
    </row>
    <row r="3917">
      <c r="G3917" s="8" t="n"/>
      <c r="M3917" s="8">
        <f>L3917*G3917</f>
        <v/>
      </c>
      <c r="P3917" s="9" t="n"/>
    </row>
    <row r="3918">
      <c r="G3918" s="8" t="n"/>
      <c r="M3918" s="8">
        <f>L3918*G3918</f>
        <v/>
      </c>
      <c r="P3918" s="9" t="n"/>
    </row>
    <row r="3919">
      <c r="G3919" s="8" t="n"/>
      <c r="M3919" s="8">
        <f>L3919*G3919</f>
        <v/>
      </c>
      <c r="P3919" s="9" t="n"/>
    </row>
    <row r="3920">
      <c r="G3920" s="8" t="n"/>
      <c r="M3920" s="8">
        <f>L3920*G3920</f>
        <v/>
      </c>
      <c r="P3920" s="9" t="n"/>
    </row>
    <row r="3921">
      <c r="G3921" s="8" t="n"/>
      <c r="M3921" s="8">
        <f>L3921*G3921</f>
        <v/>
      </c>
      <c r="P3921" s="9" t="n"/>
    </row>
    <row r="3922">
      <c r="G3922" s="8" t="n"/>
      <c r="M3922" s="8">
        <f>L3922*G3922</f>
        <v/>
      </c>
      <c r="P3922" s="9" t="n"/>
    </row>
    <row r="3923">
      <c r="G3923" s="8" t="n"/>
      <c r="M3923" s="8">
        <f>L3923*G3923</f>
        <v/>
      </c>
      <c r="P3923" s="9" t="n"/>
    </row>
    <row r="3924">
      <c r="G3924" s="8" t="n"/>
      <c r="M3924" s="8">
        <f>L3924*G3924</f>
        <v/>
      </c>
      <c r="P3924" s="9" t="n"/>
    </row>
    <row r="3925">
      <c r="G3925" s="8" t="n"/>
      <c r="M3925" s="8">
        <f>L3925*G3925</f>
        <v/>
      </c>
      <c r="P3925" s="9" t="n"/>
    </row>
    <row r="3926">
      <c r="G3926" s="8" t="n"/>
      <c r="M3926" s="8">
        <f>L3926*G3926</f>
        <v/>
      </c>
      <c r="P3926" s="9" t="n"/>
    </row>
    <row r="3927">
      <c r="G3927" s="8" t="n"/>
      <c r="M3927" s="8">
        <f>L3927*G3927</f>
        <v/>
      </c>
      <c r="P3927" s="9" t="n"/>
    </row>
    <row r="3928">
      <c r="G3928" s="8" t="n"/>
      <c r="M3928" s="8">
        <f>L3928*G3928</f>
        <v/>
      </c>
      <c r="P3928" s="9" t="n"/>
    </row>
    <row r="3929">
      <c r="G3929" s="8" t="n"/>
      <c r="M3929" s="8">
        <f>L3929*G3929</f>
        <v/>
      </c>
      <c r="P3929" s="9" t="n"/>
    </row>
    <row r="3930">
      <c r="G3930" s="8" t="n"/>
      <c r="M3930" s="8">
        <f>L3930*G3930</f>
        <v/>
      </c>
      <c r="P3930" s="9" t="n"/>
    </row>
    <row r="3931">
      <c r="G3931" s="8" t="n"/>
      <c r="M3931" s="8">
        <f>L3931*G3931</f>
        <v/>
      </c>
      <c r="P3931" s="9" t="n"/>
    </row>
    <row r="3932">
      <c r="G3932" s="8" t="n"/>
      <c r="M3932" s="8">
        <f>L3932*G3932</f>
        <v/>
      </c>
      <c r="P3932" s="9" t="n"/>
    </row>
    <row r="3933">
      <c r="G3933" s="8" t="n"/>
      <c r="M3933" s="8">
        <f>L3933*G3933</f>
        <v/>
      </c>
      <c r="P3933" s="9" t="n"/>
    </row>
    <row r="3934">
      <c r="G3934" s="8" t="n"/>
      <c r="M3934" s="8">
        <f>L3934*G3934</f>
        <v/>
      </c>
      <c r="P3934" s="9" t="n"/>
    </row>
    <row r="3935">
      <c r="G3935" s="8" t="n"/>
      <c r="M3935" s="8">
        <f>L3935*G3935</f>
        <v/>
      </c>
      <c r="P3935" s="9" t="n"/>
    </row>
    <row r="3936">
      <c r="G3936" s="8" t="n"/>
      <c r="M3936" s="8">
        <f>L3936*G3936</f>
        <v/>
      </c>
      <c r="P3936" s="9" t="n"/>
    </row>
    <row r="3937">
      <c r="G3937" s="8" t="n"/>
      <c r="M3937" s="8">
        <f>L3937*G3937</f>
        <v/>
      </c>
      <c r="P3937" s="9" t="n"/>
    </row>
    <row r="3938">
      <c r="G3938" s="8" t="n"/>
      <c r="M3938" s="8">
        <f>L3938*G3938</f>
        <v/>
      </c>
      <c r="P3938" s="9" t="n"/>
    </row>
    <row r="3939">
      <c r="G3939" s="8" t="n"/>
      <c r="M3939" s="8">
        <f>L3939*G3939</f>
        <v/>
      </c>
      <c r="P3939" s="9" t="n"/>
    </row>
    <row r="3940">
      <c r="G3940" s="8" t="n"/>
      <c r="M3940" s="8">
        <f>L3940*G3940</f>
        <v/>
      </c>
      <c r="P3940" s="9" t="n"/>
    </row>
    <row r="3941">
      <c r="G3941" s="8" t="n"/>
      <c r="M3941" s="8">
        <f>L3941*G3941</f>
        <v/>
      </c>
      <c r="P3941" s="9" t="n"/>
    </row>
    <row r="3942">
      <c r="G3942" s="8" t="n"/>
      <c r="M3942" s="8">
        <f>L3942*G3942</f>
        <v/>
      </c>
      <c r="P3942" s="9" t="n"/>
    </row>
    <row r="3943">
      <c r="G3943" s="8" t="n"/>
      <c r="M3943" s="8">
        <f>L3943*G3943</f>
        <v/>
      </c>
      <c r="P3943" s="9" t="n"/>
    </row>
    <row r="3944">
      <c r="G3944" s="8" t="n"/>
      <c r="M3944" s="8">
        <f>L3944*G3944</f>
        <v/>
      </c>
      <c r="P3944" s="9" t="n"/>
    </row>
    <row r="3945">
      <c r="G3945" s="8" t="n"/>
      <c r="M3945" s="8">
        <f>L3945*G3945</f>
        <v/>
      </c>
      <c r="P3945" s="9" t="n"/>
    </row>
    <row r="3946">
      <c r="G3946" s="8" t="n"/>
      <c r="M3946" s="8">
        <f>L3946*G3946</f>
        <v/>
      </c>
      <c r="P3946" s="9" t="n"/>
    </row>
    <row r="3947">
      <c r="G3947" s="8" t="n"/>
      <c r="M3947" s="8">
        <f>L3947*G3947</f>
        <v/>
      </c>
      <c r="P3947" s="9" t="n"/>
    </row>
    <row r="3948">
      <c r="G3948" s="8" t="n"/>
      <c r="M3948" s="8">
        <f>L3948*G3948</f>
        <v/>
      </c>
      <c r="P3948" s="9" t="n"/>
    </row>
    <row r="3949">
      <c r="G3949" s="8" t="n"/>
      <c r="M3949" s="8">
        <f>L3949*G3949</f>
        <v/>
      </c>
      <c r="P3949" s="9" t="n"/>
    </row>
    <row r="3950">
      <c r="G3950" s="8" t="n"/>
      <c r="M3950" s="8">
        <f>L3950*G3950</f>
        <v/>
      </c>
      <c r="P3950" s="9" t="n"/>
    </row>
    <row r="3951">
      <c r="G3951" s="8" t="n"/>
      <c r="M3951" s="8">
        <f>L3951*G3951</f>
        <v/>
      </c>
      <c r="P3951" s="9" t="n"/>
    </row>
    <row r="3952">
      <c r="G3952" s="8" t="n"/>
      <c r="M3952" s="8">
        <f>L3952*G3952</f>
        <v/>
      </c>
      <c r="P3952" s="9" t="n"/>
    </row>
    <row r="3953">
      <c r="G3953" s="8" t="n"/>
      <c r="M3953" s="8">
        <f>L3953*G3953</f>
        <v/>
      </c>
      <c r="P3953" s="9" t="n"/>
    </row>
    <row r="3954">
      <c r="G3954" s="8" t="n"/>
      <c r="M3954" s="8">
        <f>L3954*G3954</f>
        <v/>
      </c>
      <c r="P3954" s="9" t="n"/>
    </row>
    <row r="3955">
      <c r="G3955" s="8" t="n"/>
      <c r="M3955" s="8">
        <f>L3955*G3955</f>
        <v/>
      </c>
      <c r="P3955" s="9" t="n"/>
    </row>
    <row r="3956">
      <c r="G3956" s="8" t="n"/>
      <c r="M3956" s="8">
        <f>L3956*G3956</f>
        <v/>
      </c>
      <c r="P3956" s="9" t="n"/>
    </row>
    <row r="3957">
      <c r="G3957" s="8" t="n"/>
      <c r="M3957" s="8">
        <f>L3957*G3957</f>
        <v/>
      </c>
      <c r="P3957" s="9" t="n"/>
    </row>
    <row r="3958">
      <c r="G3958" s="8" t="n"/>
      <c r="M3958" s="8">
        <f>L3958*G3958</f>
        <v/>
      </c>
      <c r="P3958" s="9" t="n"/>
    </row>
    <row r="3959">
      <c r="G3959" s="8" t="n"/>
      <c r="M3959" s="8">
        <f>L3959*G3959</f>
        <v/>
      </c>
      <c r="P3959" s="9" t="n"/>
    </row>
    <row r="3960">
      <c r="G3960" s="8" t="n"/>
      <c r="M3960" s="8">
        <f>L3960*G3960</f>
        <v/>
      </c>
      <c r="P3960" s="9" t="n"/>
    </row>
    <row r="3961">
      <c r="G3961" s="8" t="n"/>
      <c r="M3961" s="8">
        <f>L3961*G3961</f>
        <v/>
      </c>
      <c r="P3961" s="9" t="n"/>
    </row>
    <row r="3962">
      <c r="G3962" s="8" t="n"/>
      <c r="M3962" s="8">
        <f>L3962*G3962</f>
        <v/>
      </c>
      <c r="P3962" s="9" t="n"/>
    </row>
    <row r="3963">
      <c r="G3963" s="8" t="n"/>
      <c r="M3963" s="8">
        <f>L3963*G3963</f>
        <v/>
      </c>
      <c r="P3963" s="9" t="n"/>
    </row>
    <row r="3964">
      <c r="G3964" s="8" t="n"/>
      <c r="M3964" s="8">
        <f>L3964*G3964</f>
        <v/>
      </c>
      <c r="P3964" s="9" t="n"/>
    </row>
    <row r="3965">
      <c r="G3965" s="8" t="n"/>
      <c r="M3965" s="8">
        <f>L3965*G3965</f>
        <v/>
      </c>
      <c r="P3965" s="9" t="n"/>
    </row>
    <row r="3966">
      <c r="G3966" s="8" t="n"/>
      <c r="M3966" s="8">
        <f>L3966*G3966</f>
        <v/>
      </c>
      <c r="P3966" s="9" t="n"/>
    </row>
    <row r="3967">
      <c r="G3967" s="8" t="n"/>
      <c r="M3967" s="8">
        <f>L3967*G3967</f>
        <v/>
      </c>
      <c r="P3967" s="9" t="n"/>
    </row>
    <row r="3968">
      <c r="G3968" s="8" t="n"/>
      <c r="M3968" s="8">
        <f>L3968*G3968</f>
        <v/>
      </c>
      <c r="P3968" s="9" t="n"/>
    </row>
    <row r="3969">
      <c r="G3969" s="8" t="n"/>
      <c r="M3969" s="8">
        <f>L3969*G3969</f>
        <v/>
      </c>
      <c r="P3969" s="9" t="n"/>
    </row>
    <row r="3970">
      <c r="G3970" s="8" t="n"/>
      <c r="M3970" s="8">
        <f>L3970*G3970</f>
        <v/>
      </c>
      <c r="P3970" s="9" t="n"/>
    </row>
    <row r="3971">
      <c r="G3971" s="8" t="n"/>
      <c r="M3971" s="8">
        <f>L3971*G3971</f>
        <v/>
      </c>
      <c r="P3971" s="9" t="n"/>
    </row>
    <row r="3972">
      <c r="G3972" s="8" t="n"/>
      <c r="M3972" s="8">
        <f>L3972*G3972</f>
        <v/>
      </c>
      <c r="P3972" s="9" t="n"/>
    </row>
    <row r="3973">
      <c r="G3973" s="8" t="n"/>
      <c r="M3973" s="8">
        <f>L3973*G3973</f>
        <v/>
      </c>
      <c r="P3973" s="9" t="n"/>
    </row>
    <row r="3974">
      <c r="G3974" s="8" t="n"/>
      <c r="M3974" s="8">
        <f>L3974*G3974</f>
        <v/>
      </c>
      <c r="P3974" s="9" t="n"/>
    </row>
    <row r="3975">
      <c r="G3975" s="8" t="n"/>
      <c r="M3975" s="8">
        <f>L3975*G3975</f>
        <v/>
      </c>
      <c r="P3975" s="9" t="n"/>
    </row>
    <row r="3976">
      <c r="G3976" s="8" t="n"/>
      <c r="M3976" s="8">
        <f>L3976*G3976</f>
        <v/>
      </c>
      <c r="P3976" s="9" t="n"/>
    </row>
    <row r="3977">
      <c r="G3977" s="8" t="n"/>
      <c r="M3977" s="8">
        <f>L3977*G3977</f>
        <v/>
      </c>
      <c r="P3977" s="9" t="n"/>
    </row>
    <row r="3978">
      <c r="G3978" s="8" t="n"/>
      <c r="M3978" s="8">
        <f>L3978*G3978</f>
        <v/>
      </c>
      <c r="P3978" s="9" t="n"/>
    </row>
    <row r="3979">
      <c r="G3979" s="8" t="n"/>
      <c r="M3979" s="8">
        <f>L3979*G3979</f>
        <v/>
      </c>
      <c r="P3979" s="9" t="n"/>
    </row>
    <row r="3980">
      <c r="G3980" s="8" t="n"/>
      <c r="M3980" s="8">
        <f>L3980*G3980</f>
        <v/>
      </c>
      <c r="P3980" s="9" t="n"/>
    </row>
    <row r="3981">
      <c r="G3981" s="8" t="n"/>
      <c r="M3981" s="8">
        <f>L3981*G3981</f>
        <v/>
      </c>
      <c r="P3981" s="9" t="n"/>
    </row>
    <row r="3982">
      <c r="G3982" s="8" t="n"/>
      <c r="M3982" s="8">
        <f>L3982*G3982</f>
        <v/>
      </c>
      <c r="P3982" s="9" t="n"/>
    </row>
    <row r="3983">
      <c r="G3983" s="8" t="n"/>
      <c r="M3983" s="8">
        <f>L3983*G3983</f>
        <v/>
      </c>
      <c r="P3983" s="9" t="n"/>
    </row>
    <row r="3984">
      <c r="G3984" s="8" t="n"/>
      <c r="M3984" s="8">
        <f>L3984*G3984</f>
        <v/>
      </c>
      <c r="P3984" s="9" t="n"/>
    </row>
    <row r="3985">
      <c r="G3985" s="8" t="n"/>
      <c r="M3985" s="8">
        <f>L3985*G3985</f>
        <v/>
      </c>
      <c r="P3985" s="9" t="n"/>
    </row>
    <row r="3986">
      <c r="G3986" s="8" t="n"/>
      <c r="M3986" s="8">
        <f>L3986*G3986</f>
        <v/>
      </c>
      <c r="P3986" s="9" t="n"/>
    </row>
    <row r="3987">
      <c r="G3987" s="8" t="n"/>
      <c r="M3987" s="8">
        <f>L3987*G3987</f>
        <v/>
      </c>
      <c r="P3987" s="9" t="n"/>
    </row>
    <row r="3988">
      <c r="G3988" s="8" t="n"/>
      <c r="M3988" s="8">
        <f>L3988*G3988</f>
        <v/>
      </c>
      <c r="P3988" s="9" t="n"/>
    </row>
    <row r="3989">
      <c r="G3989" s="8" t="n"/>
      <c r="M3989" s="8">
        <f>L3989*G3989</f>
        <v/>
      </c>
      <c r="P3989" s="9" t="n"/>
    </row>
    <row r="3990">
      <c r="G3990" s="8" t="n"/>
      <c r="M3990" s="8">
        <f>L3990*G3990</f>
        <v/>
      </c>
      <c r="P3990" s="9" t="n"/>
    </row>
    <row r="3991">
      <c r="G3991" s="8" t="n"/>
      <c r="M3991" s="8">
        <f>L3991*G3991</f>
        <v/>
      </c>
      <c r="P3991" s="9" t="n"/>
    </row>
    <row r="3992">
      <c r="G3992" s="8" t="n"/>
      <c r="M3992" s="8">
        <f>L3992*G3992</f>
        <v/>
      </c>
      <c r="P3992" s="9" t="n"/>
    </row>
    <row r="3993">
      <c r="G3993" s="8" t="n"/>
      <c r="M3993" s="8">
        <f>L3993*G3993</f>
        <v/>
      </c>
      <c r="P3993" s="9" t="n"/>
    </row>
    <row r="3994">
      <c r="G3994" s="8" t="n"/>
      <c r="M3994" s="8">
        <f>L3994*G3994</f>
        <v/>
      </c>
      <c r="P3994" s="9" t="n"/>
    </row>
    <row r="3995">
      <c r="G3995" s="8" t="n"/>
      <c r="M3995" s="8">
        <f>L3995*G3995</f>
        <v/>
      </c>
      <c r="P3995" s="9" t="n"/>
    </row>
    <row r="3996">
      <c r="G3996" s="8" t="n"/>
      <c r="M3996" s="8">
        <f>L3996*G3996</f>
        <v/>
      </c>
      <c r="P3996" s="9" t="n"/>
    </row>
    <row r="3997">
      <c r="G3997" s="8" t="n"/>
      <c r="M3997" s="8">
        <f>L3997*G3997</f>
        <v/>
      </c>
      <c r="P3997" s="9" t="n"/>
    </row>
    <row r="3998">
      <c r="G3998" s="8" t="n"/>
      <c r="M3998" s="8">
        <f>L3998*G3998</f>
        <v/>
      </c>
      <c r="P3998" s="9" t="n"/>
    </row>
    <row r="3999">
      <c r="G3999" s="8" t="n"/>
      <c r="M3999" s="8">
        <f>L3999*G3999</f>
        <v/>
      </c>
      <c r="P3999" s="9" t="n"/>
    </row>
    <row r="4000">
      <c r="G4000" s="8" t="n"/>
      <c r="M4000" s="8">
        <f>L4000*G4000</f>
        <v/>
      </c>
      <c r="P4000" s="9" t="n"/>
    </row>
    <row r="4001">
      <c r="G4001" s="8" t="n"/>
      <c r="M4001" s="8">
        <f>L4001*G4001</f>
        <v/>
      </c>
      <c r="P4001" s="9" t="n"/>
    </row>
    <row r="4002">
      <c r="G4002" s="8" t="n"/>
      <c r="M4002" s="8">
        <f>L4002*G4002</f>
        <v/>
      </c>
      <c r="P4002" s="9" t="n"/>
    </row>
    <row r="4003">
      <c r="G4003" s="8" t="n"/>
      <c r="M4003" s="8">
        <f>L4003*G4003</f>
        <v/>
      </c>
      <c r="P4003" s="9" t="n"/>
    </row>
    <row r="4004">
      <c r="G4004" s="8" t="n"/>
      <c r="M4004" s="8">
        <f>L4004*G4004</f>
        <v/>
      </c>
      <c r="P4004" s="9" t="n"/>
    </row>
    <row r="4005">
      <c r="G4005" s="8" t="n"/>
      <c r="M4005" s="8">
        <f>L4005*G4005</f>
        <v/>
      </c>
      <c r="P4005" s="9" t="n"/>
    </row>
    <row r="4006">
      <c r="G4006" s="8" t="n"/>
      <c r="M4006" s="8">
        <f>L4006*G4006</f>
        <v/>
      </c>
      <c r="P4006" s="9" t="n"/>
    </row>
    <row r="4007">
      <c r="G4007" s="8" t="n"/>
      <c r="M4007" s="8">
        <f>L4007*G4007</f>
        <v/>
      </c>
      <c r="P4007" s="9" t="n"/>
    </row>
    <row r="4008">
      <c r="G4008" s="8" t="n"/>
      <c r="M4008" s="8">
        <f>L4008*G4008</f>
        <v/>
      </c>
      <c r="P4008" s="9" t="n"/>
    </row>
    <row r="4009">
      <c r="G4009" s="8" t="n"/>
      <c r="M4009" s="8">
        <f>L4009*G4009</f>
        <v/>
      </c>
      <c r="P4009" s="9" t="n"/>
    </row>
    <row r="4010">
      <c r="G4010" s="8" t="n"/>
      <c r="M4010" s="8">
        <f>L4010*G4010</f>
        <v/>
      </c>
      <c r="P4010" s="9" t="n"/>
    </row>
    <row r="4011">
      <c r="G4011" s="8" t="n"/>
      <c r="M4011" s="8">
        <f>L4011*G4011</f>
        <v/>
      </c>
      <c r="P4011" s="9" t="n"/>
    </row>
    <row r="4012">
      <c r="G4012" s="8" t="n"/>
      <c r="M4012" s="8">
        <f>L4012*G4012</f>
        <v/>
      </c>
      <c r="P4012" s="9" t="n"/>
    </row>
    <row r="4013">
      <c r="G4013" s="8" t="n"/>
      <c r="M4013" s="8">
        <f>L4013*G4013</f>
        <v/>
      </c>
      <c r="P4013" s="9" t="n"/>
    </row>
    <row r="4014">
      <c r="G4014" s="8" t="n"/>
      <c r="M4014" s="8">
        <f>L4014*G4014</f>
        <v/>
      </c>
      <c r="P4014" s="9" t="n"/>
    </row>
    <row r="4015">
      <c r="G4015" s="8" t="n"/>
      <c r="M4015" s="8">
        <f>L4015*G4015</f>
        <v/>
      </c>
      <c r="P4015" s="9" t="n"/>
    </row>
    <row r="4016">
      <c r="G4016" s="8" t="n"/>
      <c r="M4016" s="8">
        <f>L4016*G4016</f>
        <v/>
      </c>
      <c r="P4016" s="9" t="n"/>
    </row>
    <row r="4017">
      <c r="G4017" s="8" t="n"/>
      <c r="M4017" s="8">
        <f>L4017*G4017</f>
        <v/>
      </c>
      <c r="P4017" s="9" t="n"/>
    </row>
    <row r="4018">
      <c r="G4018" s="8" t="n"/>
      <c r="M4018" s="8">
        <f>L4018*G4018</f>
        <v/>
      </c>
      <c r="P4018" s="9" t="n"/>
    </row>
    <row r="4019">
      <c r="G4019" s="8" t="n"/>
      <c r="M4019" s="8">
        <f>L4019*G4019</f>
        <v/>
      </c>
      <c r="P4019" s="9" t="n"/>
    </row>
    <row r="4020">
      <c r="G4020" s="8" t="n"/>
      <c r="M4020" s="8">
        <f>L4020*G4020</f>
        <v/>
      </c>
      <c r="P4020" s="9" t="n"/>
    </row>
    <row r="4021">
      <c r="G4021" s="8" t="n"/>
      <c r="M4021" s="8">
        <f>L4021*G4021</f>
        <v/>
      </c>
      <c r="P4021" s="9" t="n"/>
    </row>
    <row r="4022">
      <c r="G4022" s="8" t="n"/>
      <c r="M4022" s="8">
        <f>L4022*G4022</f>
        <v/>
      </c>
      <c r="P4022" s="9" t="n"/>
    </row>
    <row r="4023">
      <c r="G4023" s="8" t="n"/>
      <c r="M4023" s="8">
        <f>L4023*G4023</f>
        <v/>
      </c>
      <c r="P4023" s="9" t="n"/>
    </row>
    <row r="4024">
      <c r="G4024" s="8" t="n"/>
      <c r="M4024" s="8">
        <f>L4024*G4024</f>
        <v/>
      </c>
      <c r="P4024" s="9" t="n"/>
    </row>
    <row r="4025">
      <c r="G4025" s="8" t="n"/>
      <c r="M4025" s="8">
        <f>L4025*G4025</f>
        <v/>
      </c>
      <c r="P4025" s="9" t="n"/>
    </row>
    <row r="4026">
      <c r="G4026" s="8" t="n"/>
      <c r="M4026" s="8">
        <f>L4026*G4026</f>
        <v/>
      </c>
      <c r="P4026" s="9" t="n"/>
    </row>
    <row r="4027">
      <c r="G4027" s="8" t="n"/>
      <c r="M4027" s="8">
        <f>L4027*G4027</f>
        <v/>
      </c>
      <c r="P4027" s="9" t="n"/>
    </row>
    <row r="4028">
      <c r="G4028" s="8" t="n"/>
      <c r="M4028" s="8">
        <f>L4028*G4028</f>
        <v/>
      </c>
      <c r="P4028" s="9" t="n"/>
    </row>
    <row r="4029">
      <c r="A4029" s="0" t="inlineStr">
        <is>
          <t>Fangs of Kalonia / Presas de Kalonia</t>
        </is>
      </c>
      <c r="B4029" s="0" t="inlineStr">
        <is>
          <t>Sorcery / Feitiço</t>
        </is>
      </c>
      <c r="C4029" s="0" t="inlineStr">
        <is>
          <t>Uncommon / Incomum</t>
        </is>
      </c>
      <c r="D4029" s="0" t="inlineStr">
        <is>
          <t>Put a +1/+1 counter on target creature you control, then double the number of +1/+1 counters on each creature that had a +1/+1 counter put on it this way. Overload {4}{G}{G} (You may cast this spell for its overload cost. If you do, change "target" in its text to "each.") / Coloque um marcador +1/+1 na criatura alvo que você controla, depois dobre o número de marcadores +1/+1 em cada criatura que tenha recebido um marcador +1/+1 dessa forma. Sobrecarga {4}{G}{G} (Você pode conjurar esta mágica pagando seu custo de sobrecarga. Se fizer isso, substitua "na criatura alvo" em seu texto por "em cada criatura".) ".)</t>
        </is>
      </c>
      <c r="E4029" s="0" t="inlineStr">
        <is>
          <t>{1}{G}</t>
        </is>
      </c>
      <c r="F4029" s="0" t="inlineStr">
        <is>
          <t>Verde</t>
        </is>
      </c>
      <c r="G4029" s="0" t="inlineStr"/>
      <c r="H4029" s="0" t="inlineStr">
        <is>
          <t>Modern Horizons 3 (MH3)</t>
        </is>
      </c>
      <c r="I4029" s="0" t="inlineStr">
        <is>
          <t>Não</t>
        </is>
      </c>
      <c r="J4029" s="0" t="inlineStr">
        <is>
          <t>2024</t>
        </is>
      </c>
      <c r="K4029" s="0" t="inlineStr"/>
      <c r="L4029" s="0" t="inlineStr">
        <is>
          <t>1</t>
        </is>
      </c>
    </row>
    <row r="4030">
      <c r="A4030" s="0" t="inlineStr">
        <is>
          <t>Ghirapur Guide / Guia de Ghirapur</t>
        </is>
      </c>
      <c r="B4030" s="0" t="inlineStr">
        <is>
          <t>Creature — Elf Scout / Criatura — Elfo Batedor</t>
        </is>
      </c>
      <c r="C4030" s="0" t="inlineStr">
        <is>
          <t>Uncommon / Incomum</t>
        </is>
      </c>
      <c r="D4030" s="0" t="inlineStr">
        <is>
          <t>{2}{G}: Target creature you control can't be blocked by creatures with power 2 or less this turn. / {2}{G}: A criatura alvo que você controla não pode ser boqueada neste turno por criaturas com poder igual ou inferior a 2.</t>
        </is>
      </c>
      <c r="E4030" s="0" t="inlineStr">
        <is>
          <t>{2}{G}</t>
        </is>
      </c>
      <c r="F4030" s="0" t="inlineStr">
        <is>
          <t>Verde</t>
        </is>
      </c>
      <c r="G4030" s="0" t="inlineStr"/>
      <c r="H4030" s="0" t="inlineStr">
        <is>
          <t>Jumpstart (JMP)</t>
        </is>
      </c>
      <c r="I4030" s="0" t="inlineStr">
        <is>
          <t>Não</t>
        </is>
      </c>
      <c r="J4030" s="0" t="inlineStr">
        <is>
          <t>2020</t>
        </is>
      </c>
      <c r="K4030" s="0" t="inlineStr">
        <is>
          <t>3/2</t>
        </is>
      </c>
      <c r="L4030" s="0" t="inlineStr">
        <is>
          <t>1</t>
        </is>
      </c>
    </row>
    <row r="4031">
      <c r="A4031" s="0" t="inlineStr">
        <is>
          <t>Needletooth Pack</t>
        </is>
      </c>
      <c r="B4031" s="0" t="inlineStr">
        <is>
          <t>Creature — Dinosaur</t>
        </is>
      </c>
      <c r="C4031" s="0" t="inlineStr">
        <is>
          <t>Uncommon / Incomum</t>
        </is>
      </c>
      <c r="D4031" s="0" t="inlineStr">
        <is>
          <t>Morbid — At the beginning of your end step, if a creature died this turn, put two +1/+1 counters on target creature you control.</t>
        </is>
      </c>
      <c r="E4031" s="0" t="inlineStr">
        <is>
          <t>{3}{G}{G}</t>
        </is>
      </c>
      <c r="F4031" s="0" t="inlineStr">
        <is>
          <t>Verde</t>
        </is>
      </c>
      <c r="G4031" s="0" t="inlineStr"/>
      <c r="H4031" s="0" t="inlineStr">
        <is>
          <t>Foundations (FDN)</t>
        </is>
      </c>
      <c r="I4031" s="0" t="inlineStr">
        <is>
          <t>Não</t>
        </is>
      </c>
      <c r="J4031" s="0" t="inlineStr">
        <is>
          <t>2024</t>
        </is>
      </c>
      <c r="K4031" s="0" t="inlineStr">
        <is>
          <t>4/5</t>
        </is>
      </c>
      <c r="L4031" s="0" t="inlineStr">
        <is>
          <t>1</t>
        </is>
      </c>
    </row>
    <row r="4032">
      <c r="A4032" s="0" t="inlineStr">
        <is>
          <t>Full Steam Ahead / A Todo Vapor</t>
        </is>
      </c>
      <c r="B4032" s="0" t="inlineStr">
        <is>
          <t>Sorcery / Feitiço</t>
        </is>
      </c>
      <c r="C4032" s="0" t="inlineStr">
        <is>
          <t>Uncommon / Incomum</t>
        </is>
      </c>
      <c r="D4032" s="0" t="inlineStr">
        <is>
          <t>Until end of turn, each creature you control gets +2/+2 and gains trample and "This creature can't be blocked by more than one creature." / Até o final do turno, cada criatura que você controla recebe +2/+2 e ganha atropelar e "Esta criatura não pode ser bloqueada por mais de uma criatura".</t>
        </is>
      </c>
      <c r="E4032" s="0" t="inlineStr">
        <is>
          <t>{3}{G}{G}</t>
        </is>
      </c>
      <c r="F4032" s="0" t="inlineStr">
        <is>
          <t>Verde</t>
        </is>
      </c>
      <c r="G4032" s="0" t="inlineStr"/>
      <c r="H4032" s="0" t="inlineStr">
        <is>
          <t>Outlaws of Thunder Junction (OTJ)</t>
        </is>
      </c>
      <c r="I4032" s="0" t="inlineStr">
        <is>
          <t>Não</t>
        </is>
      </c>
      <c r="J4032" s="0" t="inlineStr">
        <is>
          <t>2024</t>
        </is>
      </c>
      <c r="K4032" s="0" t="inlineStr"/>
      <c r="L4032" s="0" t="inlineStr">
        <is>
          <t>1</t>
        </is>
      </c>
    </row>
    <row r="4033">
      <c r="A4033" s="0" t="inlineStr">
        <is>
          <t>Skanos Dragonheart / Skanos Coração Dracônico</t>
        </is>
      </c>
      <c r="B4033" s="0" t="inlineStr">
        <is>
          <t>Legendary Creature — Dragon Ranger / Criatura Lendária — Dragão Guardião</t>
        </is>
      </c>
      <c r="C4033" s="0" t="inlineStr">
        <is>
          <t>Uncommon / Incomum</t>
        </is>
      </c>
      <c r="D4033" s="0" t="inlineStr">
        <is>
          <t>Whenever Skanos Dragonheart attacks, it gets +X/+X until end of turn, where X is the greatest power among other Dragons you control and Dragon cards in your graveyard. Choose a Background (You can have a Background as a second commander.) / Toda vez que Skanos Coração Dracônico ataca, ele recebe +X/+X até o final do turno, sendo X o maior poder entre os de outros Dragões que você controla e os cards de Dragão em seu cemitério. Escolha um Antecedente</t>
        </is>
      </c>
      <c r="E4033" s="0" t="inlineStr">
        <is>
          <t>{4}{G}</t>
        </is>
      </c>
      <c r="F4033" s="0" t="inlineStr">
        <is>
          <t>Verde</t>
        </is>
      </c>
      <c r="G4033" s="0" t="inlineStr"/>
      <c r="H4033" s="0" t="inlineStr">
        <is>
          <t>Commander Legends: Battle for Baldur's Gate (CLB)</t>
        </is>
      </c>
      <c r="I4033" s="0" t="inlineStr">
        <is>
          <t>Não</t>
        </is>
      </c>
      <c r="J4033" s="0" t="inlineStr">
        <is>
          <t>2022</t>
        </is>
      </c>
      <c r="K4033" s="0" t="inlineStr">
        <is>
          <t>4/4</t>
        </is>
      </c>
      <c r="L4033" s="0" t="inlineStr">
        <is>
          <t>1</t>
        </is>
      </c>
    </row>
    <row r="4034">
      <c r="A4034" s="0" t="inlineStr">
        <is>
          <t>Elvish Hydromancer / Hidromante Élfica</t>
        </is>
      </c>
      <c r="B4034" s="0" t="inlineStr">
        <is>
          <t>Creature — Elf Wizard / Criatura — Elfo Mago</t>
        </is>
      </c>
      <c r="C4034" s="0" t="inlineStr">
        <is>
          <t>Uncommon / Incomum</t>
        </is>
      </c>
      <c r="D4034" s="0" t="inlineStr">
        <is>
          <t>Kicker {3}{U} (You may pay an additional {3}{U} as you cast this spell.) When this creature enters, if it was kicked, create a token that's a copy of target creature you control. / Reforçar {3}{U} (Você pode pagar um custo adicional de {3}{U} ao conjurar esta mágica.) Quando Hidromante Élfica entrar no campo de batalha, se ela foi reforçada, crie uma ficha que seja uma cópia da criatura alvo que você controla.</t>
        </is>
      </c>
      <c r="E4034" s="0" t="inlineStr">
        <is>
          <t>{2}{G}</t>
        </is>
      </c>
      <c r="F4034" s="0" t="inlineStr">
        <is>
          <t>Verde</t>
        </is>
      </c>
      <c r="G4034" s="0" t="inlineStr"/>
      <c r="H4034" s="0" t="inlineStr">
        <is>
          <t>Dominaria United (DMU)</t>
        </is>
      </c>
      <c r="I4034" s="0" t="inlineStr">
        <is>
          <t>Não</t>
        </is>
      </c>
      <c r="J4034" s="0" t="inlineStr">
        <is>
          <t>2022</t>
        </is>
      </c>
      <c r="K4034" s="0" t="inlineStr">
        <is>
          <t>3/2</t>
        </is>
      </c>
      <c r="L4034" s="0" t="inlineStr">
        <is>
          <t>1</t>
        </is>
      </c>
    </row>
    <row r="4035">
      <c r="A4035" s="0" t="inlineStr">
        <is>
          <t>Pothole Mole</t>
        </is>
      </c>
      <c r="B4035" s="0" t="inlineStr">
        <is>
          <t>Creature — Mole</t>
        </is>
      </c>
      <c r="C4035" s="0" t="inlineStr">
        <is>
          <t>Common / Comum</t>
        </is>
      </c>
      <c r="D4035" s="0" t="inlineStr">
        <is>
          <t>When this creature enters, mill three cards, then you may return a land card from your graveyard to your hand. (To mill three cards, put the top three cards of your library into your graveyard.)</t>
        </is>
      </c>
      <c r="E4035" s="0" t="inlineStr">
        <is>
          <t>{2}{G}</t>
        </is>
      </c>
      <c r="F4035" s="0" t="inlineStr">
        <is>
          <t>Verde</t>
        </is>
      </c>
      <c r="G4035" s="0" t="inlineStr"/>
      <c r="H4035" s="0" t="inlineStr">
        <is>
          <t>Aetherdrift (DFT)</t>
        </is>
      </c>
      <c r="I4035" s="0" t="inlineStr">
        <is>
          <t>Não</t>
        </is>
      </c>
      <c r="J4035" s="0" t="inlineStr">
        <is>
          <t>2025</t>
        </is>
      </c>
      <c r="K4035" s="0" t="inlineStr">
        <is>
          <t>2/3</t>
        </is>
      </c>
      <c r="L4035" s="0" t="inlineStr">
        <is>
          <t>1</t>
        </is>
      </c>
    </row>
    <row r="4036">
      <c r="A4036" s="0" t="inlineStr">
        <is>
          <t>Threats Around Every Corner</t>
        </is>
      </c>
      <c r="B4036" s="0" t="inlineStr">
        <is>
          <t>Enchantment</t>
        </is>
      </c>
      <c r="C4036" s="0" t="inlineStr">
        <is>
          <t>Uncommon / Incomum</t>
        </is>
      </c>
      <c r="D4036" s="0" t="inlineStr">
        <is>
          <t>When this enchantment enters, manifest dread. Whenever a face-down permanent you control enters, search your library for a basic land card, put it onto the battlefield tapped, then shuffle.</t>
        </is>
      </c>
      <c r="E4036" s="0" t="inlineStr">
        <is>
          <t>{3}{G}</t>
        </is>
      </c>
      <c r="F4036" s="0" t="inlineStr">
        <is>
          <t>Verde</t>
        </is>
      </c>
      <c r="G4036" s="0" t="inlineStr"/>
      <c r="H4036" s="0" t="inlineStr">
        <is>
          <t>Duskmourn: House of Horror (DSK)</t>
        </is>
      </c>
      <c r="I4036" s="0" t="inlineStr">
        <is>
          <t>Não</t>
        </is>
      </c>
      <c r="J4036" s="0" t="inlineStr">
        <is>
          <t>2024</t>
        </is>
      </c>
      <c r="K4036" s="0" t="inlineStr"/>
      <c r="L4036" s="0" t="inlineStr">
        <is>
          <t>1</t>
        </is>
      </c>
    </row>
    <row r="4037">
      <c r="A4037" s="0" t="inlineStr">
        <is>
          <t>Cryptid Inspector</t>
        </is>
      </c>
      <c r="B4037" s="0" t="inlineStr">
        <is>
          <t>Creature — Elf Warrior</t>
        </is>
      </c>
      <c r="C4037" s="0" t="inlineStr">
        <is>
          <t>Common / Comum</t>
        </is>
      </c>
      <c r="D4037" s="0" t="inlineStr">
        <is>
          <t>Vigilance Whenever a face-down permanent you control enters and whenever this creature or another permanent you control is turned face up, put a +1/+1 counter on this creature.</t>
        </is>
      </c>
      <c r="E4037" s="0" t="inlineStr">
        <is>
          <t>{2}{G}</t>
        </is>
      </c>
      <c r="F4037" s="0" t="inlineStr">
        <is>
          <t>Verde</t>
        </is>
      </c>
      <c r="G4037" s="0" t="inlineStr"/>
      <c r="H4037" s="0" t="inlineStr">
        <is>
          <t>Duskmourn: House of Horror (DSK)</t>
        </is>
      </c>
      <c r="I4037" s="0" t="inlineStr">
        <is>
          <t>Não</t>
        </is>
      </c>
      <c r="J4037" s="0" t="inlineStr">
        <is>
          <t>2024</t>
        </is>
      </c>
      <c r="K4037" s="0" t="inlineStr">
        <is>
          <t>2/3</t>
        </is>
      </c>
      <c r="L4037" s="0" t="inlineStr">
        <is>
          <t>1</t>
        </is>
      </c>
    </row>
    <row r="4038">
      <c r="A4038" s="0" t="inlineStr">
        <is>
          <t>Kazuul, Tyrant of the Cliffs / Kazuul, Tirano dos Penhascos</t>
        </is>
      </c>
      <c r="B4038" s="0" t="inlineStr">
        <is>
          <t>Legendary Creature — Ogre Warrior / Criatura Lendária — Ogro Guerreiro</t>
        </is>
      </c>
      <c r="C4038" s="0" t="inlineStr">
        <is>
          <t>Uncommon / Incomum</t>
        </is>
      </c>
      <c r="D4038" s="0" t="inlineStr">
        <is>
          <t>Whenever a creature an opponent controls attacks, if you're the defending player, create a 3/3 red Ogre creature token unless that creature's controller pays {3}. / Toda vez que uma criatura que um oponente controla ataca, se você for o jogador defensor, crie uma ficha de criatura Ogro vermelha 3/3, a menos que o controlador daquela criatura pague {3}.</t>
        </is>
      </c>
      <c r="E4038" s="0" t="inlineStr">
        <is>
          <t>{3}{R}{R}</t>
        </is>
      </c>
      <c r="F4038" s="0" t="inlineStr">
        <is>
          <t>Vermelho</t>
        </is>
      </c>
      <c r="G4038" s="0" t="inlineStr"/>
      <c r="H4038" s="0" t="inlineStr">
        <is>
          <t>Commander Masters (CMM)</t>
        </is>
      </c>
      <c r="I4038" s="0" t="inlineStr">
        <is>
          <t>Não</t>
        </is>
      </c>
      <c r="J4038" s="0" t="inlineStr">
        <is>
          <t>2023</t>
        </is>
      </c>
      <c r="K4038" s="0" t="inlineStr">
        <is>
          <t>5/4</t>
        </is>
      </c>
      <c r="L4038" s="0" t="inlineStr">
        <is>
          <t>1</t>
        </is>
      </c>
    </row>
    <row r="4039">
      <c r="A4039" s="0" t="inlineStr">
        <is>
          <t>Captain Ripley Vance / Capitã Ripley Vance</t>
        </is>
      </c>
      <c r="B4039" s="0" t="inlineStr">
        <is>
          <t>Legendary Creature — Human Pirate / Criatura Lendária — Humano Pirata</t>
        </is>
      </c>
      <c r="C4039" s="0" t="inlineStr">
        <is>
          <t>Uncommon / Incomum</t>
        </is>
      </c>
      <c r="D4039" s="0" t="inlineStr">
        <is>
          <t>Whenever you cast your third spell each turn, put a +1/+1 counter on Captain Ripley Vance, then it deals damage equal to its power to any target. / Toda vez que você conjurar sua terceira mágica a cada turno, coloque um marcador +1/+1 em Capitã Ripley Vance. Em seguida, ela causa dano igual ao próprio poder a qualquer alvo.</t>
        </is>
      </c>
      <c r="E4039" s="0" t="inlineStr">
        <is>
          <t>{2}{R}</t>
        </is>
      </c>
      <c r="F4039" s="0" t="inlineStr">
        <is>
          <t>Vermelho</t>
        </is>
      </c>
      <c r="G4039" s="0" t="inlineStr"/>
      <c r="H4039" s="0" t="inlineStr">
        <is>
          <t>Commander Masters (CMM)</t>
        </is>
      </c>
      <c r="I4039" s="0" t="inlineStr">
        <is>
          <t>Não</t>
        </is>
      </c>
      <c r="J4039" s="0" t="inlineStr">
        <is>
          <t>2023</t>
        </is>
      </c>
      <c r="K4039" s="0" t="inlineStr">
        <is>
          <t>3/2</t>
        </is>
      </c>
      <c r="L4039" s="0" t="inlineStr">
        <is>
          <t>1</t>
        </is>
      </c>
    </row>
    <row r="4040">
      <c r="A4040" s="0" t="inlineStr">
        <is>
          <t>Havoc Jester / Bufão da Destruição</t>
        </is>
      </c>
      <c r="B4040" s="0" t="inlineStr">
        <is>
          <t>Creature — Devil / Criatura — Diabo</t>
        </is>
      </c>
      <c r="C4040" s="0" t="inlineStr">
        <is>
          <t>Uncommon / Incomum</t>
        </is>
      </c>
      <c r="D4040" s="0" t="inlineStr">
        <is>
          <t>Whenever you sacrifice a permanent, this creature deals 1 damage to any target. / Toda vez que você sacrifica uma permanente, Bufão da Destruição causa 1 ponto de dano a qualquer alvo.</t>
        </is>
      </c>
      <c r="E4040" s="0" t="inlineStr">
        <is>
          <t>{4}{R}</t>
        </is>
      </c>
      <c r="F4040" s="0" t="inlineStr">
        <is>
          <t>Vermelho</t>
        </is>
      </c>
      <c r="G4040" s="0" t="inlineStr"/>
      <c r="H4040" s="0" t="inlineStr">
        <is>
          <t>Commander Masters (CMM)</t>
        </is>
      </c>
      <c r="I4040" s="0" t="inlineStr">
        <is>
          <t>Não</t>
        </is>
      </c>
      <c r="J4040" s="0" t="inlineStr">
        <is>
          <t>2023</t>
        </is>
      </c>
      <c r="K4040" s="0" t="inlineStr">
        <is>
          <t>5/5</t>
        </is>
      </c>
      <c r="L4040" s="0" t="inlineStr">
        <is>
          <t>1</t>
        </is>
      </c>
    </row>
    <row r="4041">
      <c r="A4041" s="0" t="inlineStr">
        <is>
          <t>Raise the Alarm / Soar o Alarme</t>
        </is>
      </c>
      <c r="B4041" s="0" t="inlineStr">
        <is>
          <t>Instant / Mágica Instantânea</t>
        </is>
      </c>
      <c r="C4041" s="0" t="inlineStr">
        <is>
          <t>Common / Comum</t>
        </is>
      </c>
      <c r="D4041" s="0" t="inlineStr">
        <is>
          <t>Create two 1/1 white Soldier creature tokens. / Coloque no campo de batalha duas fichas de criatura brancas 1/1 do tipo Soldado.</t>
        </is>
      </c>
      <c r="E4041" s="0" t="inlineStr">
        <is>
          <t>{1}{W}</t>
        </is>
      </c>
      <c r="F4041" s="0" t="inlineStr">
        <is>
          <t>Branco</t>
        </is>
      </c>
      <c r="G4041" s="0" t="inlineStr"/>
      <c r="H4041" s="0" t="inlineStr">
        <is>
          <t>Modern Masters 2015 (MM2)</t>
        </is>
      </c>
      <c r="I4041" s="0" t="inlineStr">
        <is>
          <t>Não</t>
        </is>
      </c>
      <c r="J4041" s="0" t="inlineStr">
        <is>
          <t>2015</t>
        </is>
      </c>
      <c r="K4041" s="0" t="inlineStr"/>
      <c r="L4041" s="0" t="inlineStr">
        <is>
          <t>1</t>
        </is>
      </c>
    </row>
    <row r="4042">
      <c r="A4042" s="0" t="inlineStr">
        <is>
          <t>Unsettling Twins</t>
        </is>
      </c>
      <c r="B4042" s="0" t="inlineStr">
        <is>
          <t>Creature — Human</t>
        </is>
      </c>
      <c r="C4042" s="0" t="inlineStr">
        <is>
          <t>Common / Comum</t>
        </is>
      </c>
      <c r="D4042" s="0" t="inlineStr">
        <is>
          <t>When this creature enters, manifest dread. (Look at the top two cards of your library. Put one onto the battlefield face down as a 2/2 creature and the other into your graveyard. Turn it face up any time for its mana cost if it's a creature card.)</t>
        </is>
      </c>
      <c r="E4042" s="0" t="inlineStr">
        <is>
          <t>{3}{W}</t>
        </is>
      </c>
      <c r="F4042" s="0" t="inlineStr">
        <is>
          <t>Branco</t>
        </is>
      </c>
      <c r="G4042" s="0" t="inlineStr"/>
      <c r="H4042" s="0" t="inlineStr">
        <is>
          <t>Duskmourn: House of Horror (DSK)</t>
        </is>
      </c>
      <c r="I4042" s="0" t="inlineStr">
        <is>
          <t>Não</t>
        </is>
      </c>
      <c r="J4042" s="0" t="inlineStr">
        <is>
          <t>2024</t>
        </is>
      </c>
      <c r="K4042" s="0" t="inlineStr">
        <is>
          <t>2/2</t>
        </is>
      </c>
      <c r="L4042" s="0" t="inlineStr">
        <is>
          <t>1</t>
        </is>
      </c>
    </row>
    <row r="4043">
      <c r="A4043" s="0" t="inlineStr">
        <is>
          <t>Vanguard Seraph</t>
        </is>
      </c>
      <c r="B4043" s="0" t="inlineStr">
        <is>
          <t>Creature — Angel Warrior</t>
        </is>
      </c>
      <c r="C4043" s="0" t="inlineStr">
        <is>
          <t>Common / Comum</t>
        </is>
      </c>
      <c r="D4043" s="0" t="inlineStr">
        <is>
          <t>Flying Whenever you gain life for the first time each turn, surveil 1. (Look at the top card of your library. You may put it into your graveyard.)</t>
        </is>
      </c>
      <c r="E4043" s="0" t="inlineStr">
        <is>
          <t>{3}{W}</t>
        </is>
      </c>
      <c r="F4043" s="0" t="inlineStr">
        <is>
          <t>Branco</t>
        </is>
      </c>
      <c r="G4043" s="0" t="inlineStr"/>
      <c r="H4043" s="0" t="inlineStr">
        <is>
          <t>Foundations (FDN)</t>
        </is>
      </c>
      <c r="I4043" s="0" t="inlineStr">
        <is>
          <t>Não</t>
        </is>
      </c>
      <c r="J4043" s="0" t="inlineStr">
        <is>
          <t>2024</t>
        </is>
      </c>
      <c r="K4043" s="0" t="inlineStr">
        <is>
          <t>3/3</t>
        </is>
      </c>
      <c r="L4043" s="0" t="inlineStr">
        <is>
          <t>1</t>
        </is>
      </c>
    </row>
    <row r="4044">
      <c r="A4044" s="0" t="inlineStr">
        <is>
          <t>Traveling Minister / Ministro Itinerante</t>
        </is>
      </c>
      <c r="B4044" s="0" t="inlineStr">
        <is>
          <t>Creature — Human Cleric / Criatura — Humano Clérigo</t>
        </is>
      </c>
      <c r="C4044" s="0" t="inlineStr">
        <is>
          <t>Common / Comum</t>
        </is>
      </c>
      <c r="D4044" s="0" t="inlineStr">
        <is>
          <t>{T}: Target creature gets +1/+0 until end of turn. You gain 1 life. Activate only as a sorcery. / {T}: A criatura alvo recebe +1/+0 até o final do turno. Você ganha 1 ponto de vida. Ative somente como um feitiço.</t>
        </is>
      </c>
      <c r="E4044" s="0" t="inlineStr">
        <is>
          <t>{W}</t>
        </is>
      </c>
      <c r="F4044" s="0" t="inlineStr">
        <is>
          <t>Branco</t>
        </is>
      </c>
      <c r="G4044" s="0" t="inlineStr"/>
      <c r="H4044" s="0" t="inlineStr">
        <is>
          <t>Innistrad: Crimson Vow (VOW)</t>
        </is>
      </c>
      <c r="I4044" s="0" t="inlineStr">
        <is>
          <t>Não</t>
        </is>
      </c>
      <c r="J4044" s="0" t="inlineStr">
        <is>
          <t>2021</t>
        </is>
      </c>
      <c r="K4044" s="0" t="inlineStr">
        <is>
          <t>1/1</t>
        </is>
      </c>
      <c r="L4044" s="0" t="inlineStr">
        <is>
          <t>1</t>
        </is>
      </c>
    </row>
    <row r="4045">
      <c r="A4045" s="0" t="inlineStr">
        <is>
          <t>Parish-Blade Trainee / Recruta Lâmina Paroquial</t>
        </is>
      </c>
      <c r="B4045" s="0" t="inlineStr">
        <is>
          <t>Creature — Human Soldier / Criatura — Humano Soldado</t>
        </is>
      </c>
      <c r="C4045" s="0" t="inlineStr">
        <is>
          <t>Common / Comum</t>
        </is>
      </c>
      <c r="D4045" s="0" t="inlineStr">
        <is>
          <t>Training (Whenever this creature attacks with another creature with greater power, put a +1/+1 counter on this creature.) When this creature dies, put its counters on target creature you control. / Treinamento (Toda vez que esta criatura atacar com outra criatura de poder superior, coloque um marcador +1/+1 nesta criatura.) Quando Recruta Lâmina Paroquial morrer, coloque seus marcadores na criatura alvo que você controla.</t>
        </is>
      </c>
      <c r="E4045" s="0" t="inlineStr">
        <is>
          <t>{1}{W}</t>
        </is>
      </c>
      <c r="F4045" s="0" t="inlineStr">
        <is>
          <t>Branco</t>
        </is>
      </c>
      <c r="G4045" s="0" t="inlineStr"/>
      <c r="H4045" s="0" t="inlineStr">
        <is>
          <t>Innistrad: Crimson Vow (VOW)</t>
        </is>
      </c>
      <c r="I4045" s="0" t="inlineStr">
        <is>
          <t>Não</t>
        </is>
      </c>
      <c r="J4045" s="0" t="inlineStr">
        <is>
          <t>2021</t>
        </is>
      </c>
      <c r="K4045" s="0" t="inlineStr">
        <is>
          <t>1/2</t>
        </is>
      </c>
      <c r="L4045" s="0" t="inlineStr">
        <is>
          <t>1</t>
        </is>
      </c>
    </row>
    <row r="4046">
      <c r="A4046" s="0" t="inlineStr">
        <is>
          <t>Vampire Slayer / Matadora de Vampiros</t>
        </is>
      </c>
      <c r="B4046" s="0" t="inlineStr">
        <is>
          <t>Creature — Human Soldier / Criatura — Humano Soldado</t>
        </is>
      </c>
      <c r="C4046" s="0" t="inlineStr">
        <is>
          <t>Common / Comum</t>
        </is>
      </c>
      <c r="D4046" s="0" t="inlineStr">
        <is>
          <t>Whenever this creature deals damage to a Vampire, destroy that creature. / Toda vez que Matadora de Vampiros causar dano a um Vampiro, destrua aquela criatura.</t>
        </is>
      </c>
      <c r="E4046" s="0" t="inlineStr">
        <is>
          <t>{1}{W}</t>
        </is>
      </c>
      <c r="F4046" s="0" t="inlineStr">
        <is>
          <t>Branco</t>
        </is>
      </c>
      <c r="G4046" s="0" t="inlineStr"/>
      <c r="H4046" s="0" t="inlineStr">
        <is>
          <t>Innistrad: Crimson Vow (VOW)</t>
        </is>
      </c>
      <c r="I4046" s="0" t="inlineStr">
        <is>
          <t>Não</t>
        </is>
      </c>
      <c r="J4046" s="0" t="inlineStr">
        <is>
          <t>2021</t>
        </is>
      </c>
      <c r="K4046" s="0" t="inlineStr">
        <is>
          <t>2/2</t>
        </is>
      </c>
      <c r="L4046" s="0" t="inlineStr">
        <is>
          <t>1</t>
        </is>
      </c>
    </row>
    <row r="4047">
      <c r="A4047" s="0" t="inlineStr">
        <is>
          <t>Heron of Hope / Garça da Esperança</t>
        </is>
      </c>
      <c r="B4047" s="0" t="inlineStr">
        <is>
          <t>Creature — Bird / Criatura — Ave</t>
        </is>
      </c>
      <c r="C4047" s="0" t="inlineStr">
        <is>
          <t>Common / Comum</t>
        </is>
      </c>
      <c r="D4047" s="0" t="inlineStr">
        <is>
          <t>Flying If you would gain life, you gain that much life plus 1 instead. {1}{W}: This creature gains lifelink until end of turn. / Voar Se você ganharia pontos de vida, em vez disso, você ganha aquela quantidade de pontos de vida mais 1. {1}{W}: Garça da Esperança ganha vínculo com a vida até o final do turno.</t>
        </is>
      </c>
      <c r="E4047" s="0" t="inlineStr">
        <is>
          <t>{3}{W}</t>
        </is>
      </c>
      <c r="F4047" s="0" t="inlineStr">
        <is>
          <t>Branco</t>
        </is>
      </c>
      <c r="G4047" s="0" t="inlineStr"/>
      <c r="H4047" s="0" t="inlineStr">
        <is>
          <t>Innistrad: Crimson Vow (VOW)</t>
        </is>
      </c>
      <c r="I4047" s="0" t="inlineStr">
        <is>
          <t>Não</t>
        </is>
      </c>
      <c r="J4047" s="0" t="inlineStr">
        <is>
          <t>2021</t>
        </is>
      </c>
      <c r="K4047" s="0" t="inlineStr">
        <is>
          <t>2/3</t>
        </is>
      </c>
      <c r="L4047" s="0" t="inlineStr">
        <is>
          <t>1</t>
        </is>
      </c>
    </row>
    <row r="4048">
      <c r="A4048" s="0" t="inlineStr">
        <is>
          <t>Distracting Geist / Geist da Distração</t>
        </is>
      </c>
      <c r="B4048" s="0" t="inlineStr">
        <is>
          <t>Creature — Spirit / Criatura — Espírito</t>
        </is>
      </c>
      <c r="C4048" s="0" t="inlineStr">
        <is>
          <t>Uncommon / Incomum</t>
        </is>
      </c>
      <c r="D4048" s="0" t="inlineStr">
        <is>
          <t>Whenever this creature attacks, tap target creature defending player controls. Disturb {4}{W} (You may cast this card from your graveyard transformed for its disturb cost.) / Toda vez que Geist da Distração atacar, vire a criatura alvo que o jogador defensor controla. Perturbar {4}{W} (Você pode conjurar este card transformado do seu cemitério por seu custo de perturbar.)</t>
        </is>
      </c>
      <c r="E4048" s="0" t="inlineStr">
        <is>
          <t>{2}{W}</t>
        </is>
      </c>
      <c r="F4048" s="0" t="inlineStr">
        <is>
          <t>Branco</t>
        </is>
      </c>
      <c r="G4048" s="0" t="inlineStr"/>
      <c r="H4048" s="0" t="inlineStr">
        <is>
          <t>Innistrad: Crimson Vow (VOW)</t>
        </is>
      </c>
      <c r="I4048" s="0" t="inlineStr">
        <is>
          <t>Não</t>
        </is>
      </c>
      <c r="J4048" s="0" t="inlineStr">
        <is>
          <t>2021</t>
        </is>
      </c>
      <c r="K4048" s="0" t="inlineStr">
        <is>
          <t>2/1</t>
        </is>
      </c>
      <c r="L4048" s="0" t="inlineStr">
        <is>
          <t>1</t>
        </is>
      </c>
    </row>
    <row r="4049">
      <c r="A4049" s="0" t="inlineStr">
        <is>
          <t>Arashin Sunshield</t>
        </is>
      </c>
      <c r="B4049" s="0" t="inlineStr">
        <is>
          <t>Creature — Human Warrior</t>
        </is>
      </c>
      <c r="C4049" s="0" t="inlineStr">
        <is>
          <t>Common / Comum</t>
        </is>
      </c>
      <c r="D4049" s="0" t="inlineStr">
        <is>
          <t>When this creature enters, exile up to two target cards from a single graveyard. {W}, {T}: Tap target creature.</t>
        </is>
      </c>
      <c r="E4049" s="0" t="inlineStr">
        <is>
          <t>{3}{W}</t>
        </is>
      </c>
      <c r="F4049" s="0" t="inlineStr">
        <is>
          <t>Branco</t>
        </is>
      </c>
      <c r="G4049" s="0" t="inlineStr"/>
      <c r="H4049" s="0" t="inlineStr">
        <is>
          <t>Tarkir: Dragonstorm (TDM)</t>
        </is>
      </c>
      <c r="I4049" s="0" t="inlineStr">
        <is>
          <t>Não</t>
        </is>
      </c>
      <c r="J4049" s="0" t="inlineStr">
        <is>
          <t>2025</t>
        </is>
      </c>
      <c r="K4049" s="0" t="inlineStr">
        <is>
          <t>3/4</t>
        </is>
      </c>
      <c r="L4049" s="0" t="inlineStr">
        <is>
          <t>1</t>
        </is>
      </c>
    </row>
    <row r="4050">
      <c r="A4050" s="0" t="inlineStr">
        <is>
          <t>Bearer of Glory</t>
        </is>
      </c>
      <c r="B4050" s="0" t="inlineStr">
        <is>
          <t>Creature — Human Soldier</t>
        </is>
      </c>
      <c r="C4050" s="0" t="inlineStr">
        <is>
          <t>Common / Comum</t>
        </is>
      </c>
      <c r="D4050" s="0" t="inlineStr">
        <is>
          <t>During your turn, this creature has first strike. {4}{W}: Creatures you control get +1/+1 until end of turn.</t>
        </is>
      </c>
      <c r="E4050" s="0" t="inlineStr">
        <is>
          <t>{1}{W}</t>
        </is>
      </c>
      <c r="F4050" s="0" t="inlineStr">
        <is>
          <t>Branco</t>
        </is>
      </c>
      <c r="G4050" s="0" t="inlineStr"/>
      <c r="H4050" s="0" t="inlineStr">
        <is>
          <t>Tarkir: Dragonstorm (TDM)</t>
        </is>
      </c>
      <c r="I4050" s="0" t="inlineStr">
        <is>
          <t>Não</t>
        </is>
      </c>
      <c r="J4050" s="0" t="inlineStr">
        <is>
          <t>2025</t>
        </is>
      </c>
      <c r="K4050" s="0" t="inlineStr">
        <is>
          <t>2/1</t>
        </is>
      </c>
      <c r="L4050" s="0" t="inlineStr">
        <is>
          <t>1</t>
        </is>
      </c>
    </row>
    <row r="4051">
      <c r="A4051" s="0" t="inlineStr">
        <is>
          <t>Prison Realm / Reino de Aprisionamento</t>
        </is>
      </c>
      <c r="B4051" s="0" t="inlineStr">
        <is>
          <t>Enchantment / Encantamento</t>
        </is>
      </c>
      <c r="C4051" s="0" t="inlineStr">
        <is>
          <t>Uncommon / Incomum</t>
        </is>
      </c>
      <c r="D4051" s="0" t="inlineStr">
        <is>
          <t>When this enchantment enters, exile target creature or planeswalker an opponent controls until this enchantment leaves the battlefield. When this enchantment enters, scry 1. / Quando Reino de Aprisionamento entrar no campo de batalha, exile a criatura ou planeswalker alvo que um oponente controla até que Reino de Aprisionamento deixe o campo de batalha. Quando Reino de Aprisionamento entrar no campo de batalha, use vidência 1.</t>
        </is>
      </c>
      <c r="E4051" s="0" t="inlineStr">
        <is>
          <t>{2}{W}</t>
        </is>
      </c>
      <c r="F4051" s="0" t="inlineStr">
        <is>
          <t>Branco</t>
        </is>
      </c>
      <c r="G4051" s="0" t="inlineStr"/>
      <c r="H4051" s="0" t="inlineStr">
        <is>
          <t>War of the Spark (WAR)</t>
        </is>
      </c>
      <c r="I4051" s="0" t="inlineStr">
        <is>
          <t>Não</t>
        </is>
      </c>
      <c r="J4051" s="0" t="inlineStr">
        <is>
          <t>2019</t>
        </is>
      </c>
      <c r="K4051" s="0" t="inlineStr"/>
      <c r="L4051" s="0" t="inlineStr">
        <is>
          <t>1</t>
        </is>
      </c>
    </row>
    <row r="4052">
      <c r="A4052" s="0" t="inlineStr">
        <is>
          <t>Glyph Elemental / Elemental dos Glifos</t>
        </is>
      </c>
      <c r="B4052" s="0" t="inlineStr">
        <is>
          <t>Enchantment Creature — Elemental / Criatura Encantamento — Elemental</t>
        </is>
      </c>
      <c r="C4052" s="0" t="inlineStr">
        <is>
          <t>Uncommon / Incomum</t>
        </is>
      </c>
      <c r="D4052" s="0" t="inlineStr">
        <is>
          <t>Bestow {1}{W} (If you cast this card for its bestow cost, it's an Aura spell with enchant creature. It becomes a creature again if it's not attached.) Landfall — Whenever a land you control enters, put a +1/+1 counter on this permanent. Enchanted creature gets +1/+1 for each +1/+1 counter on this Aura. / Agraciar {1}{W} (Se você conjurar este card por seu custo de agraciar, ele será uma mágica de Aura com encantar criatura. Ele se tornará novamente uma criatura se não estiver anexado.) Aterragem — Toda vez que um terreno entrar no campo de batalha sob seu controle, coloque um marcador +1/+1 em Elemental dos Glifos. A criatura encantada recebe +1/+1 por cada marcador +1/+1 em Elemental dos Glifos.</t>
        </is>
      </c>
      <c r="E4052" s="0" t="inlineStr">
        <is>
          <t>{1}{W}</t>
        </is>
      </c>
      <c r="F4052" s="0" t="inlineStr">
        <is>
          <t>Branco</t>
        </is>
      </c>
      <c r="G4052" s="0" t="inlineStr"/>
      <c r="H4052" s="0" t="inlineStr">
        <is>
          <t>Modern Horizons 3 (MH3)</t>
        </is>
      </c>
      <c r="I4052" s="0" t="inlineStr">
        <is>
          <t>Não</t>
        </is>
      </c>
      <c r="J4052" s="0" t="inlineStr">
        <is>
          <t>2024</t>
        </is>
      </c>
      <c r="K4052" s="0" t="inlineStr">
        <is>
          <t>2/2</t>
        </is>
      </c>
      <c r="L4052" s="0" t="inlineStr">
        <is>
          <t>1</t>
        </is>
      </c>
    </row>
    <row r="4053">
      <c r="A4053" s="0" t="inlineStr">
        <is>
          <t>Baird, Steward of Argive / Baird, Guardião do Argivo</t>
        </is>
      </c>
      <c r="B4053" s="0" t="inlineStr">
        <is>
          <t>Legendary Creature — Human Soldier / Criatura Lendária — Humano Soldado</t>
        </is>
      </c>
      <c r="C4053" s="0" t="inlineStr">
        <is>
          <t>Uncommon / Incomum</t>
        </is>
      </c>
      <c r="D4053" s="0" t="inlineStr">
        <is>
          <t>Vigilance Creatures can't attack you or planeswalkers you control unless their controller pays {1} for each of those creatures. / Vigilância As criaturas não podem atacar você nem um planeswalker que você controla, a menos que seu controlador pague {1} para cada uma daquelas criaturas.</t>
        </is>
      </c>
      <c r="E4053" s="0" t="inlineStr">
        <is>
          <t>{2}{W}{W}</t>
        </is>
      </c>
      <c r="F4053" s="0" t="inlineStr">
        <is>
          <t>Branco</t>
        </is>
      </c>
      <c r="G4053" s="0" t="inlineStr"/>
      <c r="H4053" s="0" t="inlineStr">
        <is>
          <t>Commander Masters (CMM)</t>
        </is>
      </c>
      <c r="I4053" s="0" t="inlineStr">
        <is>
          <t>Não</t>
        </is>
      </c>
      <c r="J4053" s="0" t="inlineStr">
        <is>
          <t>2023</t>
        </is>
      </c>
      <c r="K4053" s="0" t="inlineStr">
        <is>
          <t>2/4</t>
        </is>
      </c>
      <c r="L4053" s="0" t="inlineStr">
        <is>
          <t>1</t>
        </is>
      </c>
    </row>
    <row r="4054">
      <c r="A4054" s="0" t="inlineStr">
        <is>
          <t>Inspired Inventor / Inventor Inspirado</t>
        </is>
      </c>
      <c r="B4054" s="0" t="inlineStr">
        <is>
          <t>Creature — Human Artificer / Criatura — Humano Artesão</t>
        </is>
      </c>
      <c r="C4054" s="0" t="inlineStr">
        <is>
          <t>Common / Comum</t>
        </is>
      </c>
      <c r="D4054" s="0" t="inlineStr">
        <is>
          <t>When this creature enters, choose one — • You get {E}{E}{E} (three energy counters). • Put a +1/+1 counter on target creature. • Create a 1/1 colorless Servo artifact creature token. / Quando Inventor Inspirado entrar no campo de batalha, escolha um — • Você recebe {E}{E}{E} (três marcadores de energia). • Coloque um marcador +1/+1 na criatura alvo. • Crie uma ficha de criatura artefato Servus incolor 1/1.</t>
        </is>
      </c>
      <c r="E4054" s="0" t="inlineStr">
        <is>
          <t>{2}{W}</t>
        </is>
      </c>
      <c r="F4054" s="0" t="inlineStr">
        <is>
          <t>Branco</t>
        </is>
      </c>
      <c r="G4054" s="0" t="inlineStr"/>
      <c r="H4054" s="0" t="inlineStr">
        <is>
          <t>Modern Horizons 3 (MH3)</t>
        </is>
      </c>
      <c r="I4054" s="0" t="inlineStr">
        <is>
          <t>Não</t>
        </is>
      </c>
      <c r="J4054" s="0" t="inlineStr">
        <is>
          <t>2024</t>
        </is>
      </c>
      <c r="K4054" s="0" t="inlineStr">
        <is>
          <t>2/2</t>
        </is>
      </c>
      <c r="L4054" s="0" t="inlineStr">
        <is>
          <t>1</t>
        </is>
      </c>
    </row>
    <row r="4055">
      <c r="A4055" s="0" t="inlineStr">
        <is>
          <t>Lotusguard Disciple</t>
        </is>
      </c>
      <c r="B4055" s="0" t="inlineStr">
        <is>
          <t>Creature — Bird Cleric</t>
        </is>
      </c>
      <c r="C4055" s="0" t="inlineStr">
        <is>
          <t>Common / Comum</t>
        </is>
      </c>
      <c r="D4055" s="0" t="inlineStr">
        <is>
          <t>Flying When this creature enters, target creature or Vehicle gains lifelink and indestructible until end of turn.</t>
        </is>
      </c>
      <c r="E4055" s="0" t="inlineStr">
        <is>
          <t>{2}{W}</t>
        </is>
      </c>
      <c r="F4055" s="0" t="inlineStr">
        <is>
          <t>Branco</t>
        </is>
      </c>
      <c r="G4055" s="0" t="inlineStr"/>
      <c r="H4055" s="0" t="inlineStr">
        <is>
          <t>Aetherdrift (DFT)</t>
        </is>
      </c>
      <c r="I4055" s="0" t="inlineStr">
        <is>
          <t>Não</t>
        </is>
      </c>
      <c r="J4055" s="0" t="inlineStr">
        <is>
          <t>2025</t>
        </is>
      </c>
      <c r="K4055" s="0" t="inlineStr">
        <is>
          <t>2/2</t>
        </is>
      </c>
      <c r="L4055" s="0" t="inlineStr">
        <is>
          <t>1</t>
        </is>
      </c>
    </row>
    <row r="4056">
      <c r="A4056" s="0" t="inlineStr">
        <is>
          <t>Possessed Goat</t>
        </is>
      </c>
      <c r="B4056" s="0" t="inlineStr">
        <is>
          <t>Creature — Goat</t>
        </is>
      </c>
      <c r="C4056" s="0" t="inlineStr">
        <is>
          <t>Common / Comum</t>
        </is>
      </c>
      <c r="D4056" s="0" t="inlineStr">
        <is>
          <t>{3}, Discard a card: Put three +1/+1 counters on this creature and it becomes a black Demon in addition to its other colors and types. Activate only once.</t>
        </is>
      </c>
      <c r="E4056" s="0" t="inlineStr">
        <is>
          <t>{W}</t>
        </is>
      </c>
      <c r="F4056" s="0" t="inlineStr">
        <is>
          <t>Branco</t>
        </is>
      </c>
      <c r="G4056" s="0" t="inlineStr"/>
      <c r="H4056" s="0" t="inlineStr">
        <is>
          <t>Duskmourn: House of Horror (DSK)</t>
        </is>
      </c>
      <c r="I4056" s="0" t="inlineStr">
        <is>
          <t>Não</t>
        </is>
      </c>
      <c r="J4056" s="0" t="inlineStr">
        <is>
          <t>2024</t>
        </is>
      </c>
      <c r="K4056" s="0" t="inlineStr">
        <is>
          <t>1/1</t>
        </is>
      </c>
      <c r="L4056" s="0" t="inlineStr">
        <is>
          <t>1</t>
        </is>
      </c>
    </row>
    <row r="4057">
      <c r="A4057" s="0" t="inlineStr">
        <is>
          <t>Charmbreaker Devils / Demônios Quebradores de Encanto</t>
        </is>
      </c>
      <c r="B4057" s="0" t="inlineStr">
        <is>
          <t>Creature — Devil / Criatura — Diabo</t>
        </is>
      </c>
      <c r="C4057" s="0" t="inlineStr">
        <is>
          <t>Rare / Rara</t>
        </is>
      </c>
      <c r="D4057" s="0" t="inlineStr">
        <is>
          <t>At the beginning of your upkeep, return an instant or sorcery card at random from your graveyard to your hand. Whenever you cast an instant or sorcery spell, this creature gets +4/+0 until end of turn. / No início de sua manutenção, devolva um card de mágica instantânea ou de feitiço aleatoriamente de seu cemitério para sua mão. Toda vez que você conjura uma mágica instantânea ou de feitiço, Demônios Quebradores de Encanto recebe +4/+0 até o final do turno.</t>
        </is>
      </c>
      <c r="E4057" s="0" t="inlineStr">
        <is>
          <t>{5}{R}</t>
        </is>
      </c>
      <c r="F4057" s="0" t="inlineStr">
        <is>
          <t>Vermelho</t>
        </is>
      </c>
      <c r="G4057" s="0" t="inlineStr"/>
      <c r="H4057" s="0" t="inlineStr">
        <is>
          <t>Foundations Jumpstart (J25)</t>
        </is>
      </c>
      <c r="I4057" s="0" t="inlineStr">
        <is>
          <t>Não</t>
        </is>
      </c>
      <c r="J4057" s="0" t="inlineStr">
        <is>
          <t>2024</t>
        </is>
      </c>
      <c r="K4057" s="0" t="inlineStr">
        <is>
          <t>4/4</t>
        </is>
      </c>
      <c r="L4057" s="0" t="inlineStr">
        <is>
          <t>1</t>
        </is>
      </c>
    </row>
    <row r="4058">
      <c r="A4058" s="0" t="inlineStr">
        <is>
          <t>Turn Inside Out</t>
        </is>
      </c>
      <c r="B4058" s="0" t="inlineStr">
        <is>
          <t>Instant</t>
        </is>
      </c>
      <c r="C4058" s="0" t="inlineStr">
        <is>
          <t>Common / Comum</t>
        </is>
      </c>
      <c r="D4058" s="0" t="inlineStr">
        <is>
          <t>Target creature gets +3/+0 until end of turn. When it dies this turn, manifest dread. (Look at the top two cards of your library. Put one onto the battlefield face down as a 2/2 creature and the other into your graveyard. Turn it face up any time for its mana cost if it's a creature card.)</t>
        </is>
      </c>
      <c r="E4058" s="0" t="inlineStr">
        <is>
          <t>{R}</t>
        </is>
      </c>
      <c r="F4058" s="0" t="inlineStr">
        <is>
          <t>Vermelho</t>
        </is>
      </c>
      <c r="G4058" s="0" t="inlineStr"/>
      <c r="H4058" s="0" t="inlineStr">
        <is>
          <t>Duskmourn: House of Horror (DSK)</t>
        </is>
      </c>
      <c r="I4058" s="0" t="inlineStr">
        <is>
          <t>Não</t>
        </is>
      </c>
      <c r="J4058" s="0" t="inlineStr">
        <is>
          <t>2024</t>
        </is>
      </c>
      <c r="K4058" s="0" t="inlineStr"/>
      <c r="L4058" s="0" t="inlineStr">
        <is>
          <t>1</t>
        </is>
      </c>
    </row>
    <row r="4059">
      <c r="A4059" s="0" t="inlineStr">
        <is>
          <t>Dynamite Diver</t>
        </is>
      </c>
      <c r="B4059" s="0" t="inlineStr">
        <is>
          <t>Creature — Goblin Pilot</t>
        </is>
      </c>
      <c r="C4059" s="0" t="inlineStr">
        <is>
          <t>Common / Comum</t>
        </is>
      </c>
      <c r="D4059" s="0" t="inlineStr">
        <is>
          <t>This creature saddles Mounts and crews Vehicles as though its power were 2 greater. When this creature dies, it deals 1 damage to any target.</t>
        </is>
      </c>
      <c r="E4059" s="0" t="inlineStr">
        <is>
          <t>{R}</t>
        </is>
      </c>
      <c r="F4059" s="0" t="inlineStr">
        <is>
          <t>Vermelho</t>
        </is>
      </c>
      <c r="G4059" s="0" t="inlineStr"/>
      <c r="H4059" s="0" t="inlineStr">
        <is>
          <t>Aetherdrift (DFT)</t>
        </is>
      </c>
      <c r="I4059" s="0" t="inlineStr">
        <is>
          <t>Não</t>
        </is>
      </c>
      <c r="J4059" s="0" t="inlineStr">
        <is>
          <t>2025</t>
        </is>
      </c>
      <c r="K4059" s="0" t="inlineStr">
        <is>
          <t>1/1</t>
        </is>
      </c>
      <c r="L4059" s="0" t="inlineStr">
        <is>
          <t>1</t>
        </is>
      </c>
    </row>
    <row r="4060">
      <c r="A4060" s="0" t="inlineStr">
        <is>
          <t>Prowcatcher Specialist</t>
        </is>
      </c>
      <c r="B4060" s="0" t="inlineStr">
        <is>
          <t>Creature — Goblin Warrior</t>
        </is>
      </c>
      <c r="C4060" s="0" t="inlineStr">
        <is>
          <t>Common / Comum</t>
        </is>
      </c>
      <c r="D4060" s="0" t="inlineStr">
        <is>
          <t>Haste Exhaust — {3}{R}: Put two +1/+1 counters on this creature. (Activate each exhaust ability only once.)</t>
        </is>
      </c>
      <c r="E4060" s="0" t="inlineStr">
        <is>
          <t>{1}{R}</t>
        </is>
      </c>
      <c r="F4060" s="0" t="inlineStr">
        <is>
          <t>Vermelho</t>
        </is>
      </c>
      <c r="G4060" s="0" t="inlineStr"/>
      <c r="H4060" s="0" t="inlineStr">
        <is>
          <t>Aetherdrift (DFT)</t>
        </is>
      </c>
      <c r="I4060" s="0" t="inlineStr">
        <is>
          <t>Não</t>
        </is>
      </c>
      <c r="J4060" s="0" t="inlineStr">
        <is>
          <t>2025</t>
        </is>
      </c>
      <c r="K4060" s="0" t="inlineStr">
        <is>
          <t>2/1</t>
        </is>
      </c>
      <c r="L4060" s="0" t="inlineStr">
        <is>
          <t>1</t>
        </is>
      </c>
    </row>
    <row r="4061">
      <c r="A4061" s="0" t="inlineStr">
        <is>
          <t>Brazen Blademaster / Espadachim-mestre Brônzeo</t>
        </is>
      </c>
      <c r="B4061" s="0" t="inlineStr">
        <is>
          <t>Creature — Orc Pirate / Criatura — Orc Pirata</t>
        </is>
      </c>
      <c r="C4061" s="0" t="inlineStr">
        <is>
          <t>Common / Comum</t>
        </is>
      </c>
      <c r="D4061" s="0" t="inlineStr">
        <is>
          <t>Whenever this creature attacks while you control two or more artifacts, it gets +2/+1 until end of turn. / Toda vez que Espadachim-mestre Brônzeo ataca enquanto você controla dois ou mais artefatos, ele recebe +2/+1 até o final do turno.</t>
        </is>
      </c>
      <c r="E4061" s="0" t="inlineStr">
        <is>
          <t>{2}{R}</t>
        </is>
      </c>
      <c r="F4061" s="0" t="inlineStr">
        <is>
          <t>Vermelho</t>
        </is>
      </c>
      <c r="G4061" s="0" t="inlineStr"/>
      <c r="H4061" s="0" t="inlineStr">
        <is>
          <t>The Lost Caverns of Ixalan (LCI)</t>
        </is>
      </c>
      <c r="I4061" s="0" t="inlineStr">
        <is>
          <t>Não</t>
        </is>
      </c>
      <c r="J4061" s="0" t="inlineStr">
        <is>
          <t>2023</t>
        </is>
      </c>
      <c r="K4061" s="0" t="inlineStr">
        <is>
          <t>2/3</t>
        </is>
      </c>
      <c r="L4061" s="0" t="inlineStr">
        <is>
          <t>1</t>
        </is>
      </c>
    </row>
    <row r="4062">
      <c r="A4062" s="0" t="inlineStr">
        <is>
          <t>Might of the Meek</t>
        </is>
      </c>
      <c r="B4062" s="0" t="inlineStr">
        <is>
          <t>Instant</t>
        </is>
      </c>
      <c r="C4062" s="0" t="inlineStr">
        <is>
          <t>Common / Comum</t>
        </is>
      </c>
      <c r="D4062" s="0" t="inlineStr">
        <is>
          <t>Target creature gains trample until end of turn. It also gets +1/+0 until end of turn if you control a Mouse. Draw a card.</t>
        </is>
      </c>
      <c r="E4062" s="0" t="inlineStr">
        <is>
          <t>{R}</t>
        </is>
      </c>
      <c r="F4062" s="0" t="inlineStr">
        <is>
          <t>Vermelho</t>
        </is>
      </c>
      <c r="G4062" s="0" t="inlineStr"/>
      <c r="H4062" s="0" t="inlineStr">
        <is>
          <t>Bloomburrow (BLB)</t>
        </is>
      </c>
      <c r="I4062" s="0" t="inlineStr">
        <is>
          <t>Não</t>
        </is>
      </c>
      <c r="J4062" s="0" t="inlineStr">
        <is>
          <t>2024</t>
        </is>
      </c>
      <c r="K4062" s="0" t="inlineStr"/>
      <c r="L4062" s="0" t="inlineStr">
        <is>
          <t>1</t>
        </is>
      </c>
    </row>
    <row r="4063">
      <c r="A4063" s="0" t="inlineStr">
        <is>
          <t>Betrayer's Bargain</t>
        </is>
      </c>
      <c r="B4063" s="0" t="inlineStr">
        <is>
          <t>Instant</t>
        </is>
      </c>
      <c r="C4063" s="0" t="inlineStr">
        <is>
          <t>Uncommon / Incomum</t>
        </is>
      </c>
      <c r="D4063" s="0" t="inlineStr">
        <is>
          <t>As an additional cost to cast this spell, sacrifice a creature or enchantment or pay {2}. Betrayer's Bargain deals 5 damage to target creature. If that creature would die this turn, exile it instead.</t>
        </is>
      </c>
      <c r="E4063" s="0" t="inlineStr">
        <is>
          <t>{1}{R}</t>
        </is>
      </c>
      <c r="F4063" s="0" t="inlineStr">
        <is>
          <t>Vermelho</t>
        </is>
      </c>
      <c r="G4063" s="0" t="inlineStr"/>
      <c r="H4063" s="0" t="inlineStr">
        <is>
          <t>Duskmourn: House of Horror (DSK)</t>
        </is>
      </c>
      <c r="I4063" s="0" t="inlineStr">
        <is>
          <t>Não</t>
        </is>
      </c>
      <c r="J4063" s="0" t="inlineStr">
        <is>
          <t>2024</t>
        </is>
      </c>
      <c r="K4063" s="0" t="inlineStr"/>
      <c r="L4063" s="0" t="inlineStr">
        <is>
          <t>1</t>
        </is>
      </c>
    </row>
    <row r="4064">
      <c r="A4064" s="0" t="inlineStr">
        <is>
          <t>Burst Lightning / Explodir em Raios</t>
        </is>
      </c>
      <c r="B4064" s="0" t="inlineStr">
        <is>
          <t>Instant / Mágica Instantânea</t>
        </is>
      </c>
      <c r="C4064" s="0" t="inlineStr">
        <is>
          <t>Common / Comum</t>
        </is>
      </c>
      <c r="D4064" s="0" t="inlineStr">
        <is>
          <t>Kicker {4} (You may pay an additional {4} as you cast this spell.) Burst Lightning deals 2 damage to any target. If this spell was kicked, it deals 4 damage instead. / Reforçar {4} (Você pode pagar um custo adicional de {4} ao conjurar esta mágica.) Explodir em Raios causa 2 pontos de dano à criatura ou ao jogador alvo. Se Explodir em Raios foi reforçado, em vez disso, ele causa 4 pontos de dano àquela criatura ou àquele jogador.</t>
        </is>
      </c>
      <c r="E4064" s="0" t="inlineStr">
        <is>
          <t>{R}</t>
        </is>
      </c>
      <c r="F4064" s="0" t="inlineStr">
        <is>
          <t>Vermelho</t>
        </is>
      </c>
      <c r="G4064" s="0" t="inlineStr"/>
      <c r="H4064" s="0" t="inlineStr">
        <is>
          <t>Foundations (FDN)</t>
        </is>
      </c>
      <c r="I4064" s="0" t="inlineStr">
        <is>
          <t>Não</t>
        </is>
      </c>
      <c r="J4064" s="0" t="inlineStr">
        <is>
          <t>2024</t>
        </is>
      </c>
      <c r="K4064" s="0" t="inlineStr"/>
      <c r="L4064" s="0" t="inlineStr">
        <is>
          <t>1</t>
        </is>
      </c>
    </row>
    <row r="4065">
      <c r="A4065" s="0" t="inlineStr">
        <is>
          <t>Fear of Burning Alive</t>
        </is>
      </c>
      <c r="B4065" s="0" t="inlineStr">
        <is>
          <t>Enchantment Creature — Nightmare</t>
        </is>
      </c>
      <c r="C4065" s="0" t="inlineStr">
        <is>
          <t>Uncommon / Incomum</t>
        </is>
      </c>
      <c r="D4065" s="0" t="inlineStr">
        <is>
          <t>When this creature enters, it deals 4 damage to each opponent. Delirium — Whenever a source you control deals noncombat damage to an opponent, if there are four or more card types among cards in your graveyard, this creature deals that amount of damage to target creature that player controls.</t>
        </is>
      </c>
      <c r="E4065" s="0" t="inlineStr">
        <is>
          <t>{4}{R}{R}</t>
        </is>
      </c>
      <c r="F4065" s="0" t="inlineStr">
        <is>
          <t>Vermelho</t>
        </is>
      </c>
      <c r="G4065" s="0" t="inlineStr"/>
      <c r="H4065" s="0" t="inlineStr">
        <is>
          <t>Duskmourn: House of Horror (DSK)</t>
        </is>
      </c>
      <c r="I4065" s="0" t="inlineStr">
        <is>
          <t>Não</t>
        </is>
      </c>
      <c r="J4065" s="0" t="inlineStr">
        <is>
          <t>2024</t>
        </is>
      </c>
      <c r="K4065" s="0" t="inlineStr">
        <is>
          <t>4/4</t>
        </is>
      </c>
      <c r="L4065" s="0" t="inlineStr">
        <is>
          <t>1</t>
        </is>
      </c>
    </row>
    <row r="4066">
      <c r="A4066" s="0" t="inlineStr">
        <is>
          <t>Diversion Specialist</t>
        </is>
      </c>
      <c r="B4066" s="0" t="inlineStr">
        <is>
          <t>Creature — Human Warrior</t>
        </is>
      </c>
      <c r="C4066" s="0" t="inlineStr">
        <is>
          <t>Uncommon / Incomum</t>
        </is>
      </c>
      <c r="D4066" s="0" t="inlineStr">
        <is>
          <t>Menace (This creature can't be blocked except by two or more creatures.) {1}, Sacrifice another creature or enchantment: Exile the top card of your library. You may play it this turn.</t>
        </is>
      </c>
      <c r="E4066" s="0" t="inlineStr">
        <is>
          <t>{3}{R}</t>
        </is>
      </c>
      <c r="F4066" s="0" t="inlineStr">
        <is>
          <t>Vermelho</t>
        </is>
      </c>
      <c r="G4066" s="0" t="inlineStr"/>
      <c r="H4066" s="0" t="inlineStr">
        <is>
          <t>Duskmourn: House of Horror (DSK)</t>
        </is>
      </c>
      <c r="I4066" s="0" t="inlineStr">
        <is>
          <t>Não</t>
        </is>
      </c>
      <c r="J4066" s="0" t="inlineStr">
        <is>
          <t>2024</t>
        </is>
      </c>
      <c r="K4066" s="0" t="inlineStr">
        <is>
          <t>4/3</t>
        </is>
      </c>
      <c r="L4066" s="0" t="inlineStr">
        <is>
          <t>1</t>
        </is>
      </c>
    </row>
    <row r="4067">
      <c r="A4067" s="0" t="inlineStr">
        <is>
          <t>Jolted Awake / Despertar Sacudido</t>
        </is>
      </c>
      <c r="B4067" s="0" t="inlineStr">
        <is>
          <t>Sorcery / Feitiço</t>
        </is>
      </c>
      <c r="C4067" s="0" t="inlineStr">
        <is>
          <t>Common / Comum</t>
        </is>
      </c>
      <c r="D4067" s="0" t="inlineStr">
        <is>
          <t>Choose up to one target artifact or creature card in your graveyard. You get {E}{E} (two energy counters). Then you may pay an amount of {E} equal to that card's mana value. If you do, return it from your graveyard to the battlefield. Cycling {2} ({2}, Discard this card: Draw a card.) / Escolha até um card de artefato ou criatura alvo em seu cemitério. Você recebe {E}{E} (dois marcadores de energia). Em seguida, você pode pagar uma quantidade de {E} igual ao valor de mana daquele card. Se fizer isso, devolva-o de seu cemitério ao campo de batalha. Reciclar {2} ({2}, descarte este card: Compre um card.)</t>
        </is>
      </c>
      <c r="E4067" s="0" t="inlineStr">
        <is>
          <t>{W}</t>
        </is>
      </c>
      <c r="F4067" s="0" t="inlineStr">
        <is>
          <t>Branco</t>
        </is>
      </c>
      <c r="G4067" s="0" t="inlineStr"/>
      <c r="H4067" s="0" t="inlineStr">
        <is>
          <t>Modern Horizons 3 (MH3)</t>
        </is>
      </c>
      <c r="I4067" s="0" t="inlineStr">
        <is>
          <t>Sim</t>
        </is>
      </c>
      <c r="J4067" s="0" t="inlineStr">
        <is>
          <t>2024</t>
        </is>
      </c>
      <c r="K4067" s="0" t="inlineStr"/>
      <c r="L4067" s="0" t="inlineStr">
        <is>
          <t>1</t>
        </is>
      </c>
    </row>
    <row r="4068">
      <c r="A4068" s="0" t="inlineStr">
        <is>
          <t>Story Seeker / Buscadora de Histórias</t>
        </is>
      </c>
      <c r="B4068" s="0" t="inlineStr">
        <is>
          <t>Creature — Dwarf Cleric / Criatura — Anão Clérigo</t>
        </is>
      </c>
      <c r="C4068" s="0" t="inlineStr">
        <is>
          <t>Common / Comum</t>
        </is>
      </c>
      <c r="D4068" s="0" t="inlineStr">
        <is>
          <t>Lifelink / Vínculo com a vida</t>
        </is>
      </c>
      <c r="E4068" s="0" t="inlineStr">
        <is>
          <t>{1}{W}</t>
        </is>
      </c>
      <c r="F4068" s="0" t="inlineStr">
        <is>
          <t>Branco</t>
        </is>
      </c>
      <c r="G4068" s="0" t="inlineStr"/>
      <c r="H4068" s="0" t="inlineStr">
        <is>
          <t>Kaldheim (KHM)</t>
        </is>
      </c>
      <c r="I4068" s="0" t="inlineStr">
        <is>
          <t>Não</t>
        </is>
      </c>
      <c r="J4068" s="0" t="inlineStr">
        <is>
          <t>2021</t>
        </is>
      </c>
      <c r="K4068" s="0" t="inlineStr">
        <is>
          <t>2/2</t>
        </is>
      </c>
      <c r="L4068" s="0" t="inlineStr">
        <is>
          <t>1</t>
        </is>
      </c>
    </row>
    <row r="4069">
      <c r="A4069" s="0" t="inlineStr">
        <is>
          <t>Iron Verdict / Veredito de Ferro</t>
        </is>
      </c>
      <c r="B4069" s="0" t="inlineStr">
        <is>
          <t>Instant / Mágica Instantânea</t>
        </is>
      </c>
      <c r="C4069" s="0" t="inlineStr">
        <is>
          <t>Common / Comum</t>
        </is>
      </c>
      <c r="D4069" s="0" t="inlineStr">
        <is>
          <t>Iron Verdict deals 5 damage to target tapped creature. Foretell {W} (During your turn, you may pay {2} and exile this card from your hand face down. Cast it on a later turn for its foretell cost.) / Veredito de Ferro causa 5 pontos de dano à criatura virada alvo. Profetizar {W} (Durante o seu turno, você pode pagar {2} e exilar este card de sua mão voltado para baixo. Conjure-o em um turno posterior pagando seu custo de profetizar.)</t>
        </is>
      </c>
      <c r="E4069" s="0" t="inlineStr">
        <is>
          <t>{2}{W}</t>
        </is>
      </c>
      <c r="F4069" s="0" t="inlineStr">
        <is>
          <t>Branco</t>
        </is>
      </c>
      <c r="G4069" s="0" t="inlineStr"/>
      <c r="H4069" s="0" t="inlineStr">
        <is>
          <t>Kaldheim (KHM)</t>
        </is>
      </c>
      <c r="I4069" s="0" t="inlineStr">
        <is>
          <t>Não</t>
        </is>
      </c>
      <c r="J4069" s="0" t="inlineStr">
        <is>
          <t>2021</t>
        </is>
      </c>
      <c r="K4069" s="0" t="inlineStr"/>
      <c r="L4069" s="0" t="inlineStr">
        <is>
          <t>1</t>
        </is>
      </c>
    </row>
    <row r="4070">
      <c r="A4070" s="0" t="inlineStr">
        <is>
          <t>Arrester's Zeal / Zelo do Encarcerador</t>
        </is>
      </c>
      <c r="B4070" s="0" t="inlineStr">
        <is>
          <t>Instant / Mágica Instantânea</t>
        </is>
      </c>
      <c r="C4070" s="0" t="inlineStr">
        <is>
          <t>Common / Comum</t>
        </is>
      </c>
      <c r="D4070" s="0" t="inlineStr">
        <is>
          <t>Target creature gets +2/+2 until end of turn. Addendum — If you cast this spell during your main phase, that creature gains flying until end of turn. / A criatura alvo recebe +2/+2 até o final do turno. Adendo — Se você conjurou esta mágica durante sua fase principal, aquela criatura ganhará voar até o final do turno.</t>
        </is>
      </c>
      <c r="E4070" s="0" t="inlineStr">
        <is>
          <t>{W}</t>
        </is>
      </c>
      <c r="F4070" s="0" t="inlineStr">
        <is>
          <t>Branco</t>
        </is>
      </c>
      <c r="G4070" s="0" t="inlineStr"/>
      <c r="H4070" s="0" t="inlineStr">
        <is>
          <t>Ravnica Remastered (RVR)</t>
        </is>
      </c>
      <c r="I4070" s="0" t="inlineStr">
        <is>
          <t>Não</t>
        </is>
      </c>
      <c r="J4070" s="0" t="inlineStr">
        <is>
          <t>2024</t>
        </is>
      </c>
      <c r="K4070" s="0" t="inlineStr"/>
      <c r="L4070" s="0" t="inlineStr">
        <is>
          <t>1</t>
        </is>
      </c>
    </row>
    <row r="4071">
      <c r="A4071" s="0" t="inlineStr">
        <is>
          <t>Hardened Escort</t>
        </is>
      </c>
      <c r="B4071" s="0" t="inlineStr">
        <is>
          <t>Creature — Human Soldier</t>
        </is>
      </c>
      <c r="C4071" s="0" t="inlineStr">
        <is>
          <t>Common / Comum</t>
        </is>
      </c>
      <c r="D4071" s="0" t="inlineStr">
        <is>
          <t>Whenever this creature attacks, another target creature you control gets +1/+0 and gains indestructible until end of turn. (Damage and effects that say "destroy" don't destroy it.)</t>
        </is>
      </c>
      <c r="E4071" s="0" t="inlineStr">
        <is>
          <t>{2}{W}</t>
        </is>
      </c>
      <c r="F4071" s="0" t="inlineStr">
        <is>
          <t>Branco</t>
        </is>
      </c>
      <c r="G4071" s="0" t="inlineStr"/>
      <c r="H4071" s="0" t="inlineStr">
        <is>
          <t>Duskmourn: House of Horror (DSK)</t>
        </is>
      </c>
      <c r="I4071" s="0" t="inlineStr">
        <is>
          <t>Não</t>
        </is>
      </c>
      <c r="J4071" s="0" t="inlineStr">
        <is>
          <t>2024</t>
        </is>
      </c>
      <c r="K4071" s="0" t="inlineStr">
        <is>
          <t>2/4</t>
        </is>
      </c>
      <c r="L4071" s="0" t="inlineStr">
        <is>
          <t>1</t>
        </is>
      </c>
    </row>
    <row r="4072">
      <c r="A4072" s="0" t="inlineStr">
        <is>
          <t>Armasaur Guide</t>
        </is>
      </c>
      <c r="B4072" s="0" t="inlineStr">
        <is>
          <t>Creature — Dinosaur</t>
        </is>
      </c>
      <c r="C4072" s="0" t="inlineStr">
        <is>
          <t>Common / Comum</t>
        </is>
      </c>
      <c r="D4072" s="0" t="inlineStr">
        <is>
          <t>Vigilance (Attacking doesn't cause this creature to tap.) Whenever you attack with three or more creatures, put a +1/+1 counter on target creature you control.</t>
        </is>
      </c>
      <c r="E4072" s="0" t="inlineStr">
        <is>
          <t>{4}{W}</t>
        </is>
      </c>
      <c r="F4072" s="0" t="inlineStr">
        <is>
          <t>Branco</t>
        </is>
      </c>
      <c r="G4072" s="0" t="inlineStr"/>
      <c r="H4072" s="0" t="inlineStr">
        <is>
          <t>Foundations (FDN)</t>
        </is>
      </c>
      <c r="I4072" s="0" t="inlineStr">
        <is>
          <t>Não</t>
        </is>
      </c>
      <c r="J4072" s="0" t="inlineStr">
        <is>
          <t>2024</t>
        </is>
      </c>
      <c r="K4072" s="0" t="inlineStr">
        <is>
          <t>4/4</t>
        </is>
      </c>
      <c r="L4072" s="0" t="inlineStr">
        <is>
          <t>1</t>
        </is>
      </c>
    </row>
    <row r="4073">
      <c r="A4073" s="0" t="inlineStr">
        <is>
          <t>Valiant Knight / Cavaleira Valente</t>
        </is>
      </c>
      <c r="B4073" s="0" t="inlineStr">
        <is>
          <t>Creature — Human Knight / Criatura — Humano Cavaleiro</t>
        </is>
      </c>
      <c r="C4073" s="0" t="inlineStr">
        <is>
          <t>Rare / Rara</t>
        </is>
      </c>
      <c r="D4073" s="0" t="inlineStr">
        <is>
          <t>Other Knights you control get +1/+1. {3}{W}{W}: Knights you control gain double strike until end of turn. / Os outros Cavaleiros que você controla recebem +1/+1. {3}{W}{W}: Os Cavaleiros que você controla ganham golpe duplo até o final do turno.</t>
        </is>
      </c>
      <c r="E4073" s="0" t="inlineStr">
        <is>
          <t>{3}{W}</t>
        </is>
      </c>
      <c r="F4073" s="0" t="inlineStr">
        <is>
          <t>Branco</t>
        </is>
      </c>
      <c r="G4073" s="0" t="inlineStr"/>
      <c r="H4073" s="0" t="inlineStr">
        <is>
          <t>Core Set 2019 (M19)</t>
        </is>
      </c>
      <c r="I4073" s="0" t="inlineStr">
        <is>
          <t>Não</t>
        </is>
      </c>
      <c r="J4073" s="0" t="inlineStr">
        <is>
          <t>2018</t>
        </is>
      </c>
      <c r="K4073" s="0" t="inlineStr">
        <is>
          <t>3/4</t>
        </is>
      </c>
      <c r="L4073" s="0" t="inlineStr">
        <is>
          <t>1</t>
        </is>
      </c>
    </row>
    <row r="4074">
      <c r="A4074" s="0" t="inlineStr">
        <is>
          <t>Kwende, Pride of Femeref / Kwende, Orgulho de Femeref</t>
        </is>
      </c>
      <c r="B4074" s="0" t="inlineStr">
        <is>
          <t>Legendary Creature — Human Knight / Criatura Lendária — Humano Cavaleiro</t>
        </is>
      </c>
      <c r="C4074" s="0" t="inlineStr">
        <is>
          <t>Uncommon / Incomum</t>
        </is>
      </c>
      <c r="D4074" s="0" t="inlineStr">
        <is>
          <t>Double strike Creatures you control with first strike have double strike. / Golpe duplo As criaturas que você controla com iniciativa têm golpe duplo.</t>
        </is>
      </c>
      <c r="E4074" s="0" t="inlineStr">
        <is>
          <t>{3}{W}</t>
        </is>
      </c>
      <c r="F4074" s="0" t="inlineStr">
        <is>
          <t>Branco</t>
        </is>
      </c>
      <c r="G4074" s="0" t="inlineStr"/>
      <c r="H4074" s="0" t="inlineStr">
        <is>
          <t>Dominaria (DOM)</t>
        </is>
      </c>
      <c r="I4074" s="0" t="inlineStr">
        <is>
          <t>Não</t>
        </is>
      </c>
      <c r="J4074" s="0" t="inlineStr">
        <is>
          <t>2018</t>
        </is>
      </c>
      <c r="K4074" s="0" t="inlineStr">
        <is>
          <t>2/2</t>
        </is>
      </c>
      <c r="L4074" s="0" t="inlineStr">
        <is>
          <t>1</t>
        </is>
      </c>
    </row>
    <row r="4075">
      <c r="A4075" s="0" t="inlineStr">
        <is>
          <t>Defenestrated Phantom / Fantasma Defenestrado</t>
        </is>
      </c>
      <c r="B4075" s="0" t="inlineStr">
        <is>
          <t>Creature — Spirit / Criatura — Espírito</t>
        </is>
      </c>
      <c r="C4075" s="0" t="inlineStr">
        <is>
          <t>Common / Comum</t>
        </is>
      </c>
      <c r="D4075" s="0" t="inlineStr">
        <is>
          <t>Flying Disguise {4}{W} (You may cast this card face down for {3} as a 2/2 creature with ward {2}. Turn it face up any time for its disguise cost.) / Voar Disfarce {4}{W} (Você pode conjurar este card com a face para baixo por {3} como uma criatura 2/2 com salvaguarda {2}. Volte sua face para cima a qualquer momento pagando seu custo de disfarce.)</t>
        </is>
      </c>
      <c r="E4075" s="0" t="inlineStr">
        <is>
          <t>{4}{W}{W}</t>
        </is>
      </c>
      <c r="F4075" s="0" t="inlineStr">
        <is>
          <t>Branco</t>
        </is>
      </c>
      <c r="G4075" s="0" t="inlineStr"/>
      <c r="H4075" s="0" t="inlineStr">
        <is>
          <t>Murders at Karlov Manor (MKM)</t>
        </is>
      </c>
      <c r="I4075" s="0" t="inlineStr">
        <is>
          <t>Não</t>
        </is>
      </c>
      <c r="J4075" s="0" t="inlineStr">
        <is>
          <t>2024</t>
        </is>
      </c>
      <c r="K4075" s="0" t="inlineStr">
        <is>
          <t>4/3</t>
        </is>
      </c>
      <c r="L4075" s="0" t="inlineStr">
        <is>
          <t>1</t>
        </is>
      </c>
    </row>
    <row r="4076">
      <c r="A4076" s="0" t="inlineStr">
        <is>
          <t>Case File Auditor / Auditora de Arquivos de Caso</t>
        </is>
      </c>
      <c r="B4076" s="0" t="inlineStr">
        <is>
          <t>Creature — Human Detective / Criatura — Humano Detetive</t>
        </is>
      </c>
      <c r="C4076" s="0" t="inlineStr">
        <is>
          <t>Uncommon / Incomum</t>
        </is>
      </c>
      <c r="D4076" s="0" t="inlineStr">
        <is>
          <t>When this creature enters and whenever you solve a Case, look at the top six cards of your library. You may reveal an enchantment card from among them and put it into your hand. Put the rest on the bottom of your library in a random order. You may spend mana as though it were mana of any color to cast Case spells. / Quando Auditora de Arquivos de Caso entrar no campo de batalha e toda vez que você solucionar um Caso, olhe os seis cards do topo de seu grimório. Você pode revelar um card de encantamento entre eles e colocá-lo em sua mão. Coloque o restante no fundo de seu grimório em ordem aleatória. Você pode gastar mana como se fosse de qualquer cor para conjurar mágicas de Caso.</t>
        </is>
      </c>
      <c r="E4076" s="0" t="inlineStr">
        <is>
          <t>{2}{W}</t>
        </is>
      </c>
      <c r="F4076" s="0" t="inlineStr">
        <is>
          <t>Branco</t>
        </is>
      </c>
      <c r="G4076" s="0" t="inlineStr"/>
      <c r="H4076" s="0" t="inlineStr">
        <is>
          <t>Murders at Karlov Manor (MKM)</t>
        </is>
      </c>
      <c r="I4076" s="0" t="inlineStr">
        <is>
          <t>Não</t>
        </is>
      </c>
      <c r="J4076" s="0" t="inlineStr">
        <is>
          <t>2024</t>
        </is>
      </c>
      <c r="K4076" s="0" t="inlineStr">
        <is>
          <t>1/4</t>
        </is>
      </c>
      <c r="L4076" s="0" t="inlineStr">
        <is>
          <t>1</t>
        </is>
      </c>
    </row>
    <row r="4077">
      <c r="A4077" s="0" t="inlineStr">
        <is>
          <t>Sigil of the New Dawn / Chancela do Recomeço</t>
        </is>
      </c>
      <c r="B4077" s="0" t="inlineStr">
        <is>
          <t>Enchantment / Encantamento</t>
        </is>
      </c>
      <c r="C4077" s="0" t="inlineStr">
        <is>
          <t>Uncommon / Incomum</t>
        </is>
      </c>
      <c r="D4077" s="0" t="inlineStr">
        <is>
          <t>Whenever a creature is put into your graveyard from the battlefield, you may pay {1}{W}. If you do, return that card to your hand. / Toda vez que uma criatura for colocada em seu cemitério vinda de jogo, você pode pagar {1}{W}. Se o fizer, devolva aquele card para sua mão.</t>
        </is>
      </c>
      <c r="E4077" s="0" t="inlineStr">
        <is>
          <t>{3}{W}</t>
        </is>
      </c>
      <c r="F4077" s="0" t="inlineStr">
        <is>
          <t>Branco</t>
        </is>
      </c>
      <c r="G4077" s="0" t="inlineStr"/>
      <c r="H4077" s="0" t="inlineStr">
        <is>
          <t>Ultimate Masters (UMA)</t>
        </is>
      </c>
      <c r="I4077" s="0" t="inlineStr">
        <is>
          <t>Não</t>
        </is>
      </c>
      <c r="J4077" s="0" t="inlineStr">
        <is>
          <t>2018</t>
        </is>
      </c>
      <c r="K4077" s="0" t="inlineStr"/>
      <c r="L4077" s="0" t="inlineStr">
        <is>
          <t>1</t>
        </is>
      </c>
    </row>
    <row r="4078">
      <c r="A4078" s="0" t="inlineStr">
        <is>
          <t>Leyline of Hope</t>
        </is>
      </c>
      <c r="B4078" s="0" t="inlineStr">
        <is>
          <t>Enchantment</t>
        </is>
      </c>
      <c r="C4078" s="0" t="inlineStr">
        <is>
          <t>Rare / Rara</t>
        </is>
      </c>
      <c r="D4078" s="0" t="inlineStr">
        <is>
          <t>If this card is in your opening hand, you may begin the game with it on the battlefield. If you would gain life, you gain that much life plus 1 instead. As long as you have at least 7 life more than your starting life total, creatures you control get +2/+2.</t>
        </is>
      </c>
      <c r="E4078" s="0" t="inlineStr">
        <is>
          <t>{2}{W}{W}</t>
        </is>
      </c>
      <c r="F4078" s="0" t="inlineStr">
        <is>
          <t>Branco</t>
        </is>
      </c>
      <c r="G4078" s="0" t="inlineStr"/>
      <c r="H4078" s="0" t="inlineStr">
        <is>
          <t>Duskmourn: House of Horror (DSK)</t>
        </is>
      </c>
      <c r="I4078" s="0" t="inlineStr">
        <is>
          <t>Não</t>
        </is>
      </c>
      <c r="J4078" s="0" t="inlineStr">
        <is>
          <t>2024</t>
        </is>
      </c>
      <c r="K4078" s="0" t="inlineStr"/>
      <c r="L4078" s="0" t="inlineStr">
        <is>
          <t>1</t>
        </is>
      </c>
    </row>
    <row r="4079">
      <c r="A4079" s="0" t="inlineStr">
        <is>
          <t>Benalish Marshal / Marechal de Benália</t>
        </is>
      </c>
      <c r="B4079" s="0" t="inlineStr">
        <is>
          <t>Creature — Human Knight / Criatura — Humano Cavaleiro</t>
        </is>
      </c>
      <c r="C4079" s="0" t="inlineStr">
        <is>
          <t>Rare / Rara</t>
        </is>
      </c>
      <c r="D4079" s="0" t="inlineStr">
        <is>
          <t>Other creatures you control get +1/+1. / As outras criaturas que você controla recebem +1/+1.</t>
        </is>
      </c>
      <c r="E4079" s="0" t="inlineStr">
        <is>
          <t>{W}{W}{W}</t>
        </is>
      </c>
      <c r="F4079" s="0" t="inlineStr">
        <is>
          <t>Branco</t>
        </is>
      </c>
      <c r="G4079" s="0" t="inlineStr"/>
      <c r="H4079" s="0" t="inlineStr">
        <is>
          <t>Dominaria (DOM)</t>
        </is>
      </c>
      <c r="I4079" s="0" t="inlineStr">
        <is>
          <t>Não</t>
        </is>
      </c>
      <c r="J4079" s="0" t="inlineStr">
        <is>
          <t>2018</t>
        </is>
      </c>
      <c r="K4079" s="0" t="inlineStr">
        <is>
          <t>3/3</t>
        </is>
      </c>
      <c r="L4079" s="0" t="inlineStr">
        <is>
          <t>1</t>
        </is>
      </c>
    </row>
    <row r="4080">
      <c r="A4080" s="0" t="inlineStr">
        <is>
          <t>Will of the All-Hunter / Vontade do Onicaçador</t>
        </is>
      </c>
      <c r="B4080" s="0" t="inlineStr">
        <is>
          <t>Instant / Mágica Instantânea</t>
        </is>
      </c>
      <c r="C4080" s="0" t="inlineStr">
        <is>
          <t>Uncommon / Incomum</t>
        </is>
      </c>
      <c r="D4080" s="0" t="inlineStr">
        <is>
          <t>Target creature gets +2/+2 until end of turn. If it's blocking, instead put two +1/+1 counters on it. Cycling {2} ({2}, Discard this card: Draw a card.) / A criatura alvo recebe +2/+2 até o final do turno. Se ela estiver bloqueando, em vez disso, coloque dois marcadores +1/+1 nela. Reciclar {2} ({2}, descarte este card: Compre um card.)</t>
        </is>
      </c>
      <c r="E4080" s="0" t="inlineStr">
        <is>
          <t>{1}{W}</t>
        </is>
      </c>
      <c r="F4080" s="0" t="inlineStr">
        <is>
          <t>Branco</t>
        </is>
      </c>
      <c r="G4080" s="0" t="inlineStr"/>
      <c r="H4080" s="0" t="inlineStr">
        <is>
          <t>Ikoria: Lair of Behemoths (IKO)</t>
        </is>
      </c>
      <c r="I4080" s="0" t="inlineStr">
        <is>
          <t>Não</t>
        </is>
      </c>
      <c r="J4080" s="0" t="inlineStr">
        <is>
          <t>2020</t>
        </is>
      </c>
      <c r="K4080" s="0" t="inlineStr"/>
      <c r="L4080" s="0" t="inlineStr">
        <is>
          <t>1</t>
        </is>
      </c>
    </row>
    <row r="4081">
      <c r="A4081" s="0" t="inlineStr">
        <is>
          <t>Whitemane Lion / Leão de Juba Branca</t>
        </is>
      </c>
      <c r="B4081" s="0" t="inlineStr">
        <is>
          <t>Creature — Cat / Criatura — Felino</t>
        </is>
      </c>
      <c r="C4081" s="0" t="inlineStr">
        <is>
          <t>Common / Comum</t>
        </is>
      </c>
      <c r="D4081" s="0" t="inlineStr">
        <is>
          <t>Flash When this creature enters, return a creature you control to its owner's hand. / Lampejo Quando Leão de Juba Branca entrar no campo de batalha, devolva uma criatura que você controla para a mão de seu dono.</t>
        </is>
      </c>
      <c r="E4081" s="0" t="inlineStr">
        <is>
          <t>{1}{W}</t>
        </is>
      </c>
      <c r="F4081" s="0" t="inlineStr">
        <is>
          <t>Branco</t>
        </is>
      </c>
      <c r="G4081" s="0" t="inlineStr"/>
      <c r="H4081" s="0" t="inlineStr">
        <is>
          <t>Dominaria Remastered (DMR)</t>
        </is>
      </c>
      <c r="I4081" s="0" t="inlineStr">
        <is>
          <t>Não</t>
        </is>
      </c>
      <c r="J4081" s="0" t="inlineStr">
        <is>
          <t>2023</t>
        </is>
      </c>
      <c r="K4081" s="0" t="inlineStr">
        <is>
          <t>2/2</t>
        </is>
      </c>
      <c r="L4081" s="0" t="inlineStr">
        <is>
          <t>1</t>
        </is>
      </c>
    </row>
    <row r="4082">
      <c r="A4082" s="0" t="inlineStr">
        <is>
          <t>Clay-Fired Bricks / Tijolos Refratários</t>
        </is>
      </c>
      <c r="B4082" s="0" t="inlineStr">
        <is>
          <t>Artifact / Artefato</t>
        </is>
      </c>
      <c r="C4082" s="0" t="inlineStr">
        <is>
          <t>Uncommon / Incomum</t>
        </is>
      </c>
      <c r="D4082" s="0" t="inlineStr">
        <is>
          <t>When this artifact enters, search your library for a basic Plains card, reveal it, put it into your hand, then shuffle. You gain 2 life. Craft with artifact {5}{W}{W} ({5}{W}{W}, Exile this artifact, Exile another artifact you control or an artifact card from your graveyard: Return this card transformed under its owner's control. Craft only as a sorcery.) / Quando Tijolos Refratários entrar no campo de batalha, procure um card de Planície básica em seu grimório, revele-o, coloque-o em sua mão e depois embaralhe. Você ganha 2 pontos de vida. Construir com artefato {5}{W}{W} ({5}{W}{W}, exile este artefato, exile outro artefato que você controla ou um card de artefato de seu cemitério: Devolva este card ao campo de batalha transformado sob o controle de seu dono. Construa somente como um feitiço.)</t>
        </is>
      </c>
      <c r="E4082" s="0" t="inlineStr">
        <is>
          <t>{1}{W}</t>
        </is>
      </c>
      <c r="F4082" s="0" t="inlineStr">
        <is>
          <t>Branco</t>
        </is>
      </c>
      <c r="G4082" s="0" t="inlineStr"/>
      <c r="H4082" s="0" t="inlineStr">
        <is>
          <t>The Lost Caverns of Ixalan (LCI)</t>
        </is>
      </c>
      <c r="I4082" s="0" t="inlineStr">
        <is>
          <t>Não</t>
        </is>
      </c>
      <c r="J4082" s="0" t="inlineStr">
        <is>
          <t>2023</t>
        </is>
      </c>
      <c r="K4082" s="0" t="inlineStr"/>
      <c r="L4082" s="0" t="inlineStr">
        <is>
          <t>1</t>
        </is>
      </c>
    </row>
    <row r="4083">
      <c r="A4083" s="0" t="inlineStr">
        <is>
          <t>Intangible Virtue / Virtude Intangível</t>
        </is>
      </c>
      <c r="B4083" s="0" t="inlineStr">
        <is>
          <t>Enchantment / Encantamento</t>
        </is>
      </c>
      <c r="C4083" s="0" t="inlineStr">
        <is>
          <t>Uncommon / Incomum</t>
        </is>
      </c>
      <c r="D4083" s="0" t="inlineStr">
        <is>
          <t>Creature tokens you control get +1/+1 and have vigilance. / As fichas de criatura que você controla recebem +1/+1 e têm vigilância.</t>
        </is>
      </c>
      <c r="E4083" s="0" t="inlineStr">
        <is>
          <t>{1}{W}</t>
        </is>
      </c>
      <c r="F4083" s="0" t="inlineStr">
        <is>
          <t>Branco</t>
        </is>
      </c>
      <c r="G4083" s="0" t="inlineStr"/>
      <c r="H4083" s="0" t="inlineStr">
        <is>
          <t>Modern Masters 2017 (MM3)</t>
        </is>
      </c>
      <c r="I4083" s="0" t="inlineStr">
        <is>
          <t>Não</t>
        </is>
      </c>
      <c r="J4083" s="0" t="inlineStr">
        <is>
          <t>2017</t>
        </is>
      </c>
      <c r="K4083" s="0" t="inlineStr"/>
      <c r="L4083" s="0" t="inlineStr">
        <is>
          <t>1</t>
        </is>
      </c>
    </row>
    <row r="4084">
      <c r="A4084" s="0" t="inlineStr">
        <is>
          <t>Pests of Honor / Pragas de Honra</t>
        </is>
      </c>
      <c r="B4084" s="0" t="inlineStr">
        <is>
          <t>Creature — Mouse / Criatura — Camundongo</t>
        </is>
      </c>
      <c r="C4084" s="0" t="inlineStr">
        <is>
          <t>Uncommon / Incomum</t>
        </is>
      </c>
      <c r="D4084" s="0" t="inlineStr">
        <is>
          <t>Celebration — At the beginning of combat on your turn, if two or more nonland permanents entered the battlefield under your control this turn, put a +1/+1 counter on this creature. / Celebração — No início do combate no seu turno, se duas ou mais permanentes não de terreno tiverem entrado no campo de batalha sob seu controle neste turno, coloque um marcador +1/+1 em Pragas de Honra.</t>
        </is>
      </c>
      <c r="E4084" s="0" t="inlineStr">
        <is>
          <t>{2}{W}</t>
        </is>
      </c>
      <c r="F4084" s="0" t="inlineStr">
        <is>
          <t>Branco</t>
        </is>
      </c>
      <c r="G4084" s="0" t="inlineStr"/>
      <c r="H4084" s="0" t="inlineStr">
        <is>
          <t>Wilds of Eldraine (WOE)</t>
        </is>
      </c>
      <c r="I4084" s="0" t="inlineStr">
        <is>
          <t>Não</t>
        </is>
      </c>
      <c r="J4084" s="0" t="inlineStr">
        <is>
          <t>2023</t>
        </is>
      </c>
      <c r="K4084" s="0" t="inlineStr">
        <is>
          <t>2/2</t>
        </is>
      </c>
      <c r="L4084" s="0" t="inlineStr">
        <is>
          <t>1</t>
        </is>
      </c>
    </row>
    <row r="4085">
      <c r="A4085" s="0" t="inlineStr">
        <is>
          <t>Friendly Ghost</t>
        </is>
      </c>
      <c r="B4085" s="0" t="inlineStr">
        <is>
          <t>Creature — Spirit</t>
        </is>
      </c>
      <c r="C4085" s="0" t="inlineStr">
        <is>
          <t>Common / Comum</t>
        </is>
      </c>
      <c r="D4085" s="0" t="inlineStr">
        <is>
          <t>Flying When this creature enters, target creature gets +2/+4 until end of turn.</t>
        </is>
      </c>
      <c r="E4085" s="0" t="inlineStr">
        <is>
          <t>{3}{W}</t>
        </is>
      </c>
      <c r="F4085" s="0" t="inlineStr">
        <is>
          <t>Branco</t>
        </is>
      </c>
      <c r="G4085" s="0" t="inlineStr"/>
      <c r="H4085" s="0" t="inlineStr">
        <is>
          <t>Duskmourn: House of Horror (DSK)</t>
        </is>
      </c>
      <c r="I4085" s="0" t="inlineStr">
        <is>
          <t>Não</t>
        </is>
      </c>
      <c r="J4085" s="0" t="inlineStr">
        <is>
          <t>2024</t>
        </is>
      </c>
      <c r="K4085" s="0" t="inlineStr">
        <is>
          <t>2/4</t>
        </is>
      </c>
      <c r="L4085" s="0" t="inlineStr">
        <is>
          <t>1</t>
        </is>
      </c>
    </row>
    <row r="4086">
      <c r="A4086" s="0" t="inlineStr">
        <is>
          <t>Squad Rallier</t>
        </is>
      </c>
      <c r="B4086" s="0" t="inlineStr">
        <is>
          <t>Creature — Human Scout</t>
        </is>
      </c>
      <c r="C4086" s="0" t="inlineStr">
        <is>
          <t>Common / Comum</t>
        </is>
      </c>
      <c r="D4086" s="0" t="inlineStr">
        <is>
          <t>{2}{W}: Look at the top four cards of your library. You may reveal a creature card with power 2 or less from among them and put it into your hand. Put the rest on the bottom of your library in a random order.</t>
        </is>
      </c>
      <c r="E4086" s="0" t="inlineStr">
        <is>
          <t>{3}{W}</t>
        </is>
      </c>
      <c r="F4086" s="0" t="inlineStr">
        <is>
          <t>Branco</t>
        </is>
      </c>
      <c r="G4086" s="0" t="inlineStr"/>
      <c r="H4086" s="0" t="inlineStr">
        <is>
          <t>Foundations (FDN)</t>
        </is>
      </c>
      <c r="I4086" s="0" t="inlineStr">
        <is>
          <t>Não</t>
        </is>
      </c>
      <c r="J4086" s="0" t="inlineStr">
        <is>
          <t>2024</t>
        </is>
      </c>
      <c r="K4086" s="0" t="inlineStr">
        <is>
          <t>3/4</t>
        </is>
      </c>
      <c r="L4086" s="0" t="inlineStr">
        <is>
          <t>1</t>
        </is>
      </c>
    </row>
    <row r="4087">
      <c r="A4087" s="0" t="inlineStr">
        <is>
          <t>Strength of Arms / Força de Armas</t>
        </is>
      </c>
      <c r="B4087" s="0" t="inlineStr">
        <is>
          <t>Instant / Mágica Instantânea</t>
        </is>
      </c>
      <c r="C4087" s="0" t="inlineStr">
        <is>
          <t>Common / Comum</t>
        </is>
      </c>
      <c r="D4087" s="0" t="inlineStr">
        <is>
          <t>Target creature gets +2/+2 until end of turn. If you control an Equipment, create a 1/1 white Human Soldier creature token. / A criatura alvo recebe +2/+2 até o final do turno. Se você controlar um Equipamento, coloque no campo de batalha uma ficha de criatura branca 1/1 do tipo Humano Soldado.</t>
        </is>
      </c>
      <c r="E4087" s="0" t="inlineStr">
        <is>
          <t>{W}</t>
        </is>
      </c>
      <c r="F4087" s="0" t="inlineStr">
        <is>
          <t>Branco</t>
        </is>
      </c>
      <c r="G4087" s="0" t="inlineStr"/>
      <c r="H4087" s="0" t="inlineStr">
        <is>
          <t>Innistrad Remastered (INR)</t>
        </is>
      </c>
      <c r="I4087" s="0" t="inlineStr">
        <is>
          <t>Não</t>
        </is>
      </c>
      <c r="J4087" s="0" t="inlineStr">
        <is>
          <t>2025</t>
        </is>
      </c>
      <c r="K4087" s="0" t="inlineStr"/>
      <c r="L4087" s="0" t="inlineStr">
        <is>
          <t>1</t>
        </is>
      </c>
    </row>
    <row r="4088">
      <c r="A4088" s="0" t="inlineStr">
        <is>
          <t>Gather the Townsfolk / Reunir o Povo</t>
        </is>
      </c>
      <c r="B4088" s="0" t="inlineStr">
        <is>
          <t>Sorcery / Feitiço</t>
        </is>
      </c>
      <c r="C4088" s="0" t="inlineStr">
        <is>
          <t>Common / Comum</t>
        </is>
      </c>
      <c r="D4088" s="0" t="inlineStr">
        <is>
          <t>Create two 1/1 white Human creature tokens. Fateful hour — If you have 5 or less life, create five of those tokens instead. / Coloque no campo de batalha duas fichas de criatura brancas 1/1 do tipo Humano. Hora fatal — Se você tiver 5 ou menos pontos de vida, em vez disso, coloque cinco dessas fichas no campo de batalha.</t>
        </is>
      </c>
      <c r="E4088" s="0" t="inlineStr">
        <is>
          <t>{1}{W}</t>
        </is>
      </c>
      <c r="F4088" s="0" t="inlineStr">
        <is>
          <t>Branco</t>
        </is>
      </c>
      <c r="G4088" s="0" t="inlineStr"/>
      <c r="H4088" s="0" t="inlineStr">
        <is>
          <t>Innistrad Remastered (INR)</t>
        </is>
      </c>
      <c r="I4088" s="0" t="inlineStr">
        <is>
          <t>Não</t>
        </is>
      </c>
      <c r="J4088" s="0" t="inlineStr">
        <is>
          <t>2025</t>
        </is>
      </c>
      <c r="K4088" s="0" t="inlineStr"/>
      <c r="L4088" s="0" t="inlineStr">
        <is>
          <t>1</t>
        </is>
      </c>
    </row>
    <row r="4089">
      <c r="A4089" s="0" t="inlineStr">
        <is>
          <t>Worthy Knight / Cavaleira Digna</t>
        </is>
      </c>
      <c r="B4089" s="0" t="inlineStr">
        <is>
          <t>Creature — Human Knight / Criatura — Humano Cavaleiro</t>
        </is>
      </c>
      <c r="C4089" s="0" t="inlineStr">
        <is>
          <t>Rare / Rara</t>
        </is>
      </c>
      <c r="D4089" s="0" t="inlineStr">
        <is>
          <t>Whenever you cast a Knight spell, create a 1/1 white Human creature token. / Toda vez que você conjurar uma mágica de Cavaleiro, crie uma ficha de criatura branca 1/1 do tipo Humano.</t>
        </is>
      </c>
      <c r="E4089" s="0" t="inlineStr">
        <is>
          <t>{1}{W}</t>
        </is>
      </c>
      <c r="F4089" s="0" t="inlineStr">
        <is>
          <t>Branco</t>
        </is>
      </c>
      <c r="G4089" s="0" t="inlineStr"/>
      <c r="H4089" s="0" t="inlineStr">
        <is>
          <t>Throne of Eldraine (ELD)</t>
        </is>
      </c>
      <c r="I4089" s="0" t="inlineStr">
        <is>
          <t>Não</t>
        </is>
      </c>
      <c r="J4089" s="0" t="inlineStr">
        <is>
          <t>2019</t>
        </is>
      </c>
      <c r="K4089" s="0" t="inlineStr">
        <is>
          <t>2/2</t>
        </is>
      </c>
      <c r="L4089" s="0" t="inlineStr">
        <is>
          <t>1</t>
        </is>
      </c>
    </row>
    <row r="4090">
      <c r="A4090" s="0" t="inlineStr">
        <is>
          <t>Bound by Moonsilver / Preso com Prata Lunar</t>
        </is>
      </c>
      <c r="B4090" s="0" t="inlineStr">
        <is>
          <t>Enchantment — Aura / Encantamento — Aura</t>
        </is>
      </c>
      <c r="C4090" s="0" t="inlineStr">
        <is>
          <t>Common / Comum</t>
        </is>
      </c>
      <c r="D4090" s="0" t="inlineStr">
        <is>
          <t>Enchant creature Enchanted creature can't attack, block, or transform. Sacrifice another permanent: Attach this Aura to target creature. Activate only as a sorcery and only once each turn. / Encantar criatura A criatura encantada não pode atacar, bloquear nem se transformar. Sacrifique outra permanente: Anexe Preso com Prata Lunar à criatura alvo. Ative esta habilidade somente nos momentos em que poderia conjurar um feitiço e apenas uma vez a cada turno.</t>
        </is>
      </c>
      <c r="E4090" s="0" t="inlineStr">
        <is>
          <t>{2}{W}</t>
        </is>
      </c>
      <c r="F4090" s="0" t="inlineStr">
        <is>
          <t>Branco</t>
        </is>
      </c>
      <c r="G4090" s="0" t="inlineStr"/>
      <c r="H4090" s="0" t="inlineStr">
        <is>
          <t>Innistrad Remastered (INR)</t>
        </is>
      </c>
      <c r="I4090" s="0" t="inlineStr">
        <is>
          <t>Não</t>
        </is>
      </c>
      <c r="J4090" s="0" t="inlineStr">
        <is>
          <t>2025</t>
        </is>
      </c>
      <c r="K4090" s="0" t="inlineStr"/>
      <c r="L4090" s="0" t="inlineStr">
        <is>
          <t>1</t>
        </is>
      </c>
    </row>
    <row r="4091">
      <c r="A4091" s="0" t="inlineStr">
        <is>
          <t>Brightblade Stoat</t>
        </is>
      </c>
      <c r="B4091" s="0" t="inlineStr">
        <is>
          <t>Creature — Weasel Soldier</t>
        </is>
      </c>
      <c r="C4091" s="0" t="inlineStr">
        <is>
          <t>Uncommon / Incomum</t>
        </is>
      </c>
      <c r="D4091" s="0" t="inlineStr">
        <is>
          <t>First strike, lifelink</t>
        </is>
      </c>
      <c r="E4091" s="0" t="inlineStr">
        <is>
          <t>{1}{W}</t>
        </is>
      </c>
      <c r="F4091" s="0" t="inlineStr">
        <is>
          <t>Branco</t>
        </is>
      </c>
      <c r="G4091" s="0" t="inlineStr"/>
      <c r="H4091" s="0" t="inlineStr">
        <is>
          <t>Bloomburrow (BLB)</t>
        </is>
      </c>
      <c r="I4091" s="0" t="inlineStr">
        <is>
          <t>Não</t>
        </is>
      </c>
      <c r="J4091" s="0" t="inlineStr">
        <is>
          <t>2024</t>
        </is>
      </c>
      <c r="K4091" s="0" t="inlineStr">
        <is>
          <t>2/2</t>
        </is>
      </c>
      <c r="L4091" s="0" t="inlineStr">
        <is>
          <t>1</t>
        </is>
      </c>
    </row>
    <row r="4092">
      <c r="A4092" s="0" t="inlineStr">
        <is>
          <t>Zhalfirin Decoy / Chamariz Zhalfiriano</t>
        </is>
      </c>
      <c r="B4092" s="0" t="inlineStr">
        <is>
          <t>Creature — Human Soldier / Criatura — Humano Soldado</t>
        </is>
      </c>
      <c r="C4092" s="0" t="inlineStr">
        <is>
          <t>Uncommon / Incomum</t>
        </is>
      </c>
      <c r="D4092" s="0" t="inlineStr">
        <is>
          <t>{T}: Tap target creature. Activate only if you had a creature enter the battlefield under your control this turn. / {T}: Vire a criatura alvo. Ative esta habilidade somente se uma criatura tiver entrado no campo de batalha sob o seu controle neste turno.</t>
        </is>
      </c>
      <c r="E4092" s="0" t="inlineStr">
        <is>
          <t>{1}{W}</t>
        </is>
      </c>
      <c r="F4092" s="0" t="inlineStr">
        <is>
          <t>Branco</t>
        </is>
      </c>
      <c r="G4092" s="0" t="inlineStr"/>
      <c r="H4092" s="0" t="inlineStr">
        <is>
          <t>Modern Horizons (MH1)</t>
        </is>
      </c>
      <c r="I4092" s="0" t="inlineStr">
        <is>
          <t>Não</t>
        </is>
      </c>
      <c r="J4092" s="0" t="inlineStr">
        <is>
          <t>2019</t>
        </is>
      </c>
      <c r="K4092" s="0" t="inlineStr">
        <is>
          <t>1/3</t>
        </is>
      </c>
      <c r="L4092" s="0" t="inlineStr">
        <is>
          <t>1</t>
        </is>
      </c>
    </row>
    <row r="4093">
      <c r="A4093" s="0" t="inlineStr">
        <is>
          <t>Task Force / Força Tarefa</t>
        </is>
      </c>
      <c r="B4093" s="0" t="inlineStr">
        <is>
          <t>Creature — Human Rebel</t>
        </is>
      </c>
      <c r="C4093" s="0" t="inlineStr">
        <is>
          <t>Common / Comum</t>
        </is>
      </c>
      <c r="D4093" s="0" t="inlineStr">
        <is>
          <t>Whenever this creature becomes the target of a spell or ability, it gets +0/+3 until end of turn.</t>
        </is>
      </c>
      <c r="E4093" s="0" t="inlineStr">
        <is>
          <t>{2}{W}</t>
        </is>
      </c>
      <c r="F4093" s="0" t="inlineStr">
        <is>
          <t>Branco</t>
        </is>
      </c>
      <c r="G4093" s="0" t="inlineStr"/>
      <c r="H4093" s="0" t="inlineStr">
        <is>
          <t>Jumpstart 2022 (J22)</t>
        </is>
      </c>
      <c r="I4093" s="0" t="inlineStr">
        <is>
          <t>Não</t>
        </is>
      </c>
      <c r="J4093" s="0" t="inlineStr">
        <is>
          <t>2022</t>
        </is>
      </c>
      <c r="K4093" s="0" t="inlineStr">
        <is>
          <t>1/3</t>
        </is>
      </c>
      <c r="L4093" s="0" t="inlineStr">
        <is>
          <t>1</t>
        </is>
      </c>
    </row>
    <row r="4094">
      <c r="A4094" s="0" t="inlineStr">
        <is>
          <t>Cavalry Drillmaster / Mestre de Exercícios da Cavalaria</t>
        </is>
      </c>
      <c r="B4094" s="0" t="inlineStr">
        <is>
          <t>Creature — Human Knight / Criatura — Humano Cavaleiro</t>
        </is>
      </c>
      <c r="C4094" s="0" t="inlineStr">
        <is>
          <t>Common / Comum</t>
        </is>
      </c>
      <c r="D4094" s="0" t="inlineStr">
        <is>
          <t>When this creature enters, target creature gets +2/+0 and gains first strike until end of turn. (It deals combat damage before creatures without first strike.) / Quando Mestre de Exercícios da Cavalaria entra no campo de batalha, a criatura alvo recebe +2/+0 e ganha iniciativa até o final do turno. (Ela causa dano de combate antes das criaturas sem iniciativa.)</t>
        </is>
      </c>
      <c r="E4094" s="0" t="inlineStr">
        <is>
          <t>{1}{W}</t>
        </is>
      </c>
      <c r="F4094" s="0" t="inlineStr">
        <is>
          <t>Branco</t>
        </is>
      </c>
      <c r="G4094" s="0" t="inlineStr"/>
      <c r="H4094" s="0" t="inlineStr">
        <is>
          <t>Jumpstart 2022 (J22)</t>
        </is>
      </c>
      <c r="I4094" s="0" t="inlineStr">
        <is>
          <t>Não</t>
        </is>
      </c>
      <c r="J4094" s="0" t="inlineStr">
        <is>
          <t>2022</t>
        </is>
      </c>
      <c r="K4094" s="0" t="inlineStr">
        <is>
          <t>2/1</t>
        </is>
      </c>
      <c r="L4094" s="0" t="inlineStr">
        <is>
          <t>1</t>
        </is>
      </c>
    </row>
    <row r="4095">
      <c r="A4095" s="0" t="inlineStr">
        <is>
          <t>Combat Professor / Professor de Combate</t>
        </is>
      </c>
      <c r="B4095" s="0" t="inlineStr">
        <is>
          <t>Creature — Bird Cleric / Criatura — Ave Clérigo</t>
        </is>
      </c>
      <c r="C4095" s="0" t="inlineStr">
        <is>
          <t>Common / Comum</t>
        </is>
      </c>
      <c r="D4095" s="0" t="inlineStr">
        <is>
          <t>Flying At the beginning of combat on your turn, target creature you control gets +1/+0 and gains vigilance until end of turn. / Voar No início do combate no seu turno, a criatura alvo que você controla recebe +1/+0 e ganha vigilância até o final do turno.</t>
        </is>
      </c>
      <c r="E4095" s="0" t="inlineStr">
        <is>
          <t>{3}{W}</t>
        </is>
      </c>
      <c r="F4095" s="0" t="inlineStr">
        <is>
          <t>Branco</t>
        </is>
      </c>
      <c r="G4095" s="0" t="inlineStr"/>
      <c r="H4095" s="0" t="inlineStr">
        <is>
          <t>Jumpstart 2022 (J22)</t>
        </is>
      </c>
      <c r="I4095" s="0" t="inlineStr">
        <is>
          <t>Não</t>
        </is>
      </c>
      <c r="J4095" s="0" t="inlineStr">
        <is>
          <t>2022</t>
        </is>
      </c>
      <c r="K4095" s="0" t="inlineStr">
        <is>
          <t>2/3</t>
        </is>
      </c>
      <c r="L4095" s="0" t="inlineStr">
        <is>
          <t>1</t>
        </is>
      </c>
    </row>
    <row r="4096">
      <c r="A4096" s="0" t="inlineStr">
        <is>
          <t>Moment of Triumph / Momento do Triunfo</t>
        </is>
      </c>
      <c r="B4096" s="0" t="inlineStr">
        <is>
          <t>Instant / Mágica Instantânea</t>
        </is>
      </c>
      <c r="C4096" s="0" t="inlineStr">
        <is>
          <t>Common / Comum</t>
        </is>
      </c>
      <c r="D4096" s="0" t="inlineStr">
        <is>
          <t>Target creature gets +2/+2 until end of turn. You gain 2 life. / A criatura alvo recebe +2/+2 até o final do turno. Você ganha 2 pontos de vida.</t>
        </is>
      </c>
      <c r="E4096" s="0" t="inlineStr">
        <is>
          <t>{W}</t>
        </is>
      </c>
      <c r="F4096" s="0" t="inlineStr">
        <is>
          <t>Branco</t>
        </is>
      </c>
      <c r="G4096" s="0" t="inlineStr"/>
      <c r="H4096" s="0" t="inlineStr">
        <is>
          <t>Jumpstart 2022 (J22)</t>
        </is>
      </c>
      <c r="I4096" s="0" t="inlineStr">
        <is>
          <t>Não</t>
        </is>
      </c>
      <c r="J4096" s="0" t="inlineStr">
        <is>
          <t>2022</t>
        </is>
      </c>
      <c r="K4096" s="0" t="inlineStr"/>
      <c r="L4096" s="0" t="inlineStr">
        <is>
          <t>1</t>
        </is>
      </c>
    </row>
    <row r="4097">
      <c r="A4097" s="0" t="inlineStr">
        <is>
          <t>Cage of Hands / Jaula de Mãos</t>
        </is>
      </c>
      <c r="B4097" s="0" t="inlineStr">
        <is>
          <t>Enchantment — Aura / Encantamento — Aura</t>
        </is>
      </c>
      <c r="C4097" s="0" t="inlineStr">
        <is>
          <t>Common / Comum</t>
        </is>
      </c>
      <c r="D4097" s="0" t="inlineStr">
        <is>
          <t>Enchant creature Enchanted creature can't attack or block. {1}{W}: Return this Aura to its owner's hand. / Encantar criatura A criatura encantada não pode atacar nem bloquear. {1}{W}: Devolva Jaula de Mãos para a mão de seu dono.</t>
        </is>
      </c>
      <c r="E4097" s="0" t="inlineStr">
        <is>
          <t>{2}{W}</t>
        </is>
      </c>
      <c r="F4097" s="0" t="inlineStr">
        <is>
          <t>Branco</t>
        </is>
      </c>
      <c r="G4097" s="0" t="inlineStr"/>
      <c r="H4097" s="0" t="inlineStr">
        <is>
          <t>Jumpstart 2022 (J22)</t>
        </is>
      </c>
      <c r="I4097" s="0" t="inlineStr">
        <is>
          <t>Não</t>
        </is>
      </c>
      <c r="J4097" s="0" t="inlineStr">
        <is>
          <t>2022</t>
        </is>
      </c>
      <c r="K4097" s="0" t="inlineStr"/>
      <c r="L4097" s="0" t="inlineStr">
        <is>
          <t>1</t>
        </is>
      </c>
    </row>
    <row r="4098">
      <c r="A4098" s="0" t="inlineStr">
        <is>
          <t>Sun-Blessed Healer</t>
        </is>
      </c>
      <c r="B4098" s="0" t="inlineStr">
        <is>
          <t>Creature — Human Cleric</t>
        </is>
      </c>
      <c r="C4098" s="0" t="inlineStr">
        <is>
          <t>Uncommon / Incomum</t>
        </is>
      </c>
      <c r="D4098" s="0" t="inlineStr">
        <is>
          <t>Kicker {1}{W} (You may pay an additional {1}{W} as you cast this spell.) Lifelink (Damage dealt by this creature also causes you to gain that much life.) When this creature enters, if it was kicked, return target nonland permanent card with mana value 2 or less from your graveyard to the battlefield.</t>
        </is>
      </c>
      <c r="E4098" s="0" t="inlineStr">
        <is>
          <t>{1}{W}</t>
        </is>
      </c>
      <c r="F4098" s="0" t="inlineStr">
        <is>
          <t>Branco</t>
        </is>
      </c>
      <c r="G4098" s="0" t="inlineStr"/>
      <c r="H4098" s="0" t="inlineStr">
        <is>
          <t>Foundations (FDN)</t>
        </is>
      </c>
      <c r="I4098" s="0" t="inlineStr">
        <is>
          <t>Não</t>
        </is>
      </c>
      <c r="J4098" s="0" t="inlineStr">
        <is>
          <t>2024</t>
        </is>
      </c>
      <c r="K4098" s="0" t="inlineStr">
        <is>
          <t>3/1</t>
        </is>
      </c>
      <c r="L4098" s="0" t="inlineStr">
        <is>
          <t>1</t>
        </is>
      </c>
    </row>
    <row r="4099">
      <c r="A4099" s="0" t="inlineStr">
        <is>
          <t>Frontier Seeker / Buscadora da Fronteira</t>
        </is>
      </c>
      <c r="B4099" s="0" t="inlineStr">
        <is>
          <t>Creature — Human Scout / Criatura — Humano Batedor</t>
        </is>
      </c>
      <c r="C4099" s="0" t="inlineStr">
        <is>
          <t>Uncommon / Incomum</t>
        </is>
      </c>
      <c r="D4099" s="0" t="inlineStr">
        <is>
          <t>When this creature enters, look at the top five cards of your library. You may reveal a Mount creature card or a Plains card from among them and put it into your hand. Put the rest on the bottom of your library in a random order. / Quando Buscadora da Fronteira entrar no campo de batalha, olhe os cinco cards do topo de seu grimório. Você pode revelar um card de criatura Montaria ou um card de Planície dentre eles e colocá-lo em sua mão. Coloque o restante no fundo de seu grimório em ordem aleatória.</t>
        </is>
      </c>
      <c r="E4099" s="0" t="inlineStr">
        <is>
          <t>{1}{W}</t>
        </is>
      </c>
      <c r="F4099" s="0" t="inlineStr">
        <is>
          <t>Branco</t>
        </is>
      </c>
      <c r="G4099" s="0" t="inlineStr"/>
      <c r="H4099" s="0" t="inlineStr">
        <is>
          <t>Outlaws of Thunder Junction (OTJ)</t>
        </is>
      </c>
      <c r="I4099" s="0" t="inlineStr">
        <is>
          <t>Não</t>
        </is>
      </c>
      <c r="J4099" s="0" t="inlineStr">
        <is>
          <t>2024</t>
        </is>
      </c>
      <c r="K4099" s="0" t="inlineStr">
        <is>
          <t>2/1</t>
        </is>
      </c>
      <c r="L4099" s="0" t="inlineStr">
        <is>
          <t>1</t>
        </is>
      </c>
    </row>
    <row r="4100">
      <c r="A4100" s="0" t="inlineStr">
        <is>
          <t>Jolly Gerbils</t>
        </is>
      </c>
      <c r="B4100" s="0" t="inlineStr">
        <is>
          <t>Creature — Hamster Citizen</t>
        </is>
      </c>
      <c r="C4100" s="0" t="inlineStr">
        <is>
          <t>Uncommon / Incomum</t>
        </is>
      </c>
      <c r="D4100" s="0" t="inlineStr">
        <is>
          <t>Whenever you give a gift, draw a card.</t>
        </is>
      </c>
      <c r="E4100" s="0" t="inlineStr">
        <is>
          <t>{1}{W}</t>
        </is>
      </c>
      <c r="F4100" s="0" t="inlineStr">
        <is>
          <t>Branco</t>
        </is>
      </c>
      <c r="G4100" s="0" t="inlineStr"/>
      <c r="H4100" s="0" t="inlineStr">
        <is>
          <t>Bloomburrow (BLB)</t>
        </is>
      </c>
      <c r="I4100" s="0" t="inlineStr">
        <is>
          <t>Não</t>
        </is>
      </c>
      <c r="J4100" s="0" t="inlineStr">
        <is>
          <t>2024</t>
        </is>
      </c>
      <c r="K4100" s="0" t="inlineStr">
        <is>
          <t>2/3</t>
        </is>
      </c>
      <c r="L4100" s="0" t="inlineStr">
        <is>
          <t>1</t>
        </is>
      </c>
    </row>
    <row r="4101">
      <c r="A4101" s="0" t="inlineStr">
        <is>
          <t>Swiftwing Assailant</t>
        </is>
      </c>
      <c r="B4101" s="0" t="inlineStr">
        <is>
          <t>Creature — Bird Warrior</t>
        </is>
      </c>
      <c r="C4101" s="0" t="inlineStr">
        <is>
          <t>Common / Comum</t>
        </is>
      </c>
      <c r="D4101" s="0" t="inlineStr">
        <is>
          <t>Flying Start your engines! (If you have no speed, it starts at 1. It increases once on each of your turns when an opponent loses life. Max speed is 4.) Max speed — This creature gets +0/+1 and has vigilance.</t>
        </is>
      </c>
      <c r="E4101" s="0" t="inlineStr">
        <is>
          <t>{3}{W}</t>
        </is>
      </c>
      <c r="F4101" s="0" t="inlineStr">
        <is>
          <t>Branco</t>
        </is>
      </c>
      <c r="G4101" s="0" t="inlineStr"/>
      <c r="H4101" s="0" t="inlineStr">
        <is>
          <t>Aetherdrift (DFT)</t>
        </is>
      </c>
      <c r="I4101" s="0" t="inlineStr">
        <is>
          <t>Não</t>
        </is>
      </c>
      <c r="J4101" s="0" t="inlineStr">
        <is>
          <t>2025</t>
        </is>
      </c>
      <c r="K4101" s="0" t="inlineStr">
        <is>
          <t>3/3</t>
        </is>
      </c>
      <c r="L4101" s="0" t="inlineStr">
        <is>
          <t>1</t>
        </is>
      </c>
    </row>
    <row r="4102">
      <c r="A4102" s="0" t="inlineStr">
        <is>
          <t>Fear of Surveillance</t>
        </is>
      </c>
      <c r="B4102" s="0" t="inlineStr">
        <is>
          <t>Enchantment Creature — Nightmare</t>
        </is>
      </c>
      <c r="C4102" s="0" t="inlineStr">
        <is>
          <t>Common / Comum</t>
        </is>
      </c>
      <c r="D4102" s="0" t="inlineStr">
        <is>
          <t>Vigilance Whenever this creature attacks, surveil 1. (Look at the top card of your library. You may put it into your graveyard.)</t>
        </is>
      </c>
      <c r="E4102" s="0" t="inlineStr">
        <is>
          <t>{1}{W}</t>
        </is>
      </c>
      <c r="F4102" s="0" t="inlineStr">
        <is>
          <t>Branco</t>
        </is>
      </c>
      <c r="G4102" s="0" t="inlineStr"/>
      <c r="H4102" s="0" t="inlineStr">
        <is>
          <t>Duskmourn: House of Horror (DSK)</t>
        </is>
      </c>
      <c r="I4102" s="0" t="inlineStr">
        <is>
          <t>Não</t>
        </is>
      </c>
      <c r="J4102" s="0" t="inlineStr">
        <is>
          <t>2024</t>
        </is>
      </c>
      <c r="K4102" s="0" t="inlineStr">
        <is>
          <t>2/2</t>
        </is>
      </c>
      <c r="L4102" s="0" t="inlineStr">
        <is>
          <t>1</t>
        </is>
      </c>
    </row>
    <row r="4103">
      <c r="A4103" s="0" t="inlineStr">
        <is>
          <t>Veteran Survivor</t>
        </is>
      </c>
      <c r="B4103" s="0" t="inlineStr">
        <is>
          <t>Creature — Human Survivor</t>
        </is>
      </c>
      <c r="C4103" s="0" t="inlineStr">
        <is>
          <t>Uncommon / Incomum</t>
        </is>
      </c>
      <c r="D4103" s="0" t="inlineStr">
        <is>
          <t>Survival — At the beginning of your second main phase, if this creature is tapped, exile up to one target card from a graveyard. As long as there are three or more cards exiled with this creature, it gets +3/+3 and has hexproof. (It can't be the target of spells or abilities your opponents control.)</t>
        </is>
      </c>
      <c r="E4103" s="0" t="inlineStr">
        <is>
          <t>{W}</t>
        </is>
      </c>
      <c r="F4103" s="0" t="inlineStr">
        <is>
          <t>Branco</t>
        </is>
      </c>
      <c r="G4103" s="0" t="inlineStr"/>
      <c r="H4103" s="0" t="inlineStr">
        <is>
          <t>Duskmourn: House of Horror (DSK)</t>
        </is>
      </c>
      <c r="I4103" s="0" t="inlineStr">
        <is>
          <t>Não</t>
        </is>
      </c>
      <c r="J4103" s="0" t="inlineStr">
        <is>
          <t>2024</t>
        </is>
      </c>
      <c r="K4103" s="0" t="inlineStr">
        <is>
          <t>2/1</t>
        </is>
      </c>
      <c r="L4103" s="0" t="inlineStr">
        <is>
          <t>1</t>
        </is>
      </c>
    </row>
    <row r="4104">
      <c r="A4104" s="0" t="inlineStr">
        <is>
          <t>Angelic Cub</t>
        </is>
      </c>
      <c r="B4104" s="0" t="inlineStr">
        <is>
          <t>Creature — Cat Angel</t>
        </is>
      </c>
      <c r="C4104" s="0" t="inlineStr">
        <is>
          <t>Uncommon / Incomum</t>
        </is>
      </c>
      <c r="D4104" s="0" t="inlineStr">
        <is>
          <t>Whenever this creature becomes the target of a spell or ability for the first time each turn, put a +1/+1 counter on it. As long as this creature has three or more +1/+1 counters on it, it has flying.</t>
        </is>
      </c>
      <c r="E4104" s="0" t="inlineStr">
        <is>
          <t>{1}{W}</t>
        </is>
      </c>
      <c r="F4104" s="0" t="inlineStr">
        <is>
          <t>Branco</t>
        </is>
      </c>
      <c r="G4104" s="0" t="inlineStr"/>
      <c r="H4104" s="0" t="inlineStr">
        <is>
          <t>Jumpstart 2022 (J22)</t>
        </is>
      </c>
      <c r="I4104" s="0" t="inlineStr">
        <is>
          <t>Não</t>
        </is>
      </c>
      <c r="J4104" s="0" t="inlineStr">
        <is>
          <t>2022</t>
        </is>
      </c>
      <c r="K4104" s="0" t="inlineStr">
        <is>
          <t>1/1</t>
        </is>
      </c>
      <c r="L4104" s="0" t="inlineStr">
        <is>
          <t>1</t>
        </is>
      </c>
    </row>
    <row r="4105">
      <c r="A4105" s="0" t="inlineStr">
        <is>
          <t>Living Phone</t>
        </is>
      </c>
      <c r="B4105" s="0" t="inlineStr">
        <is>
          <t>Artifact Creature — Toy</t>
        </is>
      </c>
      <c r="C4105" s="0" t="inlineStr">
        <is>
          <t>Common / Comum</t>
        </is>
      </c>
      <c r="D4105" s="0" t="inlineStr">
        <is>
          <t>When this creature dies, look at the top five cards of your library. You may reveal a creature card with power 2 or less from among them and put it into your hand. Put the rest on the bottom of your library in a random order.</t>
        </is>
      </c>
      <c r="E4105" s="0" t="inlineStr">
        <is>
          <t>{2}{W}</t>
        </is>
      </c>
      <c r="F4105" s="0" t="inlineStr">
        <is>
          <t>Branco</t>
        </is>
      </c>
      <c r="G4105" s="0" t="inlineStr"/>
      <c r="H4105" s="0" t="inlineStr">
        <is>
          <t>Duskmourn: House of Horror (DSK)</t>
        </is>
      </c>
      <c r="I4105" s="0" t="inlineStr">
        <is>
          <t>Não</t>
        </is>
      </c>
      <c r="J4105" s="0" t="inlineStr">
        <is>
          <t>2024</t>
        </is>
      </c>
      <c r="K4105" s="0" t="inlineStr">
        <is>
          <t>2/1</t>
        </is>
      </c>
      <c r="L4105" s="0" t="inlineStr">
        <is>
          <t>1</t>
        </is>
      </c>
    </row>
    <row r="4106">
      <c r="A4106" s="0" t="inlineStr">
        <is>
          <t>Brightfield Mustang</t>
        </is>
      </c>
      <c r="B4106" s="0" t="inlineStr">
        <is>
          <t>Creature — Horse Mount</t>
        </is>
      </c>
      <c r="C4106" s="0" t="inlineStr">
        <is>
          <t>Common / Comum</t>
        </is>
      </c>
      <c r="D4106" s="0" t="inlineStr">
        <is>
          <t>Whenever this creature attacks while saddled, untap it and put a +1/+1 counter on it. Saddle 1 (Tap any number of other creatures you control with total power 1 or more: This Mount becomes saddled until end of turn. Saddle only as a sorcery.)</t>
        </is>
      </c>
      <c r="E4106" s="0" t="inlineStr">
        <is>
          <t>{3}{W}</t>
        </is>
      </c>
      <c r="F4106" s="0" t="inlineStr">
        <is>
          <t>Branco</t>
        </is>
      </c>
      <c r="G4106" s="0" t="inlineStr"/>
      <c r="H4106" s="0" t="inlineStr">
        <is>
          <t>Aetherdrift (DFT)</t>
        </is>
      </c>
      <c r="I4106" s="0" t="inlineStr">
        <is>
          <t>Não</t>
        </is>
      </c>
      <c r="J4106" s="0" t="inlineStr">
        <is>
          <t>2025</t>
        </is>
      </c>
      <c r="K4106" s="0" t="inlineStr">
        <is>
          <t>3/3</t>
        </is>
      </c>
      <c r="L4106" s="0" t="inlineStr">
        <is>
          <t>1</t>
        </is>
      </c>
    </row>
    <row r="4107">
      <c r="A4107" s="0" t="inlineStr">
        <is>
          <t>Azorius Arrester / Encarceradora Azorius</t>
        </is>
      </c>
      <c r="B4107" s="0" t="inlineStr">
        <is>
          <t>Creature — Human Soldier / Criatura — Humano Soldado</t>
        </is>
      </c>
      <c r="C4107" s="0" t="inlineStr">
        <is>
          <t>Common / Comum</t>
        </is>
      </c>
      <c r="D4107" s="0" t="inlineStr">
        <is>
          <t>When this creature enters, detain target creature an opponent controls. (Until your next turn, that creature can't attack or block and its activated abilities can't be activated.) / Quando Encarceradora Azorius entrar no campo de batalha, detenha a criatura alvo que um oponente controla. (Até o seu próximo turno, aquela criatura não pode atacar nem bloquear e as habilidades ativadas dela não podem ser ativadas.)</t>
        </is>
      </c>
      <c r="E4107" s="0" t="inlineStr">
        <is>
          <t>{1}{W}</t>
        </is>
      </c>
      <c r="F4107" s="0" t="inlineStr">
        <is>
          <t>Branco</t>
        </is>
      </c>
      <c r="G4107" s="0" t="inlineStr"/>
      <c r="H4107" s="0" t="inlineStr">
        <is>
          <t>Ravnica Remastered (RVR)</t>
        </is>
      </c>
      <c r="I4107" s="0" t="inlineStr">
        <is>
          <t>Não</t>
        </is>
      </c>
      <c r="J4107" s="0" t="inlineStr">
        <is>
          <t>2024</t>
        </is>
      </c>
      <c r="K4107" s="0" t="inlineStr">
        <is>
          <t>2/1</t>
        </is>
      </c>
      <c r="L4107" s="0" t="inlineStr">
        <is>
          <t>1</t>
        </is>
      </c>
    </row>
    <row r="4108">
      <c r="A4108" s="0" t="inlineStr">
        <is>
          <t>Losheel, Clockwork Scholar / Losheel, Erudita da Mecânica</t>
        </is>
      </c>
      <c r="B4108" s="0" t="inlineStr">
        <is>
          <t>Legendary Creature — Elephant Artificer / Criatura Lendária — Elefante Artesão</t>
        </is>
      </c>
      <c r="C4108" s="0" t="inlineStr">
        <is>
          <t>Uncommon / Incomum</t>
        </is>
      </c>
      <c r="D4108" s="0" t="inlineStr">
        <is>
          <t>Prevent all combat damage that would be dealt to attacking artifact creatures you control. Whenever one or more artifact creatures you control enter, draw a card. This ability triggers only once each turn. / Previna todo dano de combate que seria causado a criaturas artefato atacantes que você controla. Toda vez que uma ou mais criaturas artefato entrarem no campo de batalha sob seu controle, compre um card. Esta habilidade é desencadeada apenas uma vez a cada turno.</t>
        </is>
      </c>
      <c r="E4108" s="0" t="inlineStr">
        <is>
          <t>{2}{W}</t>
        </is>
      </c>
      <c r="F4108" s="0" t="inlineStr">
        <is>
          <t>Branco</t>
        </is>
      </c>
      <c r="G4108" s="0" t="inlineStr"/>
      <c r="H4108" s="0" t="inlineStr">
        <is>
          <t>Commander Masters (CMM)</t>
        </is>
      </c>
      <c r="I4108" s="0" t="inlineStr">
        <is>
          <t>Não</t>
        </is>
      </c>
      <c r="J4108" s="0" t="inlineStr">
        <is>
          <t>2023</t>
        </is>
      </c>
      <c r="K4108" s="0" t="inlineStr">
        <is>
          <t>2/4</t>
        </is>
      </c>
      <c r="L4108" s="0" t="inlineStr">
        <is>
          <t>1</t>
        </is>
      </c>
    </row>
    <row r="4109">
      <c r="A4109" s="0" t="inlineStr">
        <is>
          <t>Splitskin Doll</t>
        </is>
      </c>
      <c r="B4109" s="0" t="inlineStr">
        <is>
          <t>Artifact Creature — Toy</t>
        </is>
      </c>
      <c r="C4109" s="0" t="inlineStr">
        <is>
          <t>Uncommon / Incomum</t>
        </is>
      </c>
      <c r="D4109" s="0" t="inlineStr">
        <is>
          <t>When this creature enters, draw a card. Then discard a card unless you control another creature with power 2 or less.</t>
        </is>
      </c>
      <c r="E4109" s="0" t="inlineStr">
        <is>
          <t>{1}{W}</t>
        </is>
      </c>
      <c r="F4109" s="0" t="inlineStr">
        <is>
          <t>Branco</t>
        </is>
      </c>
      <c r="G4109" s="0" t="inlineStr"/>
      <c r="H4109" s="0" t="inlineStr">
        <is>
          <t>Duskmourn: House of Horror (DSK)</t>
        </is>
      </c>
      <c r="I4109" s="0" t="inlineStr">
        <is>
          <t>Não</t>
        </is>
      </c>
      <c r="J4109" s="0" t="inlineStr">
        <is>
          <t>2024</t>
        </is>
      </c>
      <c r="K4109" s="0" t="inlineStr">
        <is>
          <t>2/1</t>
        </is>
      </c>
      <c r="L4109" s="0" t="inlineStr">
        <is>
          <t>1</t>
        </is>
      </c>
    </row>
    <row r="4110">
      <c r="A4110" s="0" t="inlineStr">
        <is>
          <t>Orphans of the Wheat</t>
        </is>
      </c>
      <c r="B4110" s="0" t="inlineStr">
        <is>
          <t>Creature — Human</t>
        </is>
      </c>
      <c r="C4110" s="0" t="inlineStr">
        <is>
          <t>Uncommon / Incomum</t>
        </is>
      </c>
      <c r="D4110" s="0" t="inlineStr">
        <is>
          <t>Whenever this creature attacks, tap any number of untapped creatures you control. This creature gets +1/+1 until end of turn for each creature tapped this way.</t>
        </is>
      </c>
      <c r="E4110" s="0" t="inlineStr">
        <is>
          <t>{1}{W}</t>
        </is>
      </c>
      <c r="F4110" s="0" t="inlineStr">
        <is>
          <t>Branco</t>
        </is>
      </c>
      <c r="G4110" s="0" t="inlineStr"/>
      <c r="H4110" s="0" t="inlineStr">
        <is>
          <t>Duskmourn: House of Horror (DSK)</t>
        </is>
      </c>
      <c r="I4110" s="0" t="inlineStr">
        <is>
          <t>Não</t>
        </is>
      </c>
      <c r="J4110" s="0" t="inlineStr">
        <is>
          <t>2024</t>
        </is>
      </c>
      <c r="K4110" s="0" t="inlineStr">
        <is>
          <t>2/1</t>
        </is>
      </c>
      <c r="L4110" s="0" t="inlineStr">
        <is>
          <t>1</t>
        </is>
      </c>
    </row>
    <row r="4111">
      <c r="A4111" s="0" t="inlineStr">
        <is>
          <t>Felidar Savior</t>
        </is>
      </c>
      <c r="B4111" s="0" t="inlineStr">
        <is>
          <t>Creature — Cat Beast</t>
        </is>
      </c>
      <c r="C4111" s="0" t="inlineStr">
        <is>
          <t>Common / Comum</t>
        </is>
      </c>
      <c r="D4111" s="0" t="inlineStr">
        <is>
          <t>Lifelink (Damage dealt by this creature also causes you to gain that much life.) When this creature enters, put a +1/+1 counter on each of up to two other target creatures you control.</t>
        </is>
      </c>
      <c r="E4111" s="0" t="inlineStr">
        <is>
          <t>{3}{W}</t>
        </is>
      </c>
      <c r="F4111" s="0" t="inlineStr">
        <is>
          <t>Branco</t>
        </is>
      </c>
      <c r="G4111" s="0" t="inlineStr"/>
      <c r="H4111" s="0" t="inlineStr">
        <is>
          <t>Foundations (FDN)</t>
        </is>
      </c>
      <c r="I4111" s="0" t="inlineStr">
        <is>
          <t>Não</t>
        </is>
      </c>
      <c r="J4111" s="0" t="inlineStr">
        <is>
          <t>2024</t>
        </is>
      </c>
      <c r="K4111" s="0" t="inlineStr">
        <is>
          <t>2/3</t>
        </is>
      </c>
      <c r="L4111" s="0" t="inlineStr">
        <is>
          <t>1</t>
        </is>
      </c>
    </row>
    <row r="4112">
      <c r="A4112" s="0" t="inlineStr">
        <is>
          <t>Angelic Protector / Protetor Angelical</t>
        </is>
      </c>
      <c r="B4112" s="0" t="inlineStr">
        <is>
          <t>Creature — Angel</t>
        </is>
      </c>
      <c r="C4112" s="0" t="inlineStr">
        <is>
          <t>Uncommon / Incomum</t>
        </is>
      </c>
      <c r="D4112" s="0" t="inlineStr">
        <is>
          <t>Flying Whenever this creature becomes the target of a spell or ability, this creature gets +0/+3 until end of turn.</t>
        </is>
      </c>
      <c r="E4112" s="0" t="inlineStr">
        <is>
          <t>{3}{W}</t>
        </is>
      </c>
      <c r="F4112" s="0" t="inlineStr">
        <is>
          <t>Branco</t>
        </is>
      </c>
      <c r="G4112" s="0" t="inlineStr"/>
      <c r="H4112" s="0" t="inlineStr">
        <is>
          <t>Jumpstart 2022 (J22)</t>
        </is>
      </c>
      <c r="I4112" s="0" t="inlineStr">
        <is>
          <t>Não</t>
        </is>
      </c>
      <c r="J4112" s="0" t="inlineStr">
        <is>
          <t>2022</t>
        </is>
      </c>
      <c r="K4112" s="0" t="inlineStr">
        <is>
          <t>2/2</t>
        </is>
      </c>
      <c r="L4112" s="0" t="inlineStr">
        <is>
          <t>1</t>
        </is>
      </c>
    </row>
    <row r="4113">
      <c r="A4113" s="0" t="inlineStr">
        <is>
          <t>Guardian of the Forgotten / Guardiões dos Esquecidos</t>
        </is>
      </c>
      <c r="B4113" s="0" t="inlineStr">
        <is>
          <t>Creature — Elephant Warrior / Criatura — Elefante Guerreiro</t>
        </is>
      </c>
      <c r="C4113" s="0" t="inlineStr">
        <is>
          <t>Uncommon / Incomum</t>
        </is>
      </c>
      <c r="D4113" s="0" t="inlineStr">
        <is>
          <t>Vigilance Whenever a modified creature you control dies, manifest the top card of your library. (Equipment, Auras you control, and counters are modifications. To manifest a card, put the top card of your library onto the battlefield face down as a 2/2 creature. Turn it face up any time for its mana cost if it's a creature card.) / Vigilância Toda vez que uma criatura modificada que você controla morrer, manifeste o card do topo de seu grimório. (Os Equipamentos, as Auras que você controla e os marcadores são modificações. Para manifestar um card, coloque o card do topo de seu grimório no campo de batalha com a face voltada para baixo como uma criatura 2/2. Volte sua face para cima a qualquer momento pagando seu custo de mana se for um card de criatura.)</t>
        </is>
      </c>
      <c r="E4113" s="0" t="inlineStr">
        <is>
          <t>{3}{W}</t>
        </is>
      </c>
      <c r="F4113" s="0" t="inlineStr">
        <is>
          <t>Branco</t>
        </is>
      </c>
      <c r="G4113" s="0" t="inlineStr"/>
      <c r="H4113" s="0" t="inlineStr">
        <is>
          <t>Modern Horizons 3 (MH3)</t>
        </is>
      </c>
      <c r="I4113" s="0" t="inlineStr">
        <is>
          <t>Não</t>
        </is>
      </c>
      <c r="J4113" s="0" t="inlineStr">
        <is>
          <t>2024</t>
        </is>
      </c>
      <c r="K4113" s="0" t="inlineStr">
        <is>
          <t>4/4</t>
        </is>
      </c>
      <c r="L4113" s="0" t="inlineStr">
        <is>
          <t>1</t>
        </is>
      </c>
    </row>
    <row r="4114">
      <c r="A4114" s="0" t="inlineStr">
        <is>
          <t>Mysterious Pathlighter / Alumiador de Trilhas Misterioso</t>
        </is>
      </c>
      <c r="B4114" s="0" t="inlineStr">
        <is>
          <t>Creature — Faerie / Criatura — Fada</t>
        </is>
      </c>
      <c r="C4114" s="0" t="inlineStr">
        <is>
          <t>Uncommon / Incomum</t>
        </is>
      </c>
      <c r="D4114" s="0" t="inlineStr">
        <is>
          <t>Flying Each creature you control that has an Adventure enters with an additional +1/+1 counter on it. (It doesn't need to have gone on the adventure first.) / Voar Cada criatura que você controla com uma Aventura entra no campo de batalha com um marcador +1/+1 adicional. (Ela não precisa ter se aventurado primeiro.)</t>
        </is>
      </c>
      <c r="E4114" s="0" t="inlineStr">
        <is>
          <t>{2}{W}</t>
        </is>
      </c>
      <c r="F4114" s="0" t="inlineStr">
        <is>
          <t>Branco</t>
        </is>
      </c>
      <c r="G4114" s="0" t="inlineStr"/>
      <c r="H4114" s="0" t="inlineStr">
        <is>
          <t>Throne of Eldraine (ELD)</t>
        </is>
      </c>
      <c r="I4114" s="0" t="inlineStr">
        <is>
          <t>Não</t>
        </is>
      </c>
      <c r="J4114" s="0" t="inlineStr">
        <is>
          <t>2019</t>
        </is>
      </c>
      <c r="K4114" s="0" t="inlineStr">
        <is>
          <t>2/2</t>
        </is>
      </c>
      <c r="L4114" s="0" t="inlineStr">
        <is>
          <t>1</t>
        </is>
      </c>
    </row>
    <row r="4115">
      <c r="A4115" s="0" t="inlineStr">
        <is>
          <t>Syr Alin, the Lion's Claw / Syr Alin, a Garra do Leão</t>
        </is>
      </c>
      <c r="B4115" s="0" t="inlineStr">
        <is>
          <t>Legendary Creature — Human Knight / Criatura Lendária — Humano Cavaleiro</t>
        </is>
      </c>
      <c r="C4115" s="0" t="inlineStr">
        <is>
          <t>Uncommon / Incomum</t>
        </is>
      </c>
      <c r="D4115" s="0" t="inlineStr">
        <is>
          <t>First strike (This creature deals combat damage before creatures without first strike.) Whenever Syr Alin attacks, other creatures you control get +1/+1 until end of turn. / Iniciativa Toda vez que Syr Alin, a Garra do Leão, ataca, as outras criaturas que você controla recebem +1/+1 até o final do turno.</t>
        </is>
      </c>
      <c r="E4115" s="0" t="inlineStr">
        <is>
          <t>{3}{W}{W}</t>
        </is>
      </c>
      <c r="F4115" s="0" t="inlineStr">
        <is>
          <t>Branco</t>
        </is>
      </c>
      <c r="G4115" s="0" t="inlineStr"/>
      <c r="H4115" s="0" t="inlineStr">
        <is>
          <t>Throne of Eldraine (ELD)</t>
        </is>
      </c>
      <c r="I4115" s="0" t="inlineStr">
        <is>
          <t>Não</t>
        </is>
      </c>
      <c r="J4115" s="0" t="inlineStr">
        <is>
          <t>2019</t>
        </is>
      </c>
      <c r="K4115" s="0" t="inlineStr">
        <is>
          <t>4/4</t>
        </is>
      </c>
      <c r="L4115" s="0" t="inlineStr">
        <is>
          <t>1</t>
        </is>
      </c>
    </row>
    <row r="4116">
      <c r="A4116" s="0" t="inlineStr">
        <is>
          <t>Makeshift Battalion / Batalhão Improvisado</t>
        </is>
      </c>
      <c r="B4116" s="0" t="inlineStr">
        <is>
          <t>Creature — Human Soldier / Criatura — Humano Soldado</t>
        </is>
      </c>
      <c r="C4116" s="0" t="inlineStr">
        <is>
          <t>Common / Comum</t>
        </is>
      </c>
      <c r="D4116" s="0" t="inlineStr">
        <is>
          <t>Battalion — Whenever this creature and at least two other creatures attack, put a +1/+1 counter on this creature. / Toda vez que Batalhão Improvisado e ao menos duas outras criaturas atacarem, coloque um marcador +1/+1 em Batalhão Improvisado.</t>
        </is>
      </c>
      <c r="E4116" s="0" t="inlineStr">
        <is>
          <t>{2}{W}</t>
        </is>
      </c>
      <c r="F4116" s="0" t="inlineStr">
        <is>
          <t>Branco</t>
        </is>
      </c>
      <c r="G4116" s="0" t="inlineStr"/>
      <c r="H4116" s="0" t="inlineStr">
        <is>
          <t>War of the Spark (WAR)</t>
        </is>
      </c>
      <c r="I4116" s="0" t="inlineStr">
        <is>
          <t>Não</t>
        </is>
      </c>
      <c r="J4116" s="0" t="inlineStr">
        <is>
          <t>2019</t>
        </is>
      </c>
      <c r="K4116" s="0" t="inlineStr">
        <is>
          <t>3/2</t>
        </is>
      </c>
      <c r="L4116" s="0" t="inlineStr">
        <is>
          <t>1</t>
        </is>
      </c>
    </row>
    <row r="4117">
      <c r="A4117" s="0" t="inlineStr">
        <is>
          <t>Gideon's Lawkeeper / Guardião da Lei de Gideon</t>
        </is>
      </c>
      <c r="B4117" s="0" t="inlineStr">
        <is>
          <t>Creature — Human Soldier / Criatura — Humano Soldado</t>
        </is>
      </c>
      <c r="C4117" s="0" t="inlineStr">
        <is>
          <t>Common / Comum</t>
        </is>
      </c>
      <c r="D4117" s="0" t="inlineStr">
        <is>
          <t>{W}, {T}: Tap target creature. / {W}, {T}: Vire a criatura alvo.</t>
        </is>
      </c>
      <c r="E4117" s="0" t="inlineStr">
        <is>
          <t>{W}</t>
        </is>
      </c>
      <c r="F4117" s="0" t="inlineStr">
        <is>
          <t>Branco</t>
        </is>
      </c>
      <c r="G4117" s="0" t="inlineStr"/>
      <c r="H4117" s="0" t="inlineStr">
        <is>
          <t>Modern Masters 2017 (MM3)</t>
        </is>
      </c>
      <c r="I4117" s="0" t="inlineStr">
        <is>
          <t>Não</t>
        </is>
      </c>
      <c r="J4117" s="0" t="inlineStr">
        <is>
          <t>2017</t>
        </is>
      </c>
      <c r="K4117" s="0" t="inlineStr">
        <is>
          <t>1/1</t>
        </is>
      </c>
      <c r="L4117" s="0" t="inlineStr">
        <is>
          <t>1</t>
        </is>
      </c>
    </row>
    <row r="4118">
      <c r="A4118" s="0" t="inlineStr">
        <is>
          <t>Sheriff of Safe Passage / Xerife da Passagem Segura</t>
        </is>
      </c>
      <c r="B4118" s="0" t="inlineStr">
        <is>
          <t>Creature — Human Knight / Criatura — Humano Cavaleiro</t>
        </is>
      </c>
      <c r="C4118" s="0" t="inlineStr">
        <is>
          <t>Uncommon / Incomum</t>
        </is>
      </c>
      <c r="D4118" s="0" t="inlineStr">
        <is>
          <t>This creature enters with a +1/+1 counter on it plus an additional +1/+1 counter on it for each other creature you control. Plot {1}{W} (You may pay {1}{W} and exile this card from your hand. Cast it as a sorcery on a later turn without paying its mana cost. Plot only as a sorcery.) / Xerife da Passagem Segura entra no campo de batalha com um marcador +1/+1 mais um marcador +1/+1 adicional por cada outra criatura que você controla. Tramar {1}{W} (Você pode pagar {1}{W} e exilar este card da sua mão. Conjure-o como um feitiço num turno posterior sem pagar seu custo de mana. Trame somente como um feitiço.)</t>
        </is>
      </c>
      <c r="E4118" s="0" t="inlineStr">
        <is>
          <t>{2}{W}</t>
        </is>
      </c>
      <c r="F4118" s="0" t="inlineStr">
        <is>
          <t>Branco</t>
        </is>
      </c>
      <c r="G4118" s="0" t="inlineStr"/>
      <c r="H4118" s="0" t="inlineStr">
        <is>
          <t>Outlaws of Thunder Junction (OTJ)</t>
        </is>
      </c>
      <c r="I4118" s="0" t="inlineStr">
        <is>
          <t>Não</t>
        </is>
      </c>
      <c r="J4118" s="0" t="inlineStr">
        <is>
          <t>2024</t>
        </is>
      </c>
      <c r="K4118" s="0" t="inlineStr">
        <is>
          <t>0/0</t>
        </is>
      </c>
      <c r="L4118" s="0" t="inlineStr">
        <is>
          <t>1</t>
        </is>
      </c>
    </row>
    <row r="4119">
      <c r="A4119" s="0" t="inlineStr">
        <is>
          <t>Porcelain Zealot / Zelote de Porcelana</t>
        </is>
      </c>
      <c r="B4119" s="0" t="inlineStr">
        <is>
          <t>Creature — Phyrexian Soldier / Criatura — Phyrexiano Soldado</t>
        </is>
      </c>
      <c r="C4119" s="0" t="inlineStr">
        <is>
          <t>Uncommon / Incomum</t>
        </is>
      </c>
      <c r="D4119" s="0" t="inlineStr">
        <is>
          <t>At the beginning of combat on your turn, target creature you control gets +1/+1 until end of turn. If that creature has toxic, instead it gets +2/+2 until end of turn. / No início do combate no seu turno, a criatura alvo que você controla recebe +1/+1 até o final do turno. Se aquela criatura tem tóxico, em vez disso, ela recebe +2/+2 até o final do turno.</t>
        </is>
      </c>
      <c r="E4119" s="0" t="inlineStr">
        <is>
          <t>{3}{W}</t>
        </is>
      </c>
      <c r="F4119" s="0" t="inlineStr">
        <is>
          <t>Branco</t>
        </is>
      </c>
      <c r="G4119" s="0" t="inlineStr"/>
      <c r="H4119" s="0" t="inlineStr">
        <is>
          <t>Phyrexia: All Will Be One (ONE)</t>
        </is>
      </c>
      <c r="I4119" s="0" t="inlineStr">
        <is>
          <t>Não</t>
        </is>
      </c>
      <c r="J4119" s="0" t="inlineStr">
        <is>
          <t>2023</t>
        </is>
      </c>
      <c r="K4119" s="0" t="inlineStr">
        <is>
          <t>2/3</t>
        </is>
      </c>
      <c r="L4119" s="0" t="inlineStr">
        <is>
          <t>1</t>
        </is>
      </c>
    </row>
    <row r="4120">
      <c r="A4120" s="0" t="inlineStr">
        <is>
          <t>Cast Out / Degredar</t>
        </is>
      </c>
      <c r="B4120" s="0" t="inlineStr">
        <is>
          <t>Enchantment / Encantamento</t>
        </is>
      </c>
      <c r="C4120" s="0" t="inlineStr">
        <is>
          <t>Uncommon / Incomum</t>
        </is>
      </c>
      <c r="D4120" s="0" t="inlineStr">
        <is>
          <t>Flash When this enchantment enters, exile target nonland permanent an opponent controls until this enchantment leaves the battlefield. Cycling {W} ({W}, Discard this card: Draw a card.) / Lampejo Quando Degredar entrar no campo de batalha, exile a permanente alvo que não seja terreno que um oponente controla até que Degredar deixe o campo de batalha. Reciclar {W} ({W}, Descarte este card: Compre um card.)</t>
        </is>
      </c>
      <c r="E4120" s="0" t="inlineStr">
        <is>
          <t>{3}{W}</t>
        </is>
      </c>
      <c r="F4120" s="0" t="inlineStr">
        <is>
          <t>Branco</t>
        </is>
      </c>
      <c r="G4120" s="0" t="inlineStr"/>
      <c r="H4120" s="0" t="inlineStr">
        <is>
          <t>Amonkhet (AKH)</t>
        </is>
      </c>
      <c r="I4120" s="0" t="inlineStr">
        <is>
          <t>Não</t>
        </is>
      </c>
      <c r="J4120" s="0" t="inlineStr">
        <is>
          <t>2017</t>
        </is>
      </c>
      <c r="K4120" s="0" t="inlineStr"/>
      <c r="L4120" s="0" t="inlineStr">
        <is>
          <t>1</t>
        </is>
      </c>
    </row>
    <row r="4121">
      <c r="A4121" s="0" t="inlineStr">
        <is>
          <t>Arcbound Javelineer / Zagaieiro Arconexo</t>
        </is>
      </c>
      <c r="B4121" s="0" t="inlineStr">
        <is>
          <t>Artifact Creature — Soldier / Criatura Artefato — Soldado</t>
        </is>
      </c>
      <c r="C4121" s="0" t="inlineStr">
        <is>
          <t>Uncommon / Incomum</t>
        </is>
      </c>
      <c r="D4121" s="0" t="inlineStr">
        <is>
          <t>{T}, Remove X +1/+1 counters from this creature: It deals X damage to target attacking or blocking creature. Modular 1 (This creature enters with a +1/+1 counter on it. When it dies, you may put its +1/+1 counters on target artifact creature.) / {T}, remova X marcadores +1/+1 de Zagaieiro Arconexo: Ele causa X pontos de dano à criatura atacante ou bloqueadora alvo. Modular 1 (Esta criatura entra no campo de batalha com um marcador +1/+1. Quando ela morre, você pode colocar seus marcadores +1/+1 na criatura artefato alvo.)</t>
        </is>
      </c>
      <c r="E4121" s="0" t="inlineStr">
        <is>
          <t>{W}</t>
        </is>
      </c>
      <c r="F4121" s="0" t="inlineStr">
        <is>
          <t>Branco</t>
        </is>
      </c>
      <c r="G4121" s="0" t="inlineStr"/>
      <c r="H4121" s="0" t="inlineStr">
        <is>
          <t>Modern Horizons 2 (MH2)</t>
        </is>
      </c>
      <c r="I4121" s="0" t="inlineStr">
        <is>
          <t>Não</t>
        </is>
      </c>
      <c r="J4121" s="0" t="inlineStr">
        <is>
          <t>2021</t>
        </is>
      </c>
      <c r="K4121" s="0" t="inlineStr">
        <is>
          <t>0/1</t>
        </is>
      </c>
      <c r="L4121" s="0" t="inlineStr">
        <is>
          <t>1</t>
        </is>
      </c>
    </row>
    <row r="4122">
      <c r="A4122" s="0" t="inlineStr">
        <is>
          <t>Astral Confrontation / Confronto Astral</t>
        </is>
      </c>
      <c r="B4122" s="0" t="inlineStr">
        <is>
          <t>Instant / Mágica Instantânea</t>
        </is>
      </c>
      <c r="C4122" s="0" t="inlineStr">
        <is>
          <t>Common / Comum</t>
        </is>
      </c>
      <c r="D4122" s="0" t="inlineStr">
        <is>
          <t>This spell costs {1} less to cast for each opponent you're attacking. Exile target creature. / Esta mágica custa {1} a menos para ser conjurada para cada oponente que você esteja atacando. Exile a criatura alvo.</t>
        </is>
      </c>
      <c r="E4122" s="0" t="inlineStr">
        <is>
          <t>{4}{W}</t>
        </is>
      </c>
      <c r="F4122" s="0" t="inlineStr">
        <is>
          <t>Branco</t>
        </is>
      </c>
      <c r="G4122" s="0" t="inlineStr"/>
      <c r="H4122" s="0" t="inlineStr">
        <is>
          <t>Commander Legends: Battle for Baldur's Gate (CLB)</t>
        </is>
      </c>
      <c r="I4122" s="0" t="inlineStr">
        <is>
          <t>Não</t>
        </is>
      </c>
      <c r="J4122" s="0" t="inlineStr">
        <is>
          <t>2022</t>
        </is>
      </c>
      <c r="K4122" s="0" t="inlineStr"/>
      <c r="L4122" s="0" t="inlineStr">
        <is>
          <t>1</t>
        </is>
      </c>
    </row>
    <row r="4123">
      <c r="A4123" s="0" t="inlineStr">
        <is>
          <t>Coalition Skyknight / Cavaleiro Celeste da Coalizão</t>
        </is>
      </c>
      <c r="B4123" s="0" t="inlineStr">
        <is>
          <t>Creature — Human Knight / Criatura — Humano Cavaleiro</t>
        </is>
      </c>
      <c r="C4123" s="0" t="inlineStr">
        <is>
          <t>Uncommon / Incomum</t>
        </is>
      </c>
      <c r="D4123" s="0" t="inlineStr">
        <is>
          <t>Flying Enlist (As this creature attacks, you may tap a nonattacking creature you control without summoning sickness. When you do, add its power to this creature's until end of turn.) / Voar Alistar (Conforme esta criatura ataca, você pode virar uma criatura não atacante que você controla sem enjoo de invocação. Quando fizer isso, adicione o poder dela ao desta criatura até o final do turno.)</t>
        </is>
      </c>
      <c r="E4123" s="0" t="inlineStr">
        <is>
          <t>{3}{W}</t>
        </is>
      </c>
      <c r="F4123" s="0" t="inlineStr">
        <is>
          <t>Branco</t>
        </is>
      </c>
      <c r="G4123" s="0" t="inlineStr"/>
      <c r="H4123" s="0" t="inlineStr">
        <is>
          <t>Dominaria United (DMU)</t>
        </is>
      </c>
      <c r="I4123" s="0" t="inlineStr">
        <is>
          <t>Não</t>
        </is>
      </c>
      <c r="J4123" s="0" t="inlineStr">
        <is>
          <t>2022</t>
        </is>
      </c>
      <c r="K4123" s="0" t="inlineStr">
        <is>
          <t>2/2</t>
        </is>
      </c>
      <c r="L4123" s="0" t="inlineStr">
        <is>
          <t>1</t>
        </is>
      </c>
    </row>
    <row r="4124">
      <c r="A4124" s="0" t="inlineStr">
        <is>
          <t>Gideon's Triumph / Triunfo de Gideon</t>
        </is>
      </c>
      <c r="B4124" s="0" t="inlineStr">
        <is>
          <t>Instant / Mágica Instantânea</t>
        </is>
      </c>
      <c r="C4124" s="0" t="inlineStr">
        <is>
          <t>Uncommon / Incomum</t>
        </is>
      </c>
      <c r="D4124" s="0" t="inlineStr">
        <is>
          <t>Target opponent sacrifices a creature of their choice that attacked or blocked this turn. If you control a Gideon planeswalker, that player sacrifices two of those creatures of their choice instead. / O oponente alvo sacrifica uma criatura que atacou ou bloqueou neste turno. Se você controla um planeswalker Gideon, aquele jogador, em vez disso, sacrifica duas daquelas criaturas.</t>
        </is>
      </c>
      <c r="E4124" s="0" t="inlineStr">
        <is>
          <t>{1}{W}</t>
        </is>
      </c>
      <c r="F4124" s="0" t="inlineStr">
        <is>
          <t>Branco</t>
        </is>
      </c>
      <c r="G4124" s="0" t="inlineStr"/>
      <c r="H4124" s="0" t="inlineStr">
        <is>
          <t>War of the Spark (WAR)</t>
        </is>
      </c>
      <c r="I4124" s="0" t="inlineStr">
        <is>
          <t>Não</t>
        </is>
      </c>
      <c r="J4124" s="0" t="inlineStr">
        <is>
          <t>2019</t>
        </is>
      </c>
      <c r="K4124" s="0" t="inlineStr"/>
      <c r="L4124" s="0" t="inlineStr">
        <is>
          <t>1</t>
        </is>
      </c>
    </row>
    <row r="4125">
      <c r="A4125" s="0" t="inlineStr">
        <is>
          <t>Ilysian Caryatid / Cariátide Ilisiana</t>
        </is>
      </c>
      <c r="B4125" s="0" t="inlineStr">
        <is>
          <t>Creature — Plant / Criatura — Planta</t>
        </is>
      </c>
      <c r="C4125" s="0" t="inlineStr">
        <is>
          <t>Common / Comum</t>
        </is>
      </c>
      <c r="D4125" s="0" t="inlineStr">
        <is>
          <t>{T}: Add one mana of any color. If you control a creature with power 4 or greater, add two mana of any one color instead. / {T}: Adicione um mana de qualquer cor. Se você controlar uma criatura com poder igual ou superior a 4, em vez disso, adicione dois manas de qualquer cor.</t>
        </is>
      </c>
      <c r="E4125" s="0" t="inlineStr">
        <is>
          <t>{1}{G}</t>
        </is>
      </c>
      <c r="F4125" s="0" t="inlineStr">
        <is>
          <t>Verde</t>
        </is>
      </c>
      <c r="G4125" s="0" t="inlineStr"/>
      <c r="H4125" s="0" t="inlineStr">
        <is>
          <t>Jumpstart 2022 (J22)</t>
        </is>
      </c>
      <c r="I4125" s="0" t="inlineStr">
        <is>
          <t>Não</t>
        </is>
      </c>
      <c r="J4125" s="0" t="inlineStr">
        <is>
          <t>2022</t>
        </is>
      </c>
      <c r="K4125" s="0" t="inlineStr">
        <is>
          <t>1/1</t>
        </is>
      </c>
      <c r="L4125" s="0" t="inlineStr">
        <is>
          <t>1</t>
        </is>
      </c>
    </row>
    <row r="4126">
      <c r="A4126" s="0" t="inlineStr">
        <is>
          <t>Fertilid / Fertilídio</t>
        </is>
      </c>
      <c r="B4126" s="0" t="inlineStr">
        <is>
          <t>Creature — Elemental / Criatura — Elemental</t>
        </is>
      </c>
      <c r="C4126" s="0" t="inlineStr">
        <is>
          <t>Common / Comum</t>
        </is>
      </c>
      <c r="D4126" s="0" t="inlineStr">
        <is>
          <t>This creature enters with two +1/+1 counters on it. {1}{G}, Remove a +1/+1 counter from this creature: Target player searches their library for a basic land card, puts it onto the battlefield tapped, then shuffles. / Fertilídio entra no campo de batalha com dois marcadores +1/+1. {1}{G}, remova um marcador +1/+1 de Fertilídio: O jogador alvo procura no próprio grimório um card de terreno básico, coloca-o no campo de batalha virado e depois embaralha o próprio grimório.</t>
        </is>
      </c>
      <c r="E4126" s="0" t="inlineStr">
        <is>
          <t>{2}{G}</t>
        </is>
      </c>
      <c r="F4126" s="0" t="inlineStr">
        <is>
          <t>Verde</t>
        </is>
      </c>
      <c r="G4126" s="0" t="inlineStr"/>
      <c r="H4126" s="0" t="inlineStr">
        <is>
          <t>Jumpstart 2022 (J22)</t>
        </is>
      </c>
      <c r="I4126" s="0" t="inlineStr">
        <is>
          <t>Não</t>
        </is>
      </c>
      <c r="J4126" s="0" t="inlineStr">
        <is>
          <t>2022</t>
        </is>
      </c>
      <c r="K4126" s="0" t="inlineStr">
        <is>
          <t>0/0</t>
        </is>
      </c>
      <c r="L4126" s="0" t="inlineStr">
        <is>
          <t>1</t>
        </is>
      </c>
    </row>
    <row r="4127">
      <c r="A4127" s="0" t="inlineStr">
        <is>
          <t>Outcaster Greenblade / Laminaverde Renegado</t>
        </is>
      </c>
      <c r="B4127" s="0" t="inlineStr">
        <is>
          <t>Creature — Human Mercenary / Criatura — Humano Mercenário</t>
        </is>
      </c>
      <c r="C4127" s="0" t="inlineStr">
        <is>
          <t>Uncommon / Incomum</t>
        </is>
      </c>
      <c r="D4127" s="0" t="inlineStr">
        <is>
          <t>When this creature enters, search your library for a basic land card or a Desert card, reveal it, put it into your hand, then shuffle. This creature gets +1/+1 for each Desert you control. / Quando Laminaverde Renegado entrar no campo de batalha, procure em seu grimório um card de terreno básico ou um card de Deserto, revele-o, coloque-o em sua mão e depois embaralhe. Laminaverde Renegado recebe +1/+1 por cada Deserto que você controla.</t>
        </is>
      </c>
      <c r="E4127" s="0" t="inlineStr">
        <is>
          <t>{2}{G}</t>
        </is>
      </c>
      <c r="F4127" s="0" t="inlineStr">
        <is>
          <t>Verde</t>
        </is>
      </c>
      <c r="G4127" s="0" t="inlineStr"/>
      <c r="H4127" s="0" t="inlineStr">
        <is>
          <t>Outlaws of Thunder Junction (OTJ)</t>
        </is>
      </c>
      <c r="I4127" s="0" t="inlineStr">
        <is>
          <t>Não</t>
        </is>
      </c>
      <c r="J4127" s="0" t="inlineStr">
        <is>
          <t>2024</t>
        </is>
      </c>
      <c r="K4127" s="0" t="inlineStr">
        <is>
          <t>1/2</t>
        </is>
      </c>
      <c r="L4127" s="0" t="inlineStr">
        <is>
          <t>1</t>
        </is>
      </c>
    </row>
    <row r="4128">
      <c r="A4128" s="0" t="inlineStr">
        <is>
          <t>Syr Faren, the Hengehammer / Syr Faren, Martelo do Círculo</t>
        </is>
      </c>
      <c r="B4128" s="0" t="inlineStr">
        <is>
          <t>Legendary Creature — Human Knight / Criatura Lendária — Humano Cavaleiro</t>
        </is>
      </c>
      <c r="C4128" s="0" t="inlineStr">
        <is>
          <t>Uncommon / Incomum</t>
        </is>
      </c>
      <c r="D4128" s="0" t="inlineStr">
        <is>
          <t>Whenever Syr Faren attacks, another target attacking creature gets +X/+X until end of turn, where X is Syr Faren's power. / Toda vez que Syr Faren, Martelo do Círculo, ataca, outra criatura atacante alvo recebe +X/+X até o final do turno, sendo X o poder de Syr Faren.</t>
        </is>
      </c>
      <c r="E4128" s="0" t="inlineStr">
        <is>
          <t>{G}{G}</t>
        </is>
      </c>
      <c r="F4128" s="0" t="inlineStr">
        <is>
          <t>Verde</t>
        </is>
      </c>
      <c r="G4128" s="0" t="inlineStr"/>
      <c r="H4128" s="0" t="inlineStr">
        <is>
          <t>Throne of Eldraine (ELD)</t>
        </is>
      </c>
      <c r="I4128" s="0" t="inlineStr">
        <is>
          <t>Não</t>
        </is>
      </c>
      <c r="J4128" s="0" t="inlineStr">
        <is>
          <t>2019</t>
        </is>
      </c>
      <c r="K4128" s="0" t="inlineStr">
        <is>
          <t>2/2</t>
        </is>
      </c>
      <c r="L4128" s="0" t="inlineStr">
        <is>
          <t>1</t>
        </is>
      </c>
    </row>
    <row r="4129">
      <c r="A4129" s="0" t="inlineStr">
        <is>
          <t>Cloakwood Hermit / Eremita de Floresta do Manto</t>
        </is>
      </c>
      <c r="B4129" s="0" t="inlineStr">
        <is>
          <t>Legendary Enchantment — Background / Encantamento Lendário — Antecedente</t>
        </is>
      </c>
      <c r="C4129" s="0" t="inlineStr">
        <is>
          <t>Uncommon / Incomum</t>
        </is>
      </c>
      <c r="D4129" s="0" t="inlineStr">
        <is>
          <t>Commander creatures you own have "At the beginning of your end step, if a creature card was put into your graveyard from anywhere this turn, create two tapped 1/1 green Squirrel creature tokens." / As criaturas comandantes que você possui têm "No início de sua etapa final, se um card de criatura tiver sido colocado em seu cemitério vindo de qualquer lugar neste turno, crie duas fichas de criatura Esquilo verde 1/1 viradas".</t>
        </is>
      </c>
      <c r="E4129" s="0" t="inlineStr">
        <is>
          <t>{2}{G}</t>
        </is>
      </c>
      <c r="F4129" s="0" t="inlineStr">
        <is>
          <t>Verde</t>
        </is>
      </c>
      <c r="G4129" s="0" t="inlineStr"/>
      <c r="H4129" s="0" t="inlineStr">
        <is>
          <t>Commander Legends: Battle for Baldur's Gate (CLB)</t>
        </is>
      </c>
      <c r="I4129" s="0" t="inlineStr">
        <is>
          <t>Não</t>
        </is>
      </c>
      <c r="J4129" s="0" t="inlineStr">
        <is>
          <t>2022</t>
        </is>
      </c>
      <c r="K4129" s="0" t="inlineStr"/>
      <c r="L4129" s="0" t="inlineStr">
        <is>
          <t>1</t>
        </is>
      </c>
    </row>
    <row r="4130">
      <c r="A4130" s="0" t="inlineStr">
        <is>
          <t>Hyrax Tower Scout / Batedora da Torre de Hírax</t>
        </is>
      </c>
      <c r="B4130" s="0" t="inlineStr">
        <is>
          <t>Creature — Human Scout / Criatura — Humano Batedor</t>
        </is>
      </c>
      <c r="C4130" s="0" t="inlineStr">
        <is>
          <t>Common / Comum</t>
        </is>
      </c>
      <c r="D4130" s="0" t="inlineStr">
        <is>
          <t>When this creature enters, untap target creature. / Quando Batedora da Torre de Hírax entrar no campo de batalha, desvire a criatura alvo.</t>
        </is>
      </c>
      <c r="E4130" s="0" t="inlineStr">
        <is>
          <t>{2}{G}</t>
        </is>
      </c>
      <c r="F4130" s="0" t="inlineStr">
        <is>
          <t>Verde</t>
        </is>
      </c>
      <c r="G4130" s="0" t="inlineStr"/>
      <c r="H4130" s="0" t="inlineStr">
        <is>
          <t>Theros Beyond Death (THB)</t>
        </is>
      </c>
      <c r="I4130" s="0" t="inlineStr">
        <is>
          <t>Não</t>
        </is>
      </c>
      <c r="J4130" s="0" t="inlineStr">
        <is>
          <t>2020</t>
        </is>
      </c>
      <c r="K4130" s="0" t="inlineStr">
        <is>
          <t>3/3</t>
        </is>
      </c>
      <c r="L4130" s="0" t="inlineStr">
        <is>
          <t>1</t>
        </is>
      </c>
    </row>
    <row r="4131">
      <c r="A4131" s="0" t="inlineStr">
        <is>
          <t>Venomous Brutalizer / Brutalizador Peçonhento</t>
        </is>
      </c>
      <c r="B4131" s="0" t="inlineStr">
        <is>
          <t>Creature — Phyrexian Knight / Criatura — Phyrexiano Cavaleiro</t>
        </is>
      </c>
      <c r="C4131" s="0" t="inlineStr">
        <is>
          <t>Uncommon / Incomum</t>
        </is>
      </c>
      <c r="D4131" s="0" t="inlineStr">
        <is>
          <t>Toxic 3 (Players dealt combat damage by this creature also get three poison counters.) When this creature enters, you may pay {1}{G}. If you do, proliferate. (Choose any number of permanents and/or players, then give each another counter of each kind already there.) / Tóxico 3 (Os jogadores que sofrem dano de combate desta criatura também recebem três marcadores de veneno). Quando Brutalizador Peçonhento entra no campo de batalha, você pode pagar {1}{G}. Se fizer isso, prolifere. (Escolha qualquer número de permanentes e/ou jogadores. Em seguida, dê a cada um deles outro marcador de cada tipo que eles já tenham.)</t>
        </is>
      </c>
      <c r="E4131" s="0" t="inlineStr">
        <is>
          <t>{2}{G}{G}</t>
        </is>
      </c>
      <c r="F4131" s="0" t="inlineStr">
        <is>
          <t>Verde</t>
        </is>
      </c>
      <c r="G4131" s="0" t="inlineStr"/>
      <c r="H4131" s="0" t="inlineStr">
        <is>
          <t>Phyrexia: All Will Be One (ONE)</t>
        </is>
      </c>
      <c r="I4131" s="0" t="inlineStr">
        <is>
          <t>Não</t>
        </is>
      </c>
      <c r="J4131" s="0" t="inlineStr">
        <is>
          <t>2023</t>
        </is>
      </c>
      <c r="K4131" s="0" t="inlineStr">
        <is>
          <t>4/4</t>
        </is>
      </c>
      <c r="L4131" s="0" t="inlineStr">
        <is>
          <t>1</t>
        </is>
      </c>
    </row>
    <row r="4132">
      <c r="A4132" s="0" t="inlineStr">
        <is>
          <t>Mossbeard Ancient / Barbamusgo Ancestral</t>
        </is>
      </c>
      <c r="B4132" s="0" t="inlineStr">
        <is>
          <t>Creature — Treefolk / Criatura — Ent</t>
        </is>
      </c>
      <c r="C4132" s="0" t="inlineStr">
        <is>
          <t>Uncommon / Incomum</t>
        </is>
      </c>
      <c r="D4132" s="0" t="inlineStr">
        <is>
          <t>Trample When this creature enters, you gain 5 life. / Atropelar Quando Barbamusgo Ancestral entra no campo de batalha, você ganha 5 pontos de vida.</t>
        </is>
      </c>
      <c r="E4132" s="0" t="inlineStr">
        <is>
          <t>{5}{G}{G}</t>
        </is>
      </c>
      <c r="F4132" s="0" t="inlineStr">
        <is>
          <t>Verde</t>
        </is>
      </c>
      <c r="G4132" s="0" t="inlineStr"/>
      <c r="H4132" s="0" t="inlineStr">
        <is>
          <t>Dominaria United (DMU)</t>
        </is>
      </c>
      <c r="I4132" s="0" t="inlineStr">
        <is>
          <t>Não</t>
        </is>
      </c>
      <c r="J4132" s="0" t="inlineStr">
        <is>
          <t>2022</t>
        </is>
      </c>
      <c r="K4132" s="0" t="inlineStr">
        <is>
          <t>7/7</t>
        </is>
      </c>
      <c r="L4132" s="0" t="inlineStr">
        <is>
          <t>1</t>
        </is>
      </c>
    </row>
    <row r="4133">
      <c r="A4133" s="0" t="inlineStr">
        <is>
          <t>Strength of the Coalition / Força da Coalizão</t>
        </is>
      </c>
      <c r="B4133" s="0" t="inlineStr">
        <is>
          <t>Instant / Mágica Instantânea</t>
        </is>
      </c>
      <c r="C4133" s="0" t="inlineStr">
        <is>
          <t>Uncommon / Incomum</t>
        </is>
      </c>
      <c r="D4133" s="0" t="inlineStr">
        <is>
          <t>Kicker {2}{W} (You may pay an additional {2}{W} as you cast this spell.) Target creature you control gets +2/+2 until end of turn. If this spell was kicked, put a +1/+1 counter on each creature you control. / Reforçar {2}{W} (Você pode pagar um custo adicional de {2}{W} ao conjurar esta mágica.) A criatura alvo que você controla recebe +2/+2 até o final do turno. Se esta mágica foi reforçada, coloque um marcador +1/+1 em cada criatura que você controla.</t>
        </is>
      </c>
      <c r="E4133" s="0" t="inlineStr">
        <is>
          <t>{G}</t>
        </is>
      </c>
      <c r="F4133" s="0" t="inlineStr">
        <is>
          <t>Verde</t>
        </is>
      </c>
      <c r="G4133" s="0" t="inlineStr"/>
      <c r="H4133" s="0" t="inlineStr">
        <is>
          <t>Dominaria United (DMU)</t>
        </is>
      </c>
      <c r="I4133" s="0" t="inlineStr">
        <is>
          <t>Não</t>
        </is>
      </c>
      <c r="J4133" s="0" t="inlineStr">
        <is>
          <t>2022</t>
        </is>
      </c>
      <c r="K4133" s="0" t="inlineStr"/>
      <c r="L4133" s="0" t="inlineStr">
        <is>
          <t>1</t>
        </is>
      </c>
    </row>
    <row r="4134">
      <c r="A4134" s="0" t="inlineStr">
        <is>
          <t>Noxious Assault / Assalto Nóxio</t>
        </is>
      </c>
      <c r="B4134" s="0" t="inlineStr">
        <is>
          <t>Sorcery / Feitiço</t>
        </is>
      </c>
      <c r="C4134" s="0" t="inlineStr">
        <is>
          <t>Uncommon / Incomum</t>
        </is>
      </c>
      <c r="D4134" s="0" t="inlineStr">
        <is>
          <t>Creatures you control get +2/+2 until end of turn. Whenever a creature blocks this turn, its controller gets a poison counter. / As criaturas que você controla recebem +2/+2 até o final do turno. Toda vez que uma criatura bloqueia neste turno, seu controlador recebe um marcador de veneno.</t>
        </is>
      </c>
      <c r="E4134" s="0" t="inlineStr">
        <is>
          <t>{3}{G}{G}</t>
        </is>
      </c>
      <c r="F4134" s="0" t="inlineStr">
        <is>
          <t>Verde</t>
        </is>
      </c>
      <c r="G4134" s="0" t="inlineStr"/>
      <c r="H4134" s="0" t="inlineStr">
        <is>
          <t>Phyrexia: All Will Be One (ONE)</t>
        </is>
      </c>
      <c r="I4134" s="0" t="inlineStr">
        <is>
          <t>Não</t>
        </is>
      </c>
      <c r="J4134" s="0" t="inlineStr">
        <is>
          <t>2023</t>
        </is>
      </c>
      <c r="K4134" s="0" t="inlineStr"/>
      <c r="L4134" s="0" t="inlineStr">
        <is>
          <t>1</t>
        </is>
      </c>
    </row>
    <row r="4135">
      <c r="A4135" s="0" t="inlineStr">
        <is>
          <t>Iridescent Blademaster / Espadachim-mestre Iridescente</t>
        </is>
      </c>
      <c r="B4135" s="0" t="inlineStr">
        <is>
          <t>Creature — Elf Warrior / Criatura — Elfo Guerreiro</t>
        </is>
      </c>
      <c r="C4135" s="0" t="inlineStr">
        <is>
          <t>Common / Comum</t>
        </is>
      </c>
      <c r="D4135" s="0" t="inlineStr">
        <is>
          <t>{3}{G}: This creature gets +2/+2 until end of turn. / {3}{G}: Espadachim-mestre Iridescente recebe +2/+2 até o final do turno.</t>
        </is>
      </c>
      <c r="E4135" s="0" t="inlineStr">
        <is>
          <t>{1}{G}</t>
        </is>
      </c>
      <c r="F4135" s="0" t="inlineStr">
        <is>
          <t>Verde</t>
        </is>
      </c>
      <c r="G4135" s="0" t="inlineStr"/>
      <c r="H4135" s="0" t="inlineStr">
        <is>
          <t>March of the Machine (MOM)</t>
        </is>
      </c>
      <c r="I4135" s="0" t="inlineStr">
        <is>
          <t>Não</t>
        </is>
      </c>
      <c r="J4135" s="0" t="inlineStr">
        <is>
          <t>2023</t>
        </is>
      </c>
      <c r="K4135" s="0" t="inlineStr">
        <is>
          <t>2/2</t>
        </is>
      </c>
      <c r="L4135" s="0" t="inlineStr">
        <is>
          <t>1</t>
        </is>
      </c>
    </row>
    <row r="4136">
      <c r="A4136" s="0" t="inlineStr">
        <is>
          <t>Symbiotic Beast / Besta Simbiótica</t>
        </is>
      </c>
      <c r="B4136" s="0" t="inlineStr">
        <is>
          <t>Creature — Insect Beast / Criatura — Inseto Besta</t>
        </is>
      </c>
      <c r="C4136" s="0" t="inlineStr">
        <is>
          <t>Common / Comum</t>
        </is>
      </c>
      <c r="D4136" s="0" t="inlineStr">
        <is>
          <t>When this creature dies, create four 1/1 green Insect creature tokens. / Quando Besta Simbiótica morrer, crie quatro fichas de criatura Inseto verde 1/1.</t>
        </is>
      </c>
      <c r="E4136" s="0" t="inlineStr">
        <is>
          <t>{4}{G}{G}</t>
        </is>
      </c>
      <c r="F4136" s="0" t="inlineStr">
        <is>
          <t>Verde</t>
        </is>
      </c>
      <c r="G4136" s="0" t="inlineStr"/>
      <c r="H4136" s="0" t="inlineStr">
        <is>
          <t>Dominaria Remastered (DMR)</t>
        </is>
      </c>
      <c r="I4136" s="0" t="inlineStr">
        <is>
          <t>Não</t>
        </is>
      </c>
      <c r="J4136" s="0" t="inlineStr">
        <is>
          <t>2023</t>
        </is>
      </c>
      <c r="K4136" s="0" t="inlineStr">
        <is>
          <t>4/4</t>
        </is>
      </c>
      <c r="L4136" s="0" t="inlineStr">
        <is>
          <t>1</t>
        </is>
      </c>
    </row>
    <row r="4137">
      <c r="A4137" s="0" t="inlineStr">
        <is>
          <t>Nessian Hornbeetle / Serra-pau Nessiano</t>
        </is>
      </c>
      <c r="B4137" s="0" t="inlineStr">
        <is>
          <t>Creature — Insect / Criatura — Inseto</t>
        </is>
      </c>
      <c r="C4137" s="0" t="inlineStr">
        <is>
          <t>Uncommon / Incomum</t>
        </is>
      </c>
      <c r="D4137" s="0" t="inlineStr">
        <is>
          <t>At the beginning of combat on your turn, if you control another creature with power 4 or greater, put a +1/+1 counter on this creature. / No início do combate no seu turno, se você controlar outra criatura com poder igual ou superior a 4, coloque um marcador +1/+1 em Serra-pau Nessiano.</t>
        </is>
      </c>
      <c r="E4137" s="0" t="inlineStr">
        <is>
          <t>{1}{G}</t>
        </is>
      </c>
      <c r="F4137" s="0" t="inlineStr">
        <is>
          <t>Verde</t>
        </is>
      </c>
      <c r="G4137" s="0" t="inlineStr"/>
      <c r="H4137" s="0" t="inlineStr">
        <is>
          <t>Foundations (FDN)</t>
        </is>
      </c>
      <c r="I4137" s="0" t="inlineStr">
        <is>
          <t>Não</t>
        </is>
      </c>
      <c r="J4137" s="0" t="inlineStr">
        <is>
          <t>2024</t>
        </is>
      </c>
      <c r="K4137" s="0" t="inlineStr">
        <is>
          <t>2/2</t>
        </is>
      </c>
      <c r="L4137" s="0" t="inlineStr">
        <is>
          <t>1</t>
        </is>
      </c>
    </row>
    <row r="4138">
      <c r="A4138" s="0" t="inlineStr">
        <is>
          <t>Yavimaya Elder / Ancião de Yavimaya</t>
        </is>
      </c>
      <c r="B4138" s="0" t="inlineStr">
        <is>
          <t>Creature — Human Druid / Criatura — Humano Druida</t>
        </is>
      </c>
      <c r="C4138" s="0" t="inlineStr">
        <is>
          <t>Uncommon / Incomum</t>
        </is>
      </c>
      <c r="D4138" s="0" t="inlineStr">
        <is>
          <t>When this creature dies, you may search your library for up to two basic land cards, reveal them, put them into your hand, then shuffle. {2}, Sacrifice this creature: Draw a card. / Quando Ancião de Yavimaya morre, você pode procurar até dois cards de terreno básico em seu grimório, revelá-los e colocá-los em sua mão. Depois, embaralhe. {2}, sacrifique Ancião de Yavimaya: Compre um card.</t>
        </is>
      </c>
      <c r="E4138" s="0" t="inlineStr">
        <is>
          <t>{1}{G}{G}</t>
        </is>
      </c>
      <c r="F4138" s="0" t="inlineStr">
        <is>
          <t>Verde</t>
        </is>
      </c>
      <c r="G4138" s="0" t="inlineStr"/>
      <c r="H4138" s="0" t="inlineStr">
        <is>
          <t>Modern Horizons 2 (MH2)</t>
        </is>
      </c>
      <c r="I4138" s="0" t="inlineStr">
        <is>
          <t>Não</t>
        </is>
      </c>
      <c r="J4138" s="0" t="inlineStr">
        <is>
          <t>2021</t>
        </is>
      </c>
      <c r="K4138" s="0" t="inlineStr">
        <is>
          <t>2/1</t>
        </is>
      </c>
      <c r="L4138" s="0" t="inlineStr">
        <is>
          <t>1</t>
        </is>
      </c>
    </row>
    <row r="4139">
      <c r="A4139" s="0" t="inlineStr">
        <is>
          <t>Streetwise Negotiator / Negociadora das Ruas</t>
        </is>
      </c>
      <c r="B4139" s="0" t="inlineStr">
        <is>
          <t>Creature — Cat Citizen / Criatura — Felino Cidadão</t>
        </is>
      </c>
      <c r="C4139" s="0" t="inlineStr">
        <is>
          <t>Uncommon / Incomum</t>
        </is>
      </c>
      <c r="D4139" s="0" t="inlineStr">
        <is>
          <t>Backup 1 (When this creature enters, put a +1/+1 counter on target creature. If that's another creature, it gains the following ability until end of turn.) This creature assigns combat damage equal to its toughness rather than its power. / Apoio 1 (Quando esta criatura entrar no campo de batalha, coloque um marcador +1/+1 na criatura alvo. Se for outra criatura, ela ganha a habilidade a seguir até o final do turno.) Esta criatura atribui dano de combate igual à sua resistência, em vez de igual ao seu poder.</t>
        </is>
      </c>
      <c r="E4139" s="0" t="inlineStr">
        <is>
          <t>{1}{G}</t>
        </is>
      </c>
      <c r="F4139" s="0" t="inlineStr">
        <is>
          <t>Verde</t>
        </is>
      </c>
      <c r="G4139" s="0" t="inlineStr"/>
      <c r="H4139" s="0" t="inlineStr">
        <is>
          <t>March of the Machine (MOM)</t>
        </is>
      </c>
      <c r="I4139" s="0" t="inlineStr">
        <is>
          <t>Não</t>
        </is>
      </c>
      <c r="J4139" s="0" t="inlineStr">
        <is>
          <t>2023</t>
        </is>
      </c>
      <c r="K4139" s="0" t="inlineStr">
        <is>
          <t>0/2</t>
        </is>
      </c>
      <c r="L4139" s="0" t="inlineStr">
        <is>
          <t>1</t>
        </is>
      </c>
    </row>
    <row r="4140">
      <c r="A4140" s="0" t="inlineStr">
        <is>
          <t>Vulpine Goliath / Golias Vulpino</t>
        </is>
      </c>
      <c r="B4140" s="0" t="inlineStr">
        <is>
          <t>Creature — Fox / Criatura — Raposa</t>
        </is>
      </c>
      <c r="C4140" s="0" t="inlineStr">
        <is>
          <t>Common / Comum</t>
        </is>
      </c>
      <c r="D4140" s="0" t="inlineStr">
        <is>
          <t>Trample / Atropelar</t>
        </is>
      </c>
      <c r="E4140" s="0" t="inlineStr">
        <is>
          <t>{4}{G}{G}</t>
        </is>
      </c>
      <c r="F4140" s="0" t="inlineStr">
        <is>
          <t>Verde</t>
        </is>
      </c>
      <c r="G4140" s="0" t="inlineStr"/>
      <c r="H4140" s="0" t="inlineStr">
        <is>
          <t>Theros (THS)</t>
        </is>
      </c>
      <c r="I4140" s="0" t="inlineStr">
        <is>
          <t>Não</t>
        </is>
      </c>
      <c r="J4140" s="0" t="inlineStr">
        <is>
          <t>2013</t>
        </is>
      </c>
      <c r="K4140" s="0" t="inlineStr">
        <is>
          <t>6/5</t>
        </is>
      </c>
      <c r="L4140" s="0" t="inlineStr">
        <is>
          <t>1</t>
        </is>
      </c>
    </row>
    <row r="4141">
      <c r="A4141" s="0" t="inlineStr">
        <is>
          <t>Fowl Strike / Ataque Avícola</t>
        </is>
      </c>
      <c r="B4141" s="0" t="inlineStr">
        <is>
          <t>Instant / Mágica Instantânea</t>
        </is>
      </c>
      <c r="C4141" s="0" t="inlineStr">
        <is>
          <t>Common / Comum</t>
        </is>
      </c>
      <c r="D4141" s="0" t="inlineStr">
        <is>
          <t>Destroy target creature with flying. Reinforce 2—{2}{G} ({2}{G}, Discard this card: Put two +1/+1 counters on target creature.) / Destrua a criatura alvo com voar. Fortalecer 2 — {2}{G} ({2}{G}, descarte este card: Coloque dois marcadores +1/+1 na criatura alvo.)</t>
        </is>
      </c>
      <c r="E4141" s="0" t="inlineStr">
        <is>
          <t>{1}{G}</t>
        </is>
      </c>
      <c r="F4141" s="0" t="inlineStr">
        <is>
          <t>Verde</t>
        </is>
      </c>
      <c r="G4141" s="0" t="inlineStr"/>
      <c r="H4141" s="0" t="inlineStr">
        <is>
          <t>Modern Horizons 3 (MH3)</t>
        </is>
      </c>
      <c r="I4141" s="0" t="inlineStr">
        <is>
          <t>Não</t>
        </is>
      </c>
      <c r="J4141" s="0" t="inlineStr">
        <is>
          <t>2024</t>
        </is>
      </c>
      <c r="K4141" s="0" t="inlineStr"/>
      <c r="L4141" s="0" t="inlineStr">
        <is>
          <t>1</t>
        </is>
      </c>
    </row>
    <row r="4142">
      <c r="A4142" s="0" t="inlineStr">
        <is>
          <t>Stonewood Invoker / Invocador da Selva de Pedras</t>
        </is>
      </c>
      <c r="B4142" s="0" t="inlineStr">
        <is>
          <t>Creature — Elf Mutant / Criatura — Elfo Mutante</t>
        </is>
      </c>
      <c r="C4142" s="0" t="inlineStr">
        <is>
          <t>Common / Comum</t>
        </is>
      </c>
      <c r="D4142" s="0" t="inlineStr">
        <is>
          <t>{7}{G}: This creature gets +5/+5 until end of turn. / {7}{G}: Invocador da Selva de Pedras recebe +5/+5 até o final do turno.</t>
        </is>
      </c>
      <c r="E4142" s="0" t="inlineStr">
        <is>
          <t>{1}{G}</t>
        </is>
      </c>
      <c r="F4142" s="0" t="inlineStr">
        <is>
          <t>Verde</t>
        </is>
      </c>
      <c r="G4142" s="0" t="inlineStr"/>
      <c r="H4142" s="0" t="inlineStr">
        <is>
          <t>Dominaria Remastered (DMR)</t>
        </is>
      </c>
      <c r="I4142" s="0" t="inlineStr">
        <is>
          <t>Não</t>
        </is>
      </c>
      <c r="J4142" s="0" t="inlineStr">
        <is>
          <t>2023</t>
        </is>
      </c>
      <c r="K4142" s="0" t="inlineStr">
        <is>
          <t>2/2</t>
        </is>
      </c>
      <c r="L4142" s="0" t="inlineStr">
        <is>
          <t>1</t>
        </is>
      </c>
    </row>
    <row r="4143">
      <c r="A4143" s="0" t="inlineStr">
        <is>
          <t>Ancient Animus / Animus Ancestral</t>
        </is>
      </c>
      <c r="B4143" s="0" t="inlineStr">
        <is>
          <t>Instant / Mágica Instantânea</t>
        </is>
      </c>
      <c r="C4143" s="0" t="inlineStr">
        <is>
          <t>Common / Comum</t>
        </is>
      </c>
      <c r="D4143" s="0" t="inlineStr">
        <is>
          <t>Put a +1/+1 counter on target creature you control if it's legendary. Then it fights target creature an opponent controls. (Each deals damage equal to its power to the other.) / Coloque um marcador +1/+1 na criatura alvo que você controla se ela for lendária. Em seguida, ela luta contra a criatura alvo que um oponente controla. (Cada uma causa à outra uma quantidade de dano igual ao próprio poder.)</t>
        </is>
      </c>
      <c r="E4143" s="0" t="inlineStr">
        <is>
          <t>{1}{G}</t>
        </is>
      </c>
      <c r="F4143" s="0" t="inlineStr">
        <is>
          <t>Verde</t>
        </is>
      </c>
      <c r="G4143" s="0" t="inlineStr"/>
      <c r="H4143" s="0" t="inlineStr">
        <is>
          <t>Commander Legends (CMR)</t>
        </is>
      </c>
      <c r="I4143" s="0" t="inlineStr">
        <is>
          <t>Não</t>
        </is>
      </c>
      <c r="J4143" s="0" t="inlineStr">
        <is>
          <t>2020</t>
        </is>
      </c>
      <c r="K4143" s="0" t="inlineStr"/>
      <c r="L4143" s="0" t="inlineStr">
        <is>
          <t>1</t>
        </is>
      </c>
    </row>
    <row r="4144">
      <c r="A4144" s="0" t="inlineStr">
        <is>
          <t>Yavimaya Iconoclast / Iconoclasta de Yavimaya</t>
        </is>
      </c>
      <c r="B4144" s="0" t="inlineStr">
        <is>
          <t>Creature — Elf / Criatura — Elfo</t>
        </is>
      </c>
      <c r="C4144" s="0" t="inlineStr">
        <is>
          <t>Uncommon / Incomum</t>
        </is>
      </c>
      <c r="D4144" s="0" t="inlineStr">
        <is>
          <t>Kicker {R} (You may pay an additional {R} as you cast this spell.) Trample When this creature enters, if it was kicked, it gets +1/+1 and gains haste until end of turn. / Reforçar {R} (Você pode pagar um custo adicional de {R} ao conjurar esta mágica.) Atropelar Quando Iconoclasta de Yavimaya entra no campo de batalha, se ela foi reforçada, ela recebe +1/+1 e ganha ímpeto até o final do turno.</t>
        </is>
      </c>
      <c r="E4144" s="0" t="inlineStr">
        <is>
          <t>{1}{G}</t>
        </is>
      </c>
      <c r="F4144" s="0" t="inlineStr">
        <is>
          <t>Verde</t>
        </is>
      </c>
      <c r="G4144" s="0" t="inlineStr"/>
      <c r="H4144" s="0" t="inlineStr">
        <is>
          <t>Dominaria United (DMU)</t>
        </is>
      </c>
      <c r="I4144" s="0" t="inlineStr">
        <is>
          <t>Não</t>
        </is>
      </c>
      <c r="J4144" s="0" t="inlineStr">
        <is>
          <t>2022</t>
        </is>
      </c>
      <c r="K4144" s="0" t="inlineStr">
        <is>
          <t>3/2</t>
        </is>
      </c>
      <c r="L4144" s="0" t="inlineStr">
        <is>
          <t>1</t>
        </is>
      </c>
    </row>
    <row r="4145">
      <c r="A4145" s="0" t="inlineStr">
        <is>
          <t>Sunshower Druid</t>
        </is>
      </c>
      <c r="B4145" s="0" t="inlineStr">
        <is>
          <t>Creature — Frog Druid</t>
        </is>
      </c>
      <c r="C4145" s="0" t="inlineStr">
        <is>
          <t>Common / Comum</t>
        </is>
      </c>
      <c r="D4145" s="0" t="inlineStr">
        <is>
          <t>When this creature enters, put a +1/+1 counter on target creature and you gain 1 life.</t>
        </is>
      </c>
      <c r="E4145" s="0" t="inlineStr">
        <is>
          <t>{G}</t>
        </is>
      </c>
      <c r="F4145" s="0" t="inlineStr">
        <is>
          <t>Verde</t>
        </is>
      </c>
      <c r="G4145" s="0" t="inlineStr"/>
      <c r="H4145" s="0" t="inlineStr">
        <is>
          <t>Bloomburrow (BLB)</t>
        </is>
      </c>
      <c r="I4145" s="0" t="inlineStr">
        <is>
          <t>Não</t>
        </is>
      </c>
      <c r="J4145" s="0" t="inlineStr">
        <is>
          <t>2024</t>
        </is>
      </c>
      <c r="K4145" s="0" t="inlineStr">
        <is>
          <t>0/2</t>
        </is>
      </c>
      <c r="L4145" s="0" t="inlineStr">
        <is>
          <t>1</t>
        </is>
      </c>
    </row>
    <row r="4146">
      <c r="A4146" s="0" t="inlineStr">
        <is>
          <t>Ambush Wolf</t>
        </is>
      </c>
      <c r="B4146" s="0" t="inlineStr">
        <is>
          <t>Creature — Wolf</t>
        </is>
      </c>
      <c r="C4146" s="0" t="inlineStr">
        <is>
          <t>Common / Comum</t>
        </is>
      </c>
      <c r="D4146" s="0" t="inlineStr">
        <is>
          <t>Flash (You may cast this spell any time you could cast an instant.) When this creature enters, exile up to one target card from a graveyard.</t>
        </is>
      </c>
      <c r="E4146" s="0" t="inlineStr">
        <is>
          <t>{2}{G}</t>
        </is>
      </c>
      <c r="F4146" s="0" t="inlineStr">
        <is>
          <t>Verde</t>
        </is>
      </c>
      <c r="G4146" s="0" t="inlineStr"/>
      <c r="H4146" s="0" t="inlineStr">
        <is>
          <t>Foundations (FDN)</t>
        </is>
      </c>
      <c r="I4146" s="0" t="inlineStr">
        <is>
          <t>Não</t>
        </is>
      </c>
      <c r="J4146" s="0" t="inlineStr">
        <is>
          <t>2024</t>
        </is>
      </c>
      <c r="K4146" s="0" t="inlineStr">
        <is>
          <t>4/2</t>
        </is>
      </c>
      <c r="L4146" s="0" t="inlineStr">
        <is>
          <t>1</t>
        </is>
      </c>
    </row>
    <row r="4147">
      <c r="A4147" s="0" t="inlineStr">
        <is>
          <t>Gnarlid Colony / Colônia de Gnarlids</t>
        </is>
      </c>
      <c r="B4147" s="0" t="inlineStr">
        <is>
          <t>Creature — Beast / Criatura — Besta</t>
        </is>
      </c>
      <c r="C4147" s="0" t="inlineStr">
        <is>
          <t>Common / Comum</t>
        </is>
      </c>
      <c r="D4147" s="0" t="inlineStr">
        <is>
          <t>Kicker {2}{G} (You may pay an additional {2}{G} as you cast this spell.) If this creature was kicked, it enters with two +1/+1 counters on it. Each creature you control with a +1/+1 counter on it has trample. (It can deal excess combat damage to the player or planeswalker it's attacking.) / Reforçar {2}{G} (Você pode pagar um custo adicional de {2}{G} ao conjurar esta mágica.) Se Colônia de Gnarlids foi reforçada, ela entra no campo de batalha com dois marcadores +1/+1. Cada criatura que você controla com um marcador +1/+1 tem atropelar.</t>
        </is>
      </c>
      <c r="E4147" s="0" t="inlineStr">
        <is>
          <t>{1}{G}</t>
        </is>
      </c>
      <c r="F4147" s="0" t="inlineStr">
        <is>
          <t>Verde</t>
        </is>
      </c>
      <c r="G4147" s="0" t="inlineStr"/>
      <c r="H4147" s="0" t="inlineStr">
        <is>
          <t>Foundations (FDN)</t>
        </is>
      </c>
      <c r="I4147" s="0" t="inlineStr">
        <is>
          <t>Não</t>
        </is>
      </c>
      <c r="J4147" s="0" t="inlineStr">
        <is>
          <t>2024</t>
        </is>
      </c>
      <c r="K4147" s="0" t="inlineStr">
        <is>
          <t>2/2</t>
        </is>
      </c>
      <c r="L4147" s="0" t="inlineStr">
        <is>
          <t>1</t>
        </is>
      </c>
    </row>
    <row r="4148">
      <c r="A4148" s="0" t="inlineStr">
        <is>
          <t>Inspiring Call / Chamado Inspirador</t>
        </is>
      </c>
      <c r="B4148" s="0" t="inlineStr">
        <is>
          <t>Instant / Mágica Instantânea</t>
        </is>
      </c>
      <c r="C4148" s="0" t="inlineStr">
        <is>
          <t>Uncommon / Incomum</t>
        </is>
      </c>
      <c r="D4148" s="0" t="inlineStr">
        <is>
          <t>Draw a card for each creature you control with a +1/+1 counter on it. Those creatures gain indestructible until end of turn. (Damage and effects that say "destroy" don't destroy them.) / Compre um card para cada criatura que você controla com um marcador +1/+1. Essas criaturas ganham indestrutível até o final do turno. (Nem dano nem efeitos que dizem "destrua" podem destruí-las.)</t>
        </is>
      </c>
      <c r="E4148" s="0" t="inlineStr">
        <is>
          <t>{2}{G}</t>
        </is>
      </c>
      <c r="F4148" s="0" t="inlineStr">
        <is>
          <t>Verde</t>
        </is>
      </c>
      <c r="G4148" s="0" t="inlineStr"/>
      <c r="H4148" s="0" t="inlineStr">
        <is>
          <t>Foundations (FDN)</t>
        </is>
      </c>
      <c r="I4148" s="0" t="inlineStr">
        <is>
          <t>Não</t>
        </is>
      </c>
      <c r="J4148" s="0" t="inlineStr">
        <is>
          <t>2024</t>
        </is>
      </c>
      <c r="K4148" s="0" t="inlineStr"/>
      <c r="L4148" s="0" t="inlineStr">
        <is>
          <t>1</t>
        </is>
      </c>
    </row>
    <row r="4149">
      <c r="A4149" s="0" t="inlineStr">
        <is>
          <t>Say Its Name</t>
        </is>
      </c>
      <c r="B4149" s="0" t="inlineStr">
        <is>
          <t>Sorcery</t>
        </is>
      </c>
      <c r="C4149" s="0" t="inlineStr">
        <is>
          <t>Common / Comum</t>
        </is>
      </c>
      <c r="D4149" s="0" t="inlineStr">
        <is>
          <t>Mill three cards. Then you may return a creature or land card from your graveyard to your hand. Exile this card and two other cards named Say Its Name from your graveyard: Search your graveyard, hand, and/or library for a card named Altanak, the Thrice-Called and put it onto the battlefield. If you search your library this way, shuffle. Activate only as a sorcery.</t>
        </is>
      </c>
      <c r="E4149" s="0" t="inlineStr">
        <is>
          <t>{1}{G}</t>
        </is>
      </c>
      <c r="F4149" s="0" t="inlineStr">
        <is>
          <t>Verde</t>
        </is>
      </c>
      <c r="G4149" s="0" t="inlineStr"/>
      <c r="H4149" s="0" t="inlineStr">
        <is>
          <t>Duskmourn: House of Horror (DSK)</t>
        </is>
      </c>
      <c r="I4149" s="0" t="inlineStr">
        <is>
          <t>Não</t>
        </is>
      </c>
      <c r="J4149" s="0" t="inlineStr">
        <is>
          <t>2024</t>
        </is>
      </c>
      <c r="K4149" s="0" t="inlineStr"/>
      <c r="L4149" s="0" t="inlineStr">
        <is>
          <t>1</t>
        </is>
      </c>
    </row>
    <row r="4150">
      <c r="A4150" s="0" t="inlineStr">
        <is>
          <t>Frantic Strength</t>
        </is>
      </c>
      <c r="B4150" s="0" t="inlineStr">
        <is>
          <t>Enchantment — Aura</t>
        </is>
      </c>
      <c r="C4150" s="0" t="inlineStr">
        <is>
          <t>Common / Comum</t>
        </is>
      </c>
      <c r="D4150" s="0" t="inlineStr">
        <is>
          <t>Flash Enchant creature Enchanted creature gets +2/+2 and has trample.</t>
        </is>
      </c>
      <c r="E4150" s="0" t="inlineStr">
        <is>
          <t>{2}{G}</t>
        </is>
      </c>
      <c r="F4150" s="0" t="inlineStr">
        <is>
          <t>Verde</t>
        </is>
      </c>
      <c r="G4150" s="0" t="inlineStr"/>
      <c r="H4150" s="0" t="inlineStr">
        <is>
          <t>Duskmourn: House of Horror (DSK)</t>
        </is>
      </c>
      <c r="I4150" s="0" t="inlineStr">
        <is>
          <t>Não</t>
        </is>
      </c>
      <c r="J4150" s="0" t="inlineStr">
        <is>
          <t>2024</t>
        </is>
      </c>
      <c r="K4150" s="0" t="inlineStr"/>
      <c r="L4150" s="0" t="inlineStr">
        <is>
          <t>1</t>
        </is>
      </c>
    </row>
    <row r="4151">
      <c r="A4151" s="0" t="inlineStr">
        <is>
          <t>Monstrous Onslaught / Investida Monstruosa</t>
        </is>
      </c>
      <c r="B4151" s="0" t="inlineStr">
        <is>
          <t>Sorcery / Feitiço</t>
        </is>
      </c>
      <c r="C4151" s="0" t="inlineStr">
        <is>
          <t>Uncommon / Incomum</t>
        </is>
      </c>
      <c r="D4151" s="0" t="inlineStr">
        <is>
          <t>Monstrous Onslaught deals X damage divided as you choose among any number of target creatures, where X is the greatest power among creatures you control as you cast this spell. / Investida Monstruosa causa X pontos de dano divididos à sua escolha a qualquer número de criaturas alvo, sendo X o maior poder entre as criaturas que você controla conforme conjura Investida Monstruosa.</t>
        </is>
      </c>
      <c r="E4151" s="0" t="inlineStr">
        <is>
          <t>{3}{G}{G}</t>
        </is>
      </c>
      <c r="F4151" s="0" t="inlineStr">
        <is>
          <t>Verde</t>
        </is>
      </c>
      <c r="G4151" s="0" t="inlineStr"/>
      <c r="H4151" s="0" t="inlineStr">
        <is>
          <t>Aether Revolt (AER)</t>
        </is>
      </c>
      <c r="I4151" s="0" t="inlineStr">
        <is>
          <t>Não</t>
        </is>
      </c>
      <c r="J4151" s="0" t="inlineStr">
        <is>
          <t>2017</t>
        </is>
      </c>
      <c r="K4151" s="0" t="inlineStr"/>
      <c r="L4151" s="0" t="inlineStr">
        <is>
          <t>1</t>
        </is>
      </c>
    </row>
    <row r="4152">
      <c r="A4152" s="0" t="inlineStr">
        <is>
          <t>Sheltering Boughs / Ramos Protetores</t>
        </is>
      </c>
      <c r="B4152" s="0" t="inlineStr">
        <is>
          <t>Enchantment — Aura / Encantamento — Aura</t>
        </is>
      </c>
      <c r="C4152" s="0" t="inlineStr">
        <is>
          <t>Common / Comum</t>
        </is>
      </c>
      <c r="D4152" s="0" t="inlineStr">
        <is>
          <t>Enchant creature When this Aura enters, draw a card. Enchanted creature gets +1/+3. / Encantar criatura Quando Ramos Protetores entrar no campo de batalha, compre um card. A criatura encantada recebe +1/+3.</t>
        </is>
      </c>
      <c r="E4152" s="0" t="inlineStr">
        <is>
          <t>{2}{G}</t>
        </is>
      </c>
      <c r="F4152" s="0" t="inlineStr">
        <is>
          <t>Verde</t>
        </is>
      </c>
      <c r="G4152" s="0" t="inlineStr"/>
      <c r="H4152" s="0" t="inlineStr">
        <is>
          <t>Innistrad: Crimson Vow (VOW)</t>
        </is>
      </c>
      <c r="I4152" s="0" t="inlineStr">
        <is>
          <t>Não</t>
        </is>
      </c>
      <c r="J4152" s="0" t="inlineStr">
        <is>
          <t>2021</t>
        </is>
      </c>
      <c r="K4152" s="0" t="inlineStr"/>
      <c r="L4152" s="0" t="inlineStr">
        <is>
          <t>1</t>
        </is>
      </c>
    </row>
    <row r="4153">
      <c r="A4153" s="0" t="inlineStr">
        <is>
          <t>Coordinated Clobbering</t>
        </is>
      </c>
      <c r="B4153" s="0" t="inlineStr">
        <is>
          <t>Sorcery</t>
        </is>
      </c>
      <c r="C4153" s="0" t="inlineStr">
        <is>
          <t>Uncommon / Incomum</t>
        </is>
      </c>
      <c r="D4153" s="0" t="inlineStr">
        <is>
          <t>Tap one or two target untapped creatures you control. They each deal damage equal to their power to target creature an opponent controls.</t>
        </is>
      </c>
      <c r="E4153" s="0" t="inlineStr">
        <is>
          <t>{G}</t>
        </is>
      </c>
      <c r="F4153" s="0" t="inlineStr">
        <is>
          <t>Verde</t>
        </is>
      </c>
      <c r="G4153" s="0" t="inlineStr"/>
      <c r="H4153" s="0" t="inlineStr">
        <is>
          <t>Duskmourn: House of Horror (DSK)</t>
        </is>
      </c>
      <c r="I4153" s="0" t="inlineStr">
        <is>
          <t>Não</t>
        </is>
      </c>
      <c r="J4153" s="0" t="inlineStr">
        <is>
          <t>2024</t>
        </is>
      </c>
      <c r="K4153" s="0" t="inlineStr"/>
      <c r="L4153" s="0" t="inlineStr">
        <is>
          <t>1</t>
        </is>
      </c>
    </row>
    <row r="4154">
      <c r="A4154" s="0" t="inlineStr">
        <is>
          <t>Sentinel of the Nameless City / Sentinela da Cidade Sem Nome</t>
        </is>
      </c>
      <c r="B4154" s="0" t="inlineStr">
        <is>
          <t>Creature — Merfolk Warrior Scout / Criatura — Tritão Guerreiro Batedor</t>
        </is>
      </c>
      <c r="C4154" s="0" t="inlineStr">
        <is>
          <t>Rare / Rara</t>
        </is>
      </c>
      <c r="D4154" s="0" t="inlineStr">
        <is>
          <t>Vigilance Whenever this creature enters or attacks, create a Map token. (It's an artifact with "{1}, {T}, Sacrifice this token: Target creature you control explores. Activate only as a sorcery.") / Vigilância Toda vez que Sentinela da Cidade Sem Nome entrar no campo de batalha ou atacar, crie uma ficha de Mapa. (Ela é um artefato com "{1}, {T}, sacrifique este artefato: A criatura alvo que você controla explora. Ative somente como um feitiço".)</t>
        </is>
      </c>
      <c r="E4154" s="0" t="inlineStr">
        <is>
          <t>{2}{G}</t>
        </is>
      </c>
      <c r="F4154" s="0" t="inlineStr">
        <is>
          <t>Verde</t>
        </is>
      </c>
      <c r="G4154" s="0" t="inlineStr"/>
      <c r="H4154" s="0" t="inlineStr">
        <is>
          <t>The Lost Caverns of Ixalan (LCI)</t>
        </is>
      </c>
      <c r="I4154" s="0" t="inlineStr">
        <is>
          <t>Não</t>
        </is>
      </c>
      <c r="J4154" s="0" t="inlineStr">
        <is>
          <t>2023</t>
        </is>
      </c>
      <c r="K4154" s="0" t="inlineStr">
        <is>
          <t>3/4</t>
        </is>
      </c>
      <c r="L4154" s="0" t="inlineStr">
        <is>
          <t>1</t>
        </is>
      </c>
    </row>
    <row r="4155">
      <c r="A4155" s="0" t="inlineStr">
        <is>
          <t>Invasion of Muraganda / Invasão de Muraganda</t>
        </is>
      </c>
      <c r="B4155" s="0" t="inlineStr">
        <is>
          <t>Battle — Siege / Batalha — Cerco</t>
        </is>
      </c>
      <c r="C4155" s="0" t="inlineStr">
        <is>
          <t>Uncommon / Incomum</t>
        </is>
      </c>
      <c r="D4155" s="0" t="inlineStr">
        <is>
          <t>(As a Siege enters, choose an opponent to protect it. You and others can attack it. When it's defeated, exile it, then cast it transformed.) When this Siege enters, put a +1/+1 counter on target creature you control. Then that creature fights up to one target creature you don't control. / (Conforme um Cerco entrar no campo de batalha, escolha um oponente para protegê-lo. Você e outros podem atacá-lo. Quando ele for derrotado, exile-o e depois o conjure transformado.) Quando Invasão de Muraganda entrar no campo de batalha, coloque um marcador +1/+1 na criatura alvo que você controla. Depois, ela luta contra até uma criatura alvo que você não controla.</t>
        </is>
      </c>
      <c r="E4155" s="0" t="inlineStr">
        <is>
          <t>{4}{G}</t>
        </is>
      </c>
      <c r="F4155" s="0" t="inlineStr">
        <is>
          <t>Verde</t>
        </is>
      </c>
      <c r="G4155" s="0" t="inlineStr"/>
      <c r="H4155" s="0" t="inlineStr">
        <is>
          <t>March of the Machine (MOM)</t>
        </is>
      </c>
      <c r="I4155" s="0" t="inlineStr">
        <is>
          <t>Não</t>
        </is>
      </c>
      <c r="J4155" s="0" t="inlineStr">
        <is>
          <t>2023</t>
        </is>
      </c>
      <c r="K4155" s="0" t="inlineStr"/>
      <c r="L4155" s="0" t="inlineStr">
        <is>
          <t>1</t>
        </is>
      </c>
    </row>
    <row r="4156">
      <c r="A4156" s="0" t="inlineStr">
        <is>
          <t>Herbology Instructor / Instrutor de Herbologia</t>
        </is>
      </c>
      <c r="B4156" s="0" t="inlineStr">
        <is>
          <t>Creature — Treefolk Druid / Criatura — Ent Druida</t>
        </is>
      </c>
      <c r="C4156" s="0" t="inlineStr">
        <is>
          <t>Uncommon / Incomum</t>
        </is>
      </c>
      <c r="D4156" s="0" t="inlineStr">
        <is>
          <t>When this creature enters, you gain 3 life. {6}{B/P}: Transform this creature. Activate only as a sorcery. ({B/P} can be paid with either {B} or 2 life.) / Quando Instrutor de Herbologia entra no campo de batalha, você ganha 3 pontos de vida. {6}{B/P}: Transforme Instrutor de Herbologia. Ative somente como um feitiço. ({B/P} pode ser pago com {B} ou 2 pontos de vida.)</t>
        </is>
      </c>
      <c r="E4156" s="0" t="inlineStr">
        <is>
          <t>{1}{G}</t>
        </is>
      </c>
      <c r="F4156" s="0" t="inlineStr">
        <is>
          <t>Preto, Verde</t>
        </is>
      </c>
      <c r="G4156" s="0" t="inlineStr"/>
      <c r="H4156" s="0" t="inlineStr">
        <is>
          <t>March of the Machine (MOM)</t>
        </is>
      </c>
      <c r="I4156" s="0" t="inlineStr">
        <is>
          <t>Não</t>
        </is>
      </c>
      <c r="J4156" s="0" t="inlineStr">
        <is>
          <t>2023</t>
        </is>
      </c>
      <c r="K4156" s="0" t="inlineStr">
        <is>
          <t>1/3</t>
        </is>
      </c>
      <c r="L4156" s="0" t="inlineStr">
        <is>
          <t>1</t>
        </is>
      </c>
    </row>
    <row r="4157">
      <c r="A4157" s="0" t="inlineStr">
        <is>
          <t>Fang Guardian</t>
        </is>
      </c>
      <c r="B4157" s="0" t="inlineStr">
        <is>
          <t>Creature — Ape Druid</t>
        </is>
      </c>
      <c r="C4157" s="0" t="inlineStr">
        <is>
          <t>Uncommon / Incomum</t>
        </is>
      </c>
      <c r="D4157" s="0" t="inlineStr">
        <is>
          <t>Flash When this creature enters, another target creature or Vehicle you control gets +2/+2 until end of turn.</t>
        </is>
      </c>
      <c r="E4157" s="0" t="inlineStr">
        <is>
          <t>{3}{G}</t>
        </is>
      </c>
      <c r="F4157" s="0" t="inlineStr">
        <is>
          <t>Verde</t>
        </is>
      </c>
      <c r="G4157" s="0" t="inlineStr"/>
      <c r="H4157" s="0" t="inlineStr">
        <is>
          <t>Aetherdrift (DFT)</t>
        </is>
      </c>
      <c r="I4157" s="0" t="inlineStr">
        <is>
          <t>Não</t>
        </is>
      </c>
      <c r="J4157" s="0" t="inlineStr">
        <is>
          <t>2025</t>
        </is>
      </c>
      <c r="K4157" s="0" t="inlineStr">
        <is>
          <t>4/2</t>
        </is>
      </c>
      <c r="L4157" s="0" t="inlineStr">
        <is>
          <t>1</t>
        </is>
      </c>
    </row>
    <row r="4158">
      <c r="A4158" s="0" t="inlineStr">
        <is>
          <t>Aloe Alchemist / Alquimista da Babosa</t>
        </is>
      </c>
      <c r="B4158" s="0" t="inlineStr">
        <is>
          <t>Creature — Plant Warlock / Criatura — Planta Bruxo</t>
        </is>
      </c>
      <c r="C4158" s="0" t="inlineStr">
        <is>
          <t>Uncommon / Incomum</t>
        </is>
      </c>
      <c r="D4158" s="0" t="inlineStr">
        <is>
          <t>Trample When this card becomes plotted, target creature gets +3/+2 and gains trample until end of turn. Plot {1}{G} (You may pay {1}{G} and exile this card from your hand. Cast it as a sorcery on a later turn without paying its mana cost. Plot only as a sorcery.) / Atropelar Quando Alquimista da Babosa se torna tramado, a criatura alvo recebe +3/+2 e ganha atropelar até o final do turno. Tramar {1}{G} (Você pode pagar {1}{G} e exilar este card de sua mão. Conjure-o como um feitiço num turno posterior sem pagar seu custo de mana. Trame somente como um feitiço.)</t>
        </is>
      </c>
      <c r="E4158" s="0" t="inlineStr">
        <is>
          <t>{1}{G}</t>
        </is>
      </c>
      <c r="F4158" s="0" t="inlineStr">
        <is>
          <t>Verde</t>
        </is>
      </c>
      <c r="G4158" s="0" t="inlineStr"/>
      <c r="H4158" s="0" t="inlineStr">
        <is>
          <t>Outlaws of Thunder Junction (OTJ)</t>
        </is>
      </c>
      <c r="I4158" s="0" t="inlineStr">
        <is>
          <t>Não</t>
        </is>
      </c>
      <c r="J4158" s="0" t="inlineStr">
        <is>
          <t>2024</t>
        </is>
      </c>
      <c r="K4158" s="0" t="inlineStr">
        <is>
          <t>3/2</t>
        </is>
      </c>
      <c r="L4158" s="0" t="inlineStr">
        <is>
          <t>1</t>
        </is>
      </c>
    </row>
    <row r="4159">
      <c r="A4159" s="0" t="inlineStr">
        <is>
          <t>The Binding of the Titans / O Aprisionamento dos Titãs</t>
        </is>
      </c>
      <c r="B4159" s="0" t="inlineStr">
        <is>
          <t>Enchantment — Saga / Encantamento — Saga</t>
        </is>
      </c>
      <c r="C4159" s="0" t="inlineStr">
        <is>
          <t>Uncommon / Incomum</t>
        </is>
      </c>
      <c r="D4159" s="0" t="inlineStr">
        <is>
          <t>(As this Saga enters and after your draw step, add a lore counter. Sacrifice after III.) I — Each player mills three cards. II — Exile up to two target cards from graveyards. For each creature card exiled this way, you gain 1 life. III — Return target creature or land card from your graveyard to your hand. / (Conforme esta Saga entra e após sua etapa de compra, adicione um marcador de conhecimento. Sacrifique-a após III.) I — Cada jogador coloca os três cards do topo do próprio grimório no próprio cemitério. II — Exile até dois cards alvo de cemitérios. Para cada card de criatura exilado dessa forma, você ganha 1 ponto de vida. III — Devolva o card de criatura ou terreno alvo de seu cemitério para sua mão.</t>
        </is>
      </c>
      <c r="E4159" s="0" t="inlineStr">
        <is>
          <t>{1}{G}</t>
        </is>
      </c>
      <c r="F4159" s="0" t="inlineStr">
        <is>
          <t>Verde</t>
        </is>
      </c>
      <c r="G4159" s="0" t="inlineStr"/>
      <c r="H4159" s="0" t="inlineStr">
        <is>
          <t>Commander Masters (CMM)</t>
        </is>
      </c>
      <c r="I4159" s="0" t="inlineStr">
        <is>
          <t>Não</t>
        </is>
      </c>
      <c r="J4159" s="0" t="inlineStr">
        <is>
          <t>2023</t>
        </is>
      </c>
      <c r="K4159" s="0" t="inlineStr"/>
      <c r="L4159" s="0" t="inlineStr">
        <is>
          <t>1</t>
        </is>
      </c>
    </row>
    <row r="4160">
      <c r="A4160" s="0" t="inlineStr">
        <is>
          <t>The First Iroan Games / Os Primeiros Jogos Iroanos</t>
        </is>
      </c>
      <c r="B4160" s="0" t="inlineStr">
        <is>
          <t>Enchantment — Saga / Encantamento — Saga</t>
        </is>
      </c>
      <c r="C4160" s="0" t="inlineStr">
        <is>
          <t>Rare / Rara</t>
        </is>
      </c>
      <c r="D4160" s="0" t="inlineStr">
        <is>
          <t>(As this Saga enters and after your draw step, add a lore counter. Sacrifice after IV.) I — Create a 1/1 white Human Soldier creature token. II — Put three +1/+1 counters on target creature you control. III — If you control a creature with power 4 or greater, draw two cards. IV — Create a Gold token. (It's an artifact with "Sacrifice this token: Add one mana of any color.") / (Conforme esta Saga entra e após sua etapa de compra, adicione um marcador de conhecimento. Sacrifique-a após IV.) I — Crie uma ficha de criatura branca 1/1 do tipo Humano Soldado. II — Coloque três marcadores +1/+1 na criatura alvo que você controla. III — Se você controlar uma criatura com poder igual ou superior a 4, compre dois cards. IV — Crie uma ficha de Ouro.</t>
        </is>
      </c>
      <c r="E4160" s="0" t="inlineStr">
        <is>
          <t>{2}{G}</t>
        </is>
      </c>
      <c r="F4160" s="0" t="inlineStr">
        <is>
          <t>Verde</t>
        </is>
      </c>
      <c r="G4160" s="0" t="inlineStr"/>
      <c r="H4160" s="0" t="inlineStr">
        <is>
          <t>Theros Beyond Death (THB)</t>
        </is>
      </c>
      <c r="I4160" s="0" t="inlineStr">
        <is>
          <t>Não</t>
        </is>
      </c>
      <c r="J4160" s="0" t="inlineStr">
        <is>
          <t>2020</t>
        </is>
      </c>
      <c r="K4160" s="0" t="inlineStr"/>
      <c r="L4160" s="0" t="inlineStr">
        <is>
          <t>1</t>
        </is>
      </c>
    </row>
    <row r="4161">
      <c r="A4161" s="0" t="inlineStr">
        <is>
          <t>Lys Alana Bowmaster / Arqueiro-Mor de Lys Alana</t>
        </is>
      </c>
      <c r="B4161" s="0" t="inlineStr">
        <is>
          <t>Creature — Elf Archer / Criatura — Elfo Arqueiro</t>
        </is>
      </c>
      <c r="C4161" s="0" t="inlineStr">
        <is>
          <t>Common / Comum</t>
        </is>
      </c>
      <c r="D4161" s="0" t="inlineStr">
        <is>
          <t>Reach Whenever you cast an Elf spell, you may have this creature deal 2 damage to target creature with flying. / Alcance (Esta criatura pode bloquear criaturas com a habilidade de voar.) Toda vez que você joga uma mágica de Elfo, você pode fazer com que Arqueiro-Mor de Lys Alana cause 2 pontos de dano à criatura alvo com a habilidade de voar.</t>
        </is>
      </c>
      <c r="E4161" s="0" t="inlineStr">
        <is>
          <t>{2}{G}</t>
        </is>
      </c>
      <c r="F4161" s="0" t="inlineStr">
        <is>
          <t>Verde</t>
        </is>
      </c>
      <c r="G4161" s="0" t="inlineStr"/>
      <c r="H4161" s="0" t="inlineStr">
        <is>
          <t>Commander Legends (CMR)</t>
        </is>
      </c>
      <c r="I4161" s="0" t="inlineStr">
        <is>
          <t>Não</t>
        </is>
      </c>
      <c r="J4161" s="0" t="inlineStr">
        <is>
          <t>2020</t>
        </is>
      </c>
      <c r="K4161" s="0" t="inlineStr">
        <is>
          <t>2/2</t>
        </is>
      </c>
      <c r="L4161" s="0" t="inlineStr">
        <is>
          <t>1</t>
        </is>
      </c>
    </row>
    <row r="4162">
      <c r="A4162" s="0" t="inlineStr">
        <is>
          <t>Scrounging Bandar / Bandar Surrupiador</t>
        </is>
      </c>
      <c r="B4162" s="0" t="inlineStr">
        <is>
          <t>Creature — Cat Monkey / Criatura — Felino Macaco</t>
        </is>
      </c>
      <c r="C4162" s="0" t="inlineStr">
        <is>
          <t>Common / Comum</t>
        </is>
      </c>
      <c r="D4162" s="0" t="inlineStr">
        <is>
          <t>This creature enters with two +1/+1 counters on it. At the beginning of your upkeep, you may move any number of +1/+1 counters from this creature onto another target creature. / Bandar Surrupiador entra no campo de batalha com dois marcadores +1/+1. No início de sua manutenção, você pode mover qualquer número de marcadores +1/+1 de Bandar Surrupiador para outra criatura alvo.</t>
        </is>
      </c>
      <c r="E4162" s="0" t="inlineStr">
        <is>
          <t>{1}{G}</t>
        </is>
      </c>
      <c r="F4162" s="0" t="inlineStr">
        <is>
          <t>Verde</t>
        </is>
      </c>
      <c r="G4162" s="0" t="inlineStr"/>
      <c r="H4162" s="0" t="inlineStr">
        <is>
          <t>Commander Legends (CMR)</t>
        </is>
      </c>
      <c r="I4162" s="0" t="inlineStr">
        <is>
          <t>Não</t>
        </is>
      </c>
      <c r="J4162" s="0" t="inlineStr">
        <is>
          <t>2020</t>
        </is>
      </c>
      <c r="K4162" s="0" t="inlineStr">
        <is>
          <t>0/0</t>
        </is>
      </c>
      <c r="L4162" s="0" t="inlineStr">
        <is>
          <t>1</t>
        </is>
      </c>
    </row>
    <row r="4163">
      <c r="A4163" s="0" t="inlineStr">
        <is>
          <t>Moldgraf Millipede / Milípede do Cemitério Bolorento</t>
        </is>
      </c>
      <c r="B4163" s="0" t="inlineStr">
        <is>
          <t>Creature — Insect Horror / Criatura — Inseto Horror</t>
        </is>
      </c>
      <c r="C4163" s="0" t="inlineStr">
        <is>
          <t>Common / Comum</t>
        </is>
      </c>
      <c r="D4163" s="0" t="inlineStr">
        <is>
          <t>When this creature enters, mill three cards, then put a +1/+1 counter on this creature for each creature card in your graveyard. (To mill three cards, put the top three cards of your library into your graveyard.) / Quando Milípede do Cemitério Bolorento entrar no campo de batalha, triture três cards e depois coloque um marcador +1/+1 em Milípede do Cemitério Bolorento para cada card de criatura em seu cemitério. (Para triturar um card, coloque o card do topo de seu grimório em seu cemitério.)</t>
        </is>
      </c>
      <c r="E4163" s="0" t="inlineStr">
        <is>
          <t>{4}{G}</t>
        </is>
      </c>
      <c r="F4163" s="0" t="inlineStr">
        <is>
          <t>Verde</t>
        </is>
      </c>
      <c r="G4163" s="0" t="inlineStr"/>
      <c r="H4163" s="0" t="inlineStr">
        <is>
          <t>Innistrad: Crimson Vow (VOW)</t>
        </is>
      </c>
      <c r="I4163" s="0" t="inlineStr">
        <is>
          <t>Não</t>
        </is>
      </c>
      <c r="J4163" s="0" t="inlineStr">
        <is>
          <t>2021</t>
        </is>
      </c>
      <c r="K4163" s="0" t="inlineStr">
        <is>
          <t>2/2</t>
        </is>
      </c>
      <c r="L4163" s="0" t="inlineStr">
        <is>
          <t>1</t>
        </is>
      </c>
    </row>
    <row r="4164">
      <c r="A4164" s="0" t="inlineStr">
        <is>
          <t>Toxic Scorpion / Escorpião Tóxico</t>
        </is>
      </c>
      <c r="B4164" s="0" t="inlineStr">
        <is>
          <t>Creature — Scorpion / Criatura — Escorpião</t>
        </is>
      </c>
      <c r="C4164" s="0" t="inlineStr">
        <is>
          <t>Common / Comum</t>
        </is>
      </c>
      <c r="D4164" s="0" t="inlineStr">
        <is>
          <t>Deathtouch When this creature enters, another target creature you control gains deathtouch until end of turn. / Toque mortífero Quando Escorpião Tóxico entra no campo de batalha, outra criatura alvo que você controla ganha toque mortífero até o final do turno.</t>
        </is>
      </c>
      <c r="E4164" s="0" t="inlineStr">
        <is>
          <t>{1}{G}</t>
        </is>
      </c>
      <c r="F4164" s="0" t="inlineStr">
        <is>
          <t>Verde</t>
        </is>
      </c>
      <c r="G4164" s="0" t="inlineStr"/>
      <c r="H4164" s="0" t="inlineStr">
        <is>
          <t>Innistrad: Crimson Vow (VOW)</t>
        </is>
      </c>
      <c r="I4164" s="0" t="inlineStr">
        <is>
          <t>Não</t>
        </is>
      </c>
      <c r="J4164" s="0" t="inlineStr">
        <is>
          <t>2021</t>
        </is>
      </c>
      <c r="K4164" s="0" t="inlineStr">
        <is>
          <t>1/1</t>
        </is>
      </c>
      <c r="L4164" s="0" t="inlineStr">
        <is>
          <t>1</t>
        </is>
      </c>
    </row>
    <row r="4165">
      <c r="A4165" s="0" t="inlineStr">
        <is>
          <t>Apprentice Sharpshooter / Atiradora de Elite Aprendiz</t>
        </is>
      </c>
      <c r="B4165" s="0" t="inlineStr">
        <is>
          <t>Creature — Human Archer / Criatura — Humano Arqueiro</t>
        </is>
      </c>
      <c r="C4165" s="0" t="inlineStr">
        <is>
          <t>Common / Comum</t>
        </is>
      </c>
      <c r="D4165" s="0" t="inlineStr">
        <is>
          <t>Reach Training (Whenever this creature attacks with another creature with greater power, put a +1/+1 counter on this creature.) / Alcance Treinamento (Toda vez que esta criatura atacar com outra criatura de poder superior, coloque um marcador +1/+1 nesta criatura.)</t>
        </is>
      </c>
      <c r="E4165" s="0" t="inlineStr">
        <is>
          <t>{2}{G}</t>
        </is>
      </c>
      <c r="F4165" s="0" t="inlineStr">
        <is>
          <t>Verde</t>
        </is>
      </c>
      <c r="G4165" s="0" t="inlineStr"/>
      <c r="H4165" s="0" t="inlineStr">
        <is>
          <t>Innistrad: Crimson Vow (VOW)</t>
        </is>
      </c>
      <c r="I4165" s="0" t="inlineStr">
        <is>
          <t>Não</t>
        </is>
      </c>
      <c r="J4165" s="0" t="inlineStr">
        <is>
          <t>2021</t>
        </is>
      </c>
      <c r="K4165" s="0" t="inlineStr">
        <is>
          <t>1/4</t>
        </is>
      </c>
      <c r="L4165" s="0" t="inlineStr">
        <is>
          <t>1</t>
        </is>
      </c>
    </row>
    <row r="4166">
      <c r="A4166" s="0" t="inlineStr">
        <is>
          <t>Sawblade Slinger / Atiradora de Serras</t>
        </is>
      </c>
      <c r="B4166" s="0" t="inlineStr">
        <is>
          <t>Creature — Human Archer / Criatura — Humano Arqueiro</t>
        </is>
      </c>
      <c r="C4166" s="0" t="inlineStr">
        <is>
          <t>Uncommon / Incomum</t>
        </is>
      </c>
      <c r="D4166" s="0" t="inlineStr">
        <is>
          <t>When this creature enters, choose up to one — • Destroy target artifact an opponent controls. • This creature fights target Zombie an opponent controls. / Quando Atiradora de Serras entrar no campo de batalha, escolha até um — • Destrua o artefato alvo que um oponente controla. • Atiradora de Serras luta com o Zumbi alvo que um oponente controla.</t>
        </is>
      </c>
      <c r="E4166" s="0" t="inlineStr">
        <is>
          <t>{3}{G}</t>
        </is>
      </c>
      <c r="F4166" s="0" t="inlineStr">
        <is>
          <t>Verde</t>
        </is>
      </c>
      <c r="G4166" s="0" t="inlineStr"/>
      <c r="H4166" s="0" t="inlineStr">
        <is>
          <t>Innistrad: Crimson Vow (VOW)</t>
        </is>
      </c>
      <c r="I4166" s="0" t="inlineStr">
        <is>
          <t>Não</t>
        </is>
      </c>
      <c r="J4166" s="0" t="inlineStr">
        <is>
          <t>2021</t>
        </is>
      </c>
      <c r="K4166" s="0" t="inlineStr">
        <is>
          <t>4/3</t>
        </is>
      </c>
      <c r="L4166" s="0" t="inlineStr">
        <is>
          <t>1</t>
        </is>
      </c>
    </row>
    <row r="4167">
      <c r="A4167" s="0" t="inlineStr">
        <is>
          <t>Dawnhart Disciple / Discípula Cervo da Aurora</t>
        </is>
      </c>
      <c r="B4167" s="0" t="inlineStr">
        <is>
          <t>Creature — Human Warlock / Criatura — Humano Bruxo</t>
        </is>
      </c>
      <c r="C4167" s="0" t="inlineStr">
        <is>
          <t>Common / Comum</t>
        </is>
      </c>
      <c r="D4167" s="0" t="inlineStr">
        <is>
          <t>Whenever another Human you control enters, this creature gets +1/+1 until end of turn. / Toda vez que outro Humano entra no campo de batalha sob seu controle, Discípula Cervo da Aurora recebe +1/+1 até o final do turno.</t>
        </is>
      </c>
      <c r="E4167" s="0" t="inlineStr">
        <is>
          <t>{1}{G}</t>
        </is>
      </c>
      <c r="F4167" s="0" t="inlineStr">
        <is>
          <t>Verde</t>
        </is>
      </c>
      <c r="G4167" s="0" t="inlineStr"/>
      <c r="H4167" s="0" t="inlineStr">
        <is>
          <t>Innistrad: Crimson Vow (VOW)</t>
        </is>
      </c>
      <c r="I4167" s="0" t="inlineStr">
        <is>
          <t>Não</t>
        </is>
      </c>
      <c r="J4167" s="0" t="inlineStr">
        <is>
          <t>2021</t>
        </is>
      </c>
      <c r="K4167" s="0" t="inlineStr">
        <is>
          <t>2/2</t>
        </is>
      </c>
      <c r="L4167" s="0" t="inlineStr">
        <is>
          <t>1</t>
        </is>
      </c>
    </row>
    <row r="4168">
      <c r="A4168" s="0" t="inlineStr">
        <is>
          <t>Massive Might / Força Possante</t>
        </is>
      </c>
      <c r="B4168" s="0" t="inlineStr">
        <is>
          <t>Instant / Mágica Instantânea</t>
        </is>
      </c>
      <c r="C4168" s="0" t="inlineStr">
        <is>
          <t>Common / Comum</t>
        </is>
      </c>
      <c r="D4168" s="0" t="inlineStr">
        <is>
          <t>Target creature gets +2/+2 and gains trample until end of turn. / A criatura alvo recebe +2/+2 e ganha atropelar até o final do turno.</t>
        </is>
      </c>
      <c r="E4168" s="0" t="inlineStr">
        <is>
          <t>{G}</t>
        </is>
      </c>
      <c r="F4168" s="0" t="inlineStr">
        <is>
          <t>Verde</t>
        </is>
      </c>
      <c r="G4168" s="0" t="inlineStr"/>
      <c r="H4168" s="0" t="inlineStr">
        <is>
          <t>Innistrad: Crimson Vow (VOW)</t>
        </is>
      </c>
      <c r="I4168" s="0" t="inlineStr">
        <is>
          <t>Não</t>
        </is>
      </c>
      <c r="J4168" s="0" t="inlineStr">
        <is>
          <t>2021</t>
        </is>
      </c>
      <c r="K4168" s="0" t="inlineStr"/>
      <c r="L4168" s="0" t="inlineStr">
        <is>
          <t>1</t>
        </is>
      </c>
    </row>
    <row r="4169">
      <c r="A4169" s="0" t="inlineStr">
        <is>
          <t>Rural Recruit / Recruta Rural</t>
        </is>
      </c>
      <c r="B4169" s="0" t="inlineStr">
        <is>
          <t>Creature — Human Peasant / Criatura — Humano Plebeu</t>
        </is>
      </c>
      <c r="C4169" s="0" t="inlineStr">
        <is>
          <t>Common / Comum</t>
        </is>
      </c>
      <c r="D4169" s="0" t="inlineStr">
        <is>
          <t>Training (Whenever this creature attacks with another creature with greater power, put a +1/+1 counter on this creature.) When this creature enters, create a 3/1 green Boar creature token. / Treinamento (Toda vez que esta criatura atacar com outra criatura de poder superior, coloque um marcador +1/+1 nesta criatura.) Quando Recruta Rural entrar no campo de batalha, crie uma ficha de criatura Javali verde 3/1.</t>
        </is>
      </c>
      <c r="E4169" s="0" t="inlineStr">
        <is>
          <t>{3}{G}</t>
        </is>
      </c>
      <c r="F4169" s="0" t="inlineStr">
        <is>
          <t>Verde</t>
        </is>
      </c>
      <c r="G4169" s="0" t="inlineStr"/>
      <c r="H4169" s="0" t="inlineStr">
        <is>
          <t>Innistrad: Crimson Vow (VOW)</t>
        </is>
      </c>
      <c r="I4169" s="0" t="inlineStr">
        <is>
          <t>Não</t>
        </is>
      </c>
      <c r="J4169" s="0" t="inlineStr">
        <is>
          <t>2021</t>
        </is>
      </c>
      <c r="K4169" s="0" t="inlineStr">
        <is>
          <t>1/1</t>
        </is>
      </c>
      <c r="L4169" s="0" t="inlineStr">
        <is>
          <t>1</t>
        </is>
      </c>
    </row>
    <row r="4170">
      <c r="A4170" s="0" t="inlineStr">
        <is>
          <t>Mulch / Palha</t>
        </is>
      </c>
      <c r="B4170" s="0" t="inlineStr">
        <is>
          <t>Sorcery / Feitiço</t>
        </is>
      </c>
      <c r="C4170" s="0" t="inlineStr">
        <is>
          <t>Common / Comum</t>
        </is>
      </c>
      <c r="D4170" s="0" t="inlineStr">
        <is>
          <t>Reveal the top four cards of your library. Put all land cards revealed this way into your hand and the rest into your graveyard. / Revele os quatro cards do topo de seu grimório. Coloque todos os cards de terreno revelados desta maneira na sua mão e o restante no seu cemitério.</t>
        </is>
      </c>
      <c r="E4170" s="0" t="inlineStr">
        <is>
          <t>{1}{G}</t>
        </is>
      </c>
      <c r="F4170" s="0" t="inlineStr">
        <is>
          <t>Verde</t>
        </is>
      </c>
      <c r="G4170" s="0" t="inlineStr"/>
      <c r="H4170" s="0" t="inlineStr">
        <is>
          <t>Innistrad: Crimson Vow (VOW)</t>
        </is>
      </c>
      <c r="I4170" s="0" t="inlineStr">
        <is>
          <t>Não</t>
        </is>
      </c>
      <c r="J4170" s="0" t="inlineStr">
        <is>
          <t>2021</t>
        </is>
      </c>
      <c r="K4170" s="0" t="inlineStr"/>
      <c r="L4170" s="0" t="inlineStr">
        <is>
          <t>1</t>
        </is>
      </c>
    </row>
    <row r="4171">
      <c r="A4171" s="0" t="inlineStr">
        <is>
          <t>Bramble Armor / Armadura de Espinheiro</t>
        </is>
      </c>
      <c r="B4171" s="0" t="inlineStr">
        <is>
          <t>Artifact — Equipment / Artefato — Equipamento</t>
        </is>
      </c>
      <c r="C4171" s="0" t="inlineStr">
        <is>
          <t>Common / Comum</t>
        </is>
      </c>
      <c r="D4171" s="0" t="inlineStr">
        <is>
          <t>When this Equipment enters, attach it to target creature you control. Equipped creature gets +2/+1. Equip {4} ({4}: Attach to target creature you control. Equip only as a sorcery.) / Quando Armadura de Espinheiro entrar no campo de batalha, anexe-a à criatura alvo que você controla. A criatura equipada recebe +2/+1. Equipar {4} ({4}: Anexe este equipamento à criatura alvo que você controla. Equipe somente como um feitiço.)</t>
        </is>
      </c>
      <c r="E4171" s="0" t="inlineStr">
        <is>
          <t>{1}{G}</t>
        </is>
      </c>
      <c r="F4171" s="0" t="inlineStr">
        <is>
          <t>Verde</t>
        </is>
      </c>
      <c r="G4171" s="0" t="inlineStr"/>
      <c r="H4171" s="0" t="inlineStr">
        <is>
          <t>Innistrad: Crimson Vow (VOW)</t>
        </is>
      </c>
      <c r="I4171" s="0" t="inlineStr">
        <is>
          <t>Não</t>
        </is>
      </c>
      <c r="J4171" s="0" t="inlineStr">
        <is>
          <t>2021</t>
        </is>
      </c>
      <c r="K4171" s="0" t="inlineStr"/>
      <c r="L4171" s="0" t="inlineStr">
        <is>
          <t>1</t>
        </is>
      </c>
    </row>
    <row r="4172">
      <c r="A4172" s="0" t="inlineStr">
        <is>
          <t>Staunch Throneguard / Guarda do Trono Inabalável</t>
        </is>
      </c>
      <c r="B4172" s="0" t="inlineStr">
        <is>
          <t>Artifact Creature — Construct / Criatura Artefato — Constructo</t>
        </is>
      </c>
      <c r="C4172" s="0" t="inlineStr">
        <is>
          <t>Common / Comum</t>
        </is>
      </c>
      <c r="D4172" s="0" t="inlineStr">
        <is>
          <t>Vigilance When this creature enters, you become the monarch. / Vigilância Quando Guarda do Trono Inabalável entra no campo de batalha, você se torna o monarca.</t>
        </is>
      </c>
      <c r="E4172" s="0" t="inlineStr">
        <is>
          <t>{5}</t>
        </is>
      </c>
      <c r="F4172" s="0" t="inlineStr">
        <is>
          <t>Incolor</t>
        </is>
      </c>
      <c r="G4172" s="0" t="inlineStr"/>
      <c r="H4172" s="0" t="inlineStr">
        <is>
          <t>Commander Masters (CMM)</t>
        </is>
      </c>
      <c r="I4172" s="0" t="inlineStr">
        <is>
          <t>Não</t>
        </is>
      </c>
      <c r="J4172" s="0" t="inlineStr">
        <is>
          <t>2023</t>
        </is>
      </c>
      <c r="K4172" s="0" t="inlineStr">
        <is>
          <t>2/5</t>
        </is>
      </c>
      <c r="L4172" s="0" t="inlineStr">
        <is>
          <t>1</t>
        </is>
      </c>
    </row>
    <row r="4173">
      <c r="A4173" s="0" t="inlineStr">
        <is>
          <t>Unstable Obelisk / Obelisco Instável</t>
        </is>
      </c>
      <c r="B4173" s="0" t="inlineStr">
        <is>
          <t>Artifact / Artefato</t>
        </is>
      </c>
      <c r="C4173" s="0" t="inlineStr">
        <is>
          <t>Common / Comum</t>
        </is>
      </c>
      <c r="D4173" s="0" t="inlineStr">
        <is>
          <t>{T}: Add {C}. {7}, {T}, Sacrifice this artifact: Destroy target permanent. / {T}: Adicione {C}. {7}, {T}, sacrifique Obelisco Instável: Destrua a permanente alvo.</t>
        </is>
      </c>
      <c r="E4173" s="0" t="inlineStr">
        <is>
          <t>{3}</t>
        </is>
      </c>
      <c r="F4173" s="0" t="inlineStr">
        <is>
          <t>Incolor</t>
        </is>
      </c>
      <c r="G4173" s="0" t="inlineStr"/>
      <c r="H4173" s="0" t="inlineStr">
        <is>
          <t>Commander Masters (CMM)</t>
        </is>
      </c>
      <c r="I4173" s="0" t="inlineStr">
        <is>
          <t>Não</t>
        </is>
      </c>
      <c r="J4173" s="0" t="inlineStr">
        <is>
          <t>2023</t>
        </is>
      </c>
      <c r="K4173" s="0" t="inlineStr"/>
      <c r="L4173" s="0" t="inlineStr">
        <is>
          <t>1</t>
        </is>
      </c>
    </row>
    <row r="4174">
      <c r="A4174" s="0" t="inlineStr">
        <is>
          <t>Goldvein Pick / Picareta de Veio D'ouro</t>
        </is>
      </c>
      <c r="B4174" s="0" t="inlineStr">
        <is>
          <t>Artifact — Equipment / Artefato — Equipamento</t>
        </is>
      </c>
      <c r="C4174" s="0" t="inlineStr">
        <is>
          <t>Common / Comum</t>
        </is>
      </c>
      <c r="D4174" s="0" t="inlineStr">
        <is>
          <t>Equipped creature gets +1/+1. Whenever equipped creature deals combat damage to a player, create a Treasure token. (It's an artifact with "{T}, Sacrifice this token: Add one mana of any color.") Equip {1} ({1}: Attach to target creature you control. Equip only as a sorcery.) / A criatura equipada recebe +1/+1. Toda vez que a criatura equipada causar dano de combate a um jogador, crie uma ficha de Tesouro. (Ela é um artefato com "{T}, sacrifique este artefato: Adicione um mana de qualquer cor".) Equipar {1} ({1}: Anexe este equipamento à criatura alvo que você controla. Equipe somente como um feitiço.)</t>
        </is>
      </c>
      <c r="E4174" s="0" t="inlineStr">
        <is>
          <t>{2}</t>
        </is>
      </c>
      <c r="F4174" s="0" t="inlineStr">
        <is>
          <t>Incolor</t>
        </is>
      </c>
      <c r="G4174" s="0" t="inlineStr"/>
      <c r="H4174" s="0" t="inlineStr">
        <is>
          <t>Kaldheim (KHM)</t>
        </is>
      </c>
      <c r="I4174" s="0" t="inlineStr">
        <is>
          <t>Não</t>
        </is>
      </c>
      <c r="J4174" s="0" t="inlineStr">
        <is>
          <t>2021</t>
        </is>
      </c>
      <c r="K4174" s="0" t="inlineStr"/>
      <c r="L4174" s="0" t="inlineStr">
        <is>
          <t>1</t>
        </is>
      </c>
    </row>
    <row r="4175">
      <c r="A4175" s="0" t="inlineStr">
        <is>
          <t>Sandstone Oracle / Oráculo de Arenito</t>
        </is>
      </c>
      <c r="B4175" s="0" t="inlineStr">
        <is>
          <t>Artifact Creature — Sphinx / Criatura Artefato — Esfinge</t>
        </is>
      </c>
      <c r="C4175" s="0" t="inlineStr">
        <is>
          <t>Uncommon / Incomum</t>
        </is>
      </c>
      <c r="D4175" s="0" t="inlineStr">
        <is>
          <t>Flying When this creature enters, choose an opponent. If that player has more cards in hand than you, draw cards equal to the difference. / Voar Quando Oráculo de Arenito entrar no campo de batalha, escolha um oponente. Se aquele jogador tiver mais cards na mão do que você, compre um número de cards igual à diferença.</t>
        </is>
      </c>
      <c r="E4175" s="0" t="inlineStr">
        <is>
          <t>{7}</t>
        </is>
      </c>
      <c r="F4175" s="0" t="inlineStr">
        <is>
          <t>Incolor</t>
        </is>
      </c>
      <c r="G4175" s="0" t="inlineStr"/>
      <c r="H4175" s="0" t="inlineStr">
        <is>
          <t>Commander Masters (CMM)</t>
        </is>
      </c>
      <c r="I4175" s="0" t="inlineStr">
        <is>
          <t>Não</t>
        </is>
      </c>
      <c r="J4175" s="0" t="inlineStr">
        <is>
          <t>2023</t>
        </is>
      </c>
      <c r="K4175" s="0" t="inlineStr">
        <is>
          <t>4/4</t>
        </is>
      </c>
      <c r="L4175" s="0" t="inlineStr">
        <is>
          <t>1</t>
        </is>
      </c>
    </row>
    <row r="4176">
      <c r="A4176" s="0" t="inlineStr">
        <is>
          <t>Explorer's Scope / Escopo do Explorador</t>
        </is>
      </c>
      <c r="B4176" s="0" t="inlineStr">
        <is>
          <t>Artifact — Equipment / Artefato — Equipamento</t>
        </is>
      </c>
      <c r="C4176" s="0" t="inlineStr">
        <is>
          <t>Common / Comum</t>
        </is>
      </c>
      <c r="D4176" s="0" t="inlineStr">
        <is>
          <t>Whenever equipped creature attacks, look at the top card of your library. If it's a land card, you may put it onto the battlefield tapped. Equip {1} ({1}: Attach to target creature you control. Equip only as a sorcery.) / Toda vez que a criatura equipada atacar, olhe o card do topo de seu grimório. Se for um card de terreno, você poderá colocá-lo no campo de batalha virado. Equipar {1} ({1}: Anexe este equipamento à criatura alvo que você controla. Equipe somente como um feitiço.)</t>
        </is>
      </c>
      <c r="E4176" s="0" t="inlineStr">
        <is>
          <t>{1}</t>
        </is>
      </c>
      <c r="F4176" s="0" t="inlineStr">
        <is>
          <t>Incolor</t>
        </is>
      </c>
      <c r="G4176" s="0" t="inlineStr"/>
      <c r="H4176" s="0" t="inlineStr">
        <is>
          <t>Commander Masters (CMM)</t>
        </is>
      </c>
      <c r="I4176" s="0" t="inlineStr">
        <is>
          <t>Não</t>
        </is>
      </c>
      <c r="J4176" s="0" t="inlineStr">
        <is>
          <t>2023</t>
        </is>
      </c>
      <c r="K4176" s="0" t="inlineStr"/>
      <c r="L4176" s="0" t="inlineStr">
        <is>
          <t>1</t>
        </is>
      </c>
    </row>
    <row r="4177">
      <c r="A4177" s="0" t="inlineStr">
        <is>
          <t>Campfire / Fogueira</t>
        </is>
      </c>
      <c r="B4177" s="0" t="inlineStr">
        <is>
          <t>Artifact / Artefato</t>
        </is>
      </c>
      <c r="C4177" s="0" t="inlineStr">
        <is>
          <t>Common / Comum</t>
        </is>
      </c>
      <c r="D4177" s="0" t="inlineStr">
        <is>
          <t>{1}, {T}: You gain 2 life. {2}, {T}, Exile this artifact: Put all commanders you own from the command zone and from your graveyard into your hand. Then shuffle your graveyard into your library. / {1}, {T}: Você ganha 2 pontos de vida. {2}, {T}, exile Fogueira: Coloque em sua mão todos os comandantes que você possui na zona de comando e no seu cemitério. Depois embaralhe seu cemitério em seu grimório.</t>
        </is>
      </c>
      <c r="E4177" s="0" t="inlineStr">
        <is>
          <t>{1}</t>
        </is>
      </c>
      <c r="F4177" s="0" t="inlineStr">
        <is>
          <t>Incolor</t>
        </is>
      </c>
      <c r="G4177" s="0" t="inlineStr"/>
      <c r="H4177" s="0" t="inlineStr">
        <is>
          <t>Commander Masters (CMM)</t>
        </is>
      </c>
      <c r="I4177" s="0" t="inlineStr">
        <is>
          <t>Não</t>
        </is>
      </c>
      <c r="J4177" s="0" t="inlineStr">
        <is>
          <t>2023</t>
        </is>
      </c>
      <c r="K4177" s="0" t="inlineStr"/>
      <c r="L4177" s="0" t="inlineStr">
        <is>
          <t>1</t>
        </is>
      </c>
    </row>
    <row r="4178">
      <c r="A4178" s="0" t="inlineStr">
        <is>
          <t>Meteor Golem / Golem Meteórico</t>
        </is>
      </c>
      <c r="B4178" s="0" t="inlineStr">
        <is>
          <t>Artifact Creature — Golem / Criatura Artefato — Golem</t>
        </is>
      </c>
      <c r="C4178" s="0" t="inlineStr">
        <is>
          <t>Uncommon / Incomum</t>
        </is>
      </c>
      <c r="D4178" s="0" t="inlineStr">
        <is>
          <t>When this creature enters, destroy target nonland permanent an opponent controls. / Quando Golem Meteórico entrar no campo de batalha, destrua a permanente alvo que um oponente controla que não seja um terreno.</t>
        </is>
      </c>
      <c r="E4178" s="0" t="inlineStr">
        <is>
          <t>{7}</t>
        </is>
      </c>
      <c r="F4178" s="0" t="inlineStr">
        <is>
          <t>Incolor</t>
        </is>
      </c>
      <c r="G4178" s="0" t="inlineStr"/>
      <c r="H4178" s="0" t="inlineStr">
        <is>
          <t>Commander Masters (CMM)</t>
        </is>
      </c>
      <c r="I4178" s="0" t="inlineStr">
        <is>
          <t>Não</t>
        </is>
      </c>
      <c r="J4178" s="0" t="inlineStr">
        <is>
          <t>2023</t>
        </is>
      </c>
      <c r="K4178" s="0" t="inlineStr">
        <is>
          <t>3/3</t>
        </is>
      </c>
      <c r="L4178" s="0" t="inlineStr">
        <is>
          <t>1</t>
        </is>
      </c>
    </row>
    <row r="4179">
      <c r="A4179" s="0" t="inlineStr">
        <is>
          <t>Solar Transformer / Transformador Solar</t>
        </is>
      </c>
      <c r="B4179" s="0" t="inlineStr">
        <is>
          <t>Artifact / Artefato</t>
        </is>
      </c>
      <c r="C4179" s="0" t="inlineStr">
        <is>
          <t>Uncommon / Incomum</t>
        </is>
      </c>
      <c r="D4179" s="0" t="inlineStr">
        <is>
          <t>This artifact enters tapped. When this artifact enters, you get {E}{E}{E} (three energy counters). {T}: Add {C}. {T}, Pay {E}: Add one mana of any color. / Transformador Solar entra no campo de batalha virado. Quando Transformador Solar entra no campo de batalha, você recebe {E}{E}{E} (três marcadores de energia). {T}: Adicione {C}. {T}, pague {E}: Adicione um mana de qualquer cor.</t>
        </is>
      </c>
      <c r="E4179" s="0" t="inlineStr">
        <is>
          <t>{2}</t>
        </is>
      </c>
      <c r="F4179" s="0" t="inlineStr">
        <is>
          <t>Incolor</t>
        </is>
      </c>
      <c r="G4179" s="0" t="inlineStr"/>
      <c r="H4179" s="0" t="inlineStr">
        <is>
          <t>Modern Horizons 3 (MH3)</t>
        </is>
      </c>
      <c r="I4179" s="0" t="inlineStr">
        <is>
          <t>Sim</t>
        </is>
      </c>
      <c r="J4179" s="0" t="inlineStr">
        <is>
          <t>2024</t>
        </is>
      </c>
      <c r="K4179" s="0" t="inlineStr"/>
      <c r="L4179" s="0" t="inlineStr">
        <is>
          <t>1</t>
        </is>
      </c>
    </row>
    <row r="4180">
      <c r="A4180" s="0" t="inlineStr">
        <is>
          <t>Skybox Ferry</t>
        </is>
      </c>
      <c r="B4180" s="0" t="inlineStr">
        <is>
          <t>Artifact — Vehicle</t>
        </is>
      </c>
      <c r="C4180" s="0" t="inlineStr">
        <is>
          <t>Common / Comum</t>
        </is>
      </c>
      <c r="D4180" s="0" t="inlineStr">
        <is>
          <t>Flying Crew 2 (Tap any number of creatures you control with total power 2 or more: This Vehicle becomes an artifact creature until end of turn.) Cycling {2} ({2}, Discard this card: Draw a card.)</t>
        </is>
      </c>
      <c r="E4180" s="0" t="inlineStr">
        <is>
          <t>{5}</t>
        </is>
      </c>
      <c r="F4180" s="0" t="inlineStr">
        <is>
          <t>Incolor</t>
        </is>
      </c>
      <c r="G4180" s="0" t="inlineStr"/>
      <c r="H4180" s="0" t="inlineStr">
        <is>
          <t>Aetherdrift (DFT)</t>
        </is>
      </c>
      <c r="I4180" s="0" t="inlineStr">
        <is>
          <t>Não</t>
        </is>
      </c>
      <c r="J4180" s="0" t="inlineStr">
        <is>
          <t>2025</t>
        </is>
      </c>
      <c r="K4180" s="0" t="inlineStr">
        <is>
          <t>4/4</t>
        </is>
      </c>
      <c r="L4180" s="0" t="inlineStr">
        <is>
          <t>1</t>
        </is>
      </c>
    </row>
    <row r="4181">
      <c r="A4181" s="0" t="inlineStr">
        <is>
          <t>Keys to the House</t>
        </is>
      </c>
      <c r="B4181" s="0" t="inlineStr">
        <is>
          <t>Artifact</t>
        </is>
      </c>
      <c r="C4181" s="0" t="inlineStr">
        <is>
          <t>Uncommon / Incomum</t>
        </is>
      </c>
      <c r="D4181" s="0" t="inlineStr">
        <is>
          <t>{1}, {T}, Sacrifice this artifact: Search your library for a basic land card, reveal it, put it into your hand, then shuffle. {3}, {T}, Sacrifice this artifact: Lock or unlock a door of target Room you control. Activate only as a sorcery.</t>
        </is>
      </c>
      <c r="E4181" s="0" t="inlineStr">
        <is>
          <t>{1}</t>
        </is>
      </c>
      <c r="F4181" s="0" t="inlineStr">
        <is>
          <t>Incolor</t>
        </is>
      </c>
      <c r="G4181" s="0" t="inlineStr"/>
      <c r="H4181" s="0" t="inlineStr">
        <is>
          <t>Duskmourn: House of Horror (DSK)</t>
        </is>
      </c>
      <c r="I4181" s="0" t="inlineStr">
        <is>
          <t>Não</t>
        </is>
      </c>
      <c r="J4181" s="0" t="inlineStr">
        <is>
          <t>2024</t>
        </is>
      </c>
      <c r="K4181" s="0" t="inlineStr"/>
      <c r="L4181" s="0" t="inlineStr">
        <is>
          <t>1</t>
        </is>
      </c>
    </row>
    <row r="4182">
      <c r="A4182" s="0" t="inlineStr">
        <is>
          <t>Shambling Suit / Armadura em Frangalhos</t>
        </is>
      </c>
      <c r="B4182" s="0" t="inlineStr">
        <is>
          <t>Artifact Creature — Construct / Criatura Artefato — Constructo</t>
        </is>
      </c>
      <c r="C4182" s="0" t="inlineStr">
        <is>
          <t>Uncommon / Incomum</t>
        </is>
      </c>
      <c r="D4182" s="0" t="inlineStr">
        <is>
          <t>Shambling Suit's power is equal to the number of artifacts and/or enchantments you control. / O poder de Armadura em Frangalhos é igual ao número de artefatos e/ou encantamentos que você controla.</t>
        </is>
      </c>
      <c r="E4182" s="0" t="inlineStr">
        <is>
          <t>{3}</t>
        </is>
      </c>
      <c r="F4182" s="0" t="inlineStr">
        <is>
          <t>Incolor</t>
        </is>
      </c>
      <c r="G4182" s="0" t="inlineStr"/>
      <c r="H4182" s="0" t="inlineStr">
        <is>
          <t>Throne of Eldraine (ELD)</t>
        </is>
      </c>
      <c r="I4182" s="0" t="inlineStr">
        <is>
          <t>Não</t>
        </is>
      </c>
      <c r="J4182" s="0" t="inlineStr">
        <is>
          <t>2019</t>
        </is>
      </c>
      <c r="K4182" s="0" t="inlineStr">
        <is>
          <t>*/3</t>
        </is>
      </c>
      <c r="L4182" s="0" t="inlineStr">
        <is>
          <t>1</t>
        </is>
      </c>
    </row>
    <row r="4183">
      <c r="A4183" s="0" t="inlineStr">
        <is>
          <t>Dross Skullbomb / Bombacrânio de Dross</t>
        </is>
      </c>
      <c r="B4183" s="0" t="inlineStr">
        <is>
          <t>Artifact / Artefato</t>
        </is>
      </c>
      <c r="C4183" s="0" t="inlineStr">
        <is>
          <t>Common / Comum</t>
        </is>
      </c>
      <c r="D4183" s="0" t="inlineStr">
        <is>
          <t>{1}, Sacrifice this artifact: Draw a card. {2}{B}, Sacrifice this artifact: Return target creature card from your graveyard to your hand. Draw a card. Activate only as a sorcery. / {1}, sacrifique Bombacrânio de Dross: Compre um card. {2}{B}, sacrifique Bombacrânio de Dross: Devolva o card de criatura alvo de seu cemitério para sua mão. Compre um card. Ative somente como um feitiço.</t>
        </is>
      </c>
      <c r="E4183" s="0" t="inlineStr">
        <is>
          <t>{1}</t>
        </is>
      </c>
      <c r="F4183" s="0" t="inlineStr">
        <is>
          <t>Preto</t>
        </is>
      </c>
      <c r="G4183" s="0" t="inlineStr"/>
      <c r="H4183" s="0" t="inlineStr">
        <is>
          <t>Phyrexia: All Will Be One (ONE)</t>
        </is>
      </c>
      <c r="I4183" s="0" t="inlineStr">
        <is>
          <t>Não</t>
        </is>
      </c>
      <c r="J4183" s="0" t="inlineStr">
        <is>
          <t>2023</t>
        </is>
      </c>
      <c r="K4183" s="0" t="inlineStr"/>
      <c r="L4183" s="0" t="inlineStr">
        <is>
          <t>1</t>
        </is>
      </c>
    </row>
    <row r="4184">
      <c r="A4184" s="0" t="inlineStr">
        <is>
          <t>Metalspinner's Puzzleknot / Quebra-cabeça do Metalofiador</t>
        </is>
      </c>
      <c r="B4184" s="0" t="inlineStr">
        <is>
          <t>Artifact / Artefato</t>
        </is>
      </c>
      <c r="C4184" s="0" t="inlineStr">
        <is>
          <t>Common / Comum</t>
        </is>
      </c>
      <c r="D4184" s="0" t="inlineStr">
        <is>
          <t>When this artifact enters, you draw a card and you lose 1 life. {2}{B}, Sacrifice this artifact: You draw a card and you lose 1 life. / Quando Quebra-cabeça do Metalofiador entra no campo de batalha, você compra um card e perde 1 ponto de vida. {2}{B}, Sacrifique Quebra-cabeça do Metalofiador: Você compra um card e perde 1 ponto de vida.</t>
        </is>
      </c>
      <c r="E4184" s="0" t="inlineStr">
        <is>
          <t>{2}</t>
        </is>
      </c>
      <c r="F4184" s="0" t="inlineStr">
        <is>
          <t>Preto</t>
        </is>
      </c>
      <c r="G4184" s="0" t="inlineStr"/>
      <c r="H4184" s="0" t="inlineStr">
        <is>
          <t>Kaladesh (KLD)</t>
        </is>
      </c>
      <c r="I4184" s="0" t="inlineStr">
        <is>
          <t>Não</t>
        </is>
      </c>
      <c r="J4184" s="0" t="inlineStr">
        <is>
          <t>2016</t>
        </is>
      </c>
      <c r="K4184" s="0" t="inlineStr"/>
      <c r="L4184" s="0" t="inlineStr">
        <is>
          <t>1</t>
        </is>
      </c>
    </row>
    <row r="4185">
      <c r="A4185" s="0" t="inlineStr">
        <is>
          <t>Wumpus Aberration / Wumpus Aberração</t>
        </is>
      </c>
      <c r="B4185" s="0" t="inlineStr">
        <is>
          <t>Creature — Eldrazi Beast / Criatura — Eldrazi Besta</t>
        </is>
      </c>
      <c r="C4185" s="0" t="inlineStr">
        <is>
          <t>Uncommon / Incomum</t>
        </is>
      </c>
      <c r="D4185" s="0" t="inlineStr">
        <is>
          <t>Devoid (This card has no color.) When you cast this spell, if {C} wasn't spent to cast it, target opponent may put a creature card from their hand onto the battlefield. Trample / Desprovido (Este card não tem cor.) Quando você conjura esta mágica, se {C} não tiver sido gasto para conjurá-la, o oponente alvo pode colocar um card de criatura da própria mão no campo de batalha. Atropelar</t>
        </is>
      </c>
      <c r="E4185" s="0" t="inlineStr">
        <is>
          <t>{3}{G}</t>
        </is>
      </c>
      <c r="F4185" s="0" t="inlineStr">
        <is>
          <t>Verde</t>
        </is>
      </c>
      <c r="G4185" s="0" t="inlineStr"/>
      <c r="H4185" s="0" t="inlineStr">
        <is>
          <t>Modern Horizons 3 (MH3)</t>
        </is>
      </c>
      <c r="I4185" s="0" t="inlineStr">
        <is>
          <t>Não</t>
        </is>
      </c>
      <c r="J4185" s="0" t="inlineStr">
        <is>
          <t>2024</t>
        </is>
      </c>
      <c r="K4185" s="0" t="inlineStr">
        <is>
          <t>6/6</t>
        </is>
      </c>
      <c r="L4185" s="0" t="inlineStr">
        <is>
          <t>1</t>
        </is>
      </c>
    </row>
    <row r="4186">
      <c r="A4186" s="0" t="inlineStr">
        <is>
          <t>Lens Flare / Reflexo da Lente</t>
        </is>
      </c>
      <c r="B4186" s="0" t="inlineStr">
        <is>
          <t>Instant / Mágica Instantânea</t>
        </is>
      </c>
      <c r="C4186" s="0" t="inlineStr">
        <is>
          <t>Common / Comum</t>
        </is>
      </c>
      <c r="D4186" s="0" t="inlineStr">
        <is>
          <t>Affinity for artifacts (This spell costs {1} less to cast for each artifact you control.) Lens Flare deals 5 damage to target attacking or blocking creature. / Afinidade por artefatos Reflexo da Lente causa 5 pontos de dano à criatura atacante ou bloqueadora alvo.</t>
        </is>
      </c>
      <c r="E4186" s="0" t="inlineStr">
        <is>
          <t>{4}{W}</t>
        </is>
      </c>
      <c r="F4186" s="0" t="inlineStr">
        <is>
          <t>Branco</t>
        </is>
      </c>
      <c r="G4186" s="0" t="inlineStr"/>
      <c r="H4186" s="0" t="inlineStr">
        <is>
          <t>Modern Horizons 2 (MH2)</t>
        </is>
      </c>
      <c r="I4186" s="0" t="inlineStr">
        <is>
          <t>Não</t>
        </is>
      </c>
      <c r="J4186" s="0" t="inlineStr">
        <is>
          <t>2021</t>
        </is>
      </c>
      <c r="K4186" s="0" t="inlineStr"/>
      <c r="L4186" s="0" t="inlineStr">
        <is>
          <t>1</t>
        </is>
      </c>
    </row>
    <row r="4187">
      <c r="A4187" s="0" t="inlineStr">
        <is>
          <t>Nettle Swine / Suíno da Urtiga</t>
        </is>
      </c>
      <c r="B4187" s="0" t="inlineStr">
        <is>
          <t>Creature — Boar / Criatura — Javali</t>
        </is>
      </c>
      <c r="C4187" s="0" t="inlineStr">
        <is>
          <t>Common / Comum</t>
        </is>
      </c>
      <c r="D4187" s="0" t="inlineStr"/>
      <c r="E4187" s="0" t="inlineStr">
        <is>
          <t>{3}{G}</t>
        </is>
      </c>
      <c r="F4187" s="0" t="inlineStr">
        <is>
          <t>Verde</t>
        </is>
      </c>
      <c r="G4187" s="0" t="inlineStr"/>
      <c r="H4187" s="0" t="inlineStr">
        <is>
          <t>Avacyn Restored (AVR)</t>
        </is>
      </c>
      <c r="I4187" s="0" t="inlineStr">
        <is>
          <t>Não</t>
        </is>
      </c>
      <c r="J4187" s="0" t="inlineStr">
        <is>
          <t>2012</t>
        </is>
      </c>
      <c r="K4187" s="0" t="inlineStr">
        <is>
          <t>4/3</t>
        </is>
      </c>
      <c r="L4187" s="0" t="inlineStr">
        <is>
          <t>1</t>
        </is>
      </c>
    </row>
    <row r="4188">
      <c r="A4188" s="0" t="inlineStr">
        <is>
          <t>Druid of the Cowl / Druida do Capote</t>
        </is>
      </c>
      <c r="B4188" s="0" t="inlineStr">
        <is>
          <t>Creature — Elf Druid / Criatura — Elfo Druida</t>
        </is>
      </c>
      <c r="C4188" s="0" t="inlineStr">
        <is>
          <t>Common / Comum</t>
        </is>
      </c>
      <c r="D4188" s="0" t="inlineStr">
        <is>
          <t>{T}: Add {G}. / {T}: Adicione {G} à sua reserva de mana.</t>
        </is>
      </c>
      <c r="E4188" s="0" t="inlineStr">
        <is>
          <t>{1}{G}</t>
        </is>
      </c>
      <c r="F4188" s="0" t="inlineStr">
        <is>
          <t>Verde</t>
        </is>
      </c>
      <c r="G4188" s="0" t="inlineStr"/>
      <c r="H4188" s="0" t="inlineStr">
        <is>
          <t>Aether Revolt (AER)</t>
        </is>
      </c>
      <c r="I4188" s="0" t="inlineStr">
        <is>
          <t>Não</t>
        </is>
      </c>
      <c r="J4188" s="0" t="inlineStr">
        <is>
          <t>2017</t>
        </is>
      </c>
      <c r="K4188" s="0" t="inlineStr">
        <is>
          <t>1/3</t>
        </is>
      </c>
      <c r="L4188" s="0" t="inlineStr">
        <is>
          <t>1</t>
        </is>
      </c>
    </row>
    <row r="4189">
      <c r="A4189" s="0" t="inlineStr">
        <is>
          <t>Krosan Druid / Druida Krosana</t>
        </is>
      </c>
      <c r="B4189" s="0" t="inlineStr">
        <is>
          <t>Creature — Centaur Druid / Criatura — Centauro Druida</t>
        </is>
      </c>
      <c r="C4189" s="0" t="inlineStr">
        <is>
          <t>Common / Comum</t>
        </is>
      </c>
      <c r="D4189" s="0" t="inlineStr">
        <is>
          <t>Kicker {4}{G} (You may pay an additional {4}{G} as you cast this spell.) When this creature enters, if it was kicked, you gain 10 life. / Reforçar {4}{G} (Você pode pagar um custo adicional de {4}{G} ao conjurar esta mágica.) Quando Druida Krosana entra no campo de batalha, se ela foi reforçada, você ganha 10 pontos de vida.</t>
        </is>
      </c>
      <c r="E4189" s="0" t="inlineStr">
        <is>
          <t>{2}{G}</t>
        </is>
      </c>
      <c r="F4189" s="0" t="inlineStr">
        <is>
          <t>Verde</t>
        </is>
      </c>
      <c r="G4189" s="0" t="inlineStr"/>
      <c r="H4189" s="0" t="inlineStr">
        <is>
          <t>Dominaria (DOM)</t>
        </is>
      </c>
      <c r="I4189" s="0" t="inlineStr">
        <is>
          <t>Não</t>
        </is>
      </c>
      <c r="J4189" s="0" t="inlineStr">
        <is>
          <t>2018</t>
        </is>
      </c>
      <c r="K4189" s="0" t="inlineStr">
        <is>
          <t>2/3</t>
        </is>
      </c>
      <c r="L4189" s="0" t="inlineStr">
        <is>
          <t>1</t>
        </is>
      </c>
    </row>
    <row r="4190">
      <c r="A4190" s="0" t="inlineStr">
        <is>
          <t>Baloth Gorger / Devorador Baloth</t>
        </is>
      </c>
      <c r="B4190" s="0" t="inlineStr">
        <is>
          <t>Creature — Beast / Criatura — Besta</t>
        </is>
      </c>
      <c r="C4190" s="0" t="inlineStr">
        <is>
          <t>Common / Comum</t>
        </is>
      </c>
      <c r="D4190" s="0" t="inlineStr">
        <is>
          <t>Kicker {4} (You may pay an additional {4} as you cast this spell.) If this creature was kicked, it enters with three +1/+1 counters on it. / Reforçar {4} (Você pode pagar um custo adicional de {4} ao conjurar esta mágica.) Se Devorador Baloth foi reforçado, ele entra no campo de batalha com três marcadores +1/+1.</t>
        </is>
      </c>
      <c r="E4190" s="0" t="inlineStr">
        <is>
          <t>{2}{G}{G}</t>
        </is>
      </c>
      <c r="F4190" s="0" t="inlineStr">
        <is>
          <t>Verde</t>
        </is>
      </c>
      <c r="G4190" s="0" t="inlineStr"/>
      <c r="H4190" s="0" t="inlineStr">
        <is>
          <t>Dominaria (DOM)</t>
        </is>
      </c>
      <c r="I4190" s="0" t="inlineStr">
        <is>
          <t>Não</t>
        </is>
      </c>
      <c r="J4190" s="0" t="inlineStr">
        <is>
          <t>2018</t>
        </is>
      </c>
      <c r="K4190" s="0" t="inlineStr">
        <is>
          <t>4/4</t>
        </is>
      </c>
      <c r="L4190" s="0" t="inlineStr">
        <is>
          <t>1</t>
        </is>
      </c>
    </row>
    <row r="4191">
      <c r="A4191" s="0" t="inlineStr">
        <is>
          <t>Corrosive Ooze / Lodo Corrosivo</t>
        </is>
      </c>
      <c r="B4191" s="0" t="inlineStr">
        <is>
          <t>Creature — Ooze / Criatura — Lodo</t>
        </is>
      </c>
      <c r="C4191" s="0" t="inlineStr">
        <is>
          <t>Common / Comum</t>
        </is>
      </c>
      <c r="D4191" s="0" t="inlineStr">
        <is>
          <t>Whenever this creature blocks or becomes blocked by an equipped creature, destroy all Equipment attached to that creature at end of combat. / Toda vez que Lodo Corrosivo bloquear ou se tornar bloqueado por uma criatura equipada, destrua todos os Equipamentos anexados àquela criatura no final do combate.</t>
        </is>
      </c>
      <c r="E4191" s="0" t="inlineStr">
        <is>
          <t>{1}{G}</t>
        </is>
      </c>
      <c r="F4191" s="0" t="inlineStr">
        <is>
          <t>Verde</t>
        </is>
      </c>
      <c r="G4191" s="0" t="inlineStr"/>
      <c r="H4191" s="0" t="inlineStr">
        <is>
          <t>Dominaria (DOM)</t>
        </is>
      </c>
      <c r="I4191" s="0" t="inlineStr">
        <is>
          <t>Não</t>
        </is>
      </c>
      <c r="J4191" s="0" t="inlineStr">
        <is>
          <t>2018</t>
        </is>
      </c>
      <c r="K4191" s="0" t="inlineStr">
        <is>
          <t>2/2</t>
        </is>
      </c>
      <c r="L4191" s="0" t="inlineStr">
        <is>
          <t>1</t>
        </is>
      </c>
    </row>
    <row r="4192">
      <c r="A4192" s="0" t="inlineStr">
        <is>
          <t>Axebane Beast / Fera de Danação dos Machados</t>
        </is>
      </c>
      <c r="B4192" s="0" t="inlineStr">
        <is>
          <t>Creature — Beast / Criatura — Besta</t>
        </is>
      </c>
      <c r="C4192" s="0" t="inlineStr">
        <is>
          <t>Common / Comum</t>
        </is>
      </c>
      <c r="D4192" s="0" t="inlineStr"/>
      <c r="E4192" s="0" t="inlineStr">
        <is>
          <t>{3}{G}</t>
        </is>
      </c>
      <c r="F4192" s="0" t="inlineStr">
        <is>
          <t>Verde</t>
        </is>
      </c>
      <c r="G4192" s="0" t="inlineStr"/>
      <c r="H4192" s="0" t="inlineStr">
        <is>
          <t>Ravnica Allegiance (RNA)</t>
        </is>
      </c>
      <c r="I4192" s="0" t="inlineStr">
        <is>
          <t>Não</t>
        </is>
      </c>
      <c r="J4192" s="0" t="inlineStr">
        <is>
          <t>2019</t>
        </is>
      </c>
      <c r="K4192" s="0" t="inlineStr">
        <is>
          <t>3/4</t>
        </is>
      </c>
      <c r="L4192" s="0" t="inlineStr">
        <is>
          <t>1</t>
        </is>
      </c>
    </row>
    <row r="4193">
      <c r="A4193" s="0" t="inlineStr">
        <is>
          <t>Winding Way / Caminho Tortuoso</t>
        </is>
      </c>
      <c r="B4193" s="0" t="inlineStr">
        <is>
          <t>Sorcery / Feitiço</t>
        </is>
      </c>
      <c r="C4193" s="0" t="inlineStr">
        <is>
          <t>Common / Comum</t>
        </is>
      </c>
      <c r="D4193" s="0" t="inlineStr">
        <is>
          <t>Choose creature or land. Reveal the top four cards of your library. Put all cards of the chosen type revealed this way into your hand and the rest into your graveyard. / Escolha criatura ou terreno. Revele os quatro cards do topo de seu grimório. Coloque todos os cards com o tipo escolhido revelados desta forma em sua mão e o restante em seu cemitério.</t>
        </is>
      </c>
      <c r="E4193" s="0" t="inlineStr">
        <is>
          <t>{1}{G}</t>
        </is>
      </c>
      <c r="F4193" s="0" t="inlineStr">
        <is>
          <t>Verde</t>
        </is>
      </c>
      <c r="G4193" s="0" t="inlineStr"/>
      <c r="H4193" s="0" t="inlineStr">
        <is>
          <t>Modern Horizons (MH1)</t>
        </is>
      </c>
      <c r="I4193" s="0" t="inlineStr">
        <is>
          <t>Não</t>
        </is>
      </c>
      <c r="J4193" s="0" t="inlineStr">
        <is>
          <t>2019</t>
        </is>
      </c>
      <c r="K4193" s="0" t="inlineStr"/>
      <c r="L4193" s="0" t="inlineStr">
        <is>
          <t>1</t>
        </is>
      </c>
    </row>
    <row r="4194">
      <c r="A4194" s="0" t="inlineStr">
        <is>
          <t>Ancient Brontodon / Brontodonte Ancestral</t>
        </is>
      </c>
      <c r="B4194" s="0" t="inlineStr">
        <is>
          <t>Creature — Dinosaur / Criatura — Dinossauro</t>
        </is>
      </c>
      <c r="C4194" s="0" t="inlineStr">
        <is>
          <t>Common / Comum</t>
        </is>
      </c>
      <c r="D4194" s="0" t="inlineStr"/>
      <c r="E4194" s="0" t="inlineStr">
        <is>
          <t>{6}{G}{G}</t>
        </is>
      </c>
      <c r="F4194" s="0" t="inlineStr">
        <is>
          <t>Verde</t>
        </is>
      </c>
      <c r="G4194" s="0" t="inlineStr"/>
      <c r="H4194" s="0" t="inlineStr">
        <is>
          <t>Ixalan (XLN)</t>
        </is>
      </c>
      <c r="I4194" s="0" t="inlineStr">
        <is>
          <t>Não</t>
        </is>
      </c>
      <c r="J4194" s="0" t="inlineStr">
        <is>
          <t>2017</t>
        </is>
      </c>
      <c r="K4194" s="0" t="inlineStr">
        <is>
          <t>9/9</t>
        </is>
      </c>
      <c r="L4194" s="0" t="inlineStr">
        <is>
          <t>1</t>
        </is>
      </c>
    </row>
    <row r="4195">
      <c r="A4195" s="0" t="inlineStr">
        <is>
          <t>Pounce / Dar o Bote</t>
        </is>
      </c>
      <c r="B4195" s="0" t="inlineStr">
        <is>
          <t>Instant / Mágica Instantânea</t>
        </is>
      </c>
      <c r="C4195" s="0" t="inlineStr">
        <is>
          <t>Common / Comum</t>
        </is>
      </c>
      <c r="D4195" s="0" t="inlineStr">
        <is>
          <t>Target creature you control fights target creature you don't control. (Each deals damage equal to its power to the other.) / A criatura alvo que você controla luta com a criatura alvo que você não controla. (Cada uma causa à outra uma quantidade de dano igual ao seu poder.)</t>
        </is>
      </c>
      <c r="E4195" s="0" t="inlineStr">
        <is>
          <t>{1}{G}</t>
        </is>
      </c>
      <c r="F4195" s="0" t="inlineStr">
        <is>
          <t>Verde</t>
        </is>
      </c>
      <c r="G4195" s="0" t="inlineStr"/>
      <c r="H4195" s="0" t="inlineStr">
        <is>
          <t>Ixalan (XLN)</t>
        </is>
      </c>
      <c r="I4195" s="0" t="inlineStr">
        <is>
          <t>Não</t>
        </is>
      </c>
      <c r="J4195" s="0" t="inlineStr">
        <is>
          <t>2017</t>
        </is>
      </c>
      <c r="K4195" s="0" t="inlineStr"/>
      <c r="L4195" s="0" t="inlineStr">
        <is>
          <t>1</t>
        </is>
      </c>
    </row>
    <row r="4196">
      <c r="A4196" s="0" t="inlineStr">
        <is>
          <t>Jungle Delver / Incursor das Selvas</t>
        </is>
      </c>
      <c r="B4196" s="0" t="inlineStr">
        <is>
          <t>Creature — Merfolk Warrior / Criatura — Tritão Guerreiro</t>
        </is>
      </c>
      <c r="C4196" s="0" t="inlineStr">
        <is>
          <t>Common / Comum</t>
        </is>
      </c>
      <c r="D4196" s="0" t="inlineStr">
        <is>
          <t>{3}{G}: Put a +1/+1 counter on this creature. / {3}{G}: Coloque um marcador +1/+1 em Incursor das Selvas.</t>
        </is>
      </c>
      <c r="E4196" s="0" t="inlineStr">
        <is>
          <t>{G}</t>
        </is>
      </c>
      <c r="F4196" s="0" t="inlineStr">
        <is>
          <t>Verde</t>
        </is>
      </c>
      <c r="G4196" s="0" t="inlineStr"/>
      <c r="H4196" s="0" t="inlineStr">
        <is>
          <t>Ixalan (XLN)</t>
        </is>
      </c>
      <c r="I4196" s="0" t="inlineStr">
        <is>
          <t>Não</t>
        </is>
      </c>
      <c r="J4196" s="0" t="inlineStr">
        <is>
          <t>2017</t>
        </is>
      </c>
      <c r="K4196" s="0" t="inlineStr">
        <is>
          <t>1/1</t>
        </is>
      </c>
      <c r="L4196" s="0" t="inlineStr">
        <is>
          <t>1</t>
        </is>
      </c>
    </row>
    <row r="4197">
      <c r="A4197" s="0" t="inlineStr">
        <is>
          <t>Ixalli's Diviner / Adivinha de Ixalli</t>
        </is>
      </c>
      <c r="B4197" s="0" t="inlineStr">
        <is>
          <t>Creature — Human Druid / Criatura — Humano Druida</t>
        </is>
      </c>
      <c r="C4197" s="0" t="inlineStr">
        <is>
          <t>Common / Comum</t>
        </is>
      </c>
      <c r="D4197" s="0" t="inlineStr">
        <is>
          <t>When this creature enters, it explores. (Reveal the top card of your library. Put that card into your hand if it's a land. Otherwise, put a +1/+1 counter on this creature, then put the card back or put it into your graveyard.) / Quando Adivinha de Ixalli entra no campo de batalha, ela explora. (Revele o card do topo de seu grimório. Coloque aquele card em sua mão se ele for um terreno. Caso contrário, coloque um marcador +1/+1 nesta criatura e, em seguida, devolva o card ao grimório ou coloque-o em seu cemitério.)</t>
        </is>
      </c>
      <c r="E4197" s="0" t="inlineStr">
        <is>
          <t>{1}{G}</t>
        </is>
      </c>
      <c r="F4197" s="0" t="inlineStr">
        <is>
          <t>Verde</t>
        </is>
      </c>
      <c r="G4197" s="0" t="inlineStr"/>
      <c r="H4197" s="0" t="inlineStr">
        <is>
          <t>Ixalan (XLN)</t>
        </is>
      </c>
      <c r="I4197" s="0" t="inlineStr">
        <is>
          <t>Não</t>
        </is>
      </c>
      <c r="J4197" s="0" t="inlineStr">
        <is>
          <t>2017</t>
        </is>
      </c>
      <c r="K4197" s="0" t="inlineStr">
        <is>
          <t>0/3</t>
        </is>
      </c>
      <c r="L4197" s="0" t="inlineStr">
        <is>
          <t>1</t>
        </is>
      </c>
    </row>
    <row r="4198">
      <c r="A4198" s="0" t="inlineStr">
        <is>
          <t>Tishana's Wayfinder / Trilheira de Tishana</t>
        </is>
      </c>
      <c r="B4198" s="0" t="inlineStr">
        <is>
          <t>Creature — Merfolk Scout / Criatura — Tritão Batedor</t>
        </is>
      </c>
      <c r="C4198" s="0" t="inlineStr">
        <is>
          <t>Common / Comum</t>
        </is>
      </c>
      <c r="D4198" s="0" t="inlineStr">
        <is>
          <t>When this creature enters, it explores. (Reveal the top card of your library. Put that card into your hand if it's a land. Otherwise, put a +1/+1 counter on this creature, then put the card back or put it into your graveyard.) / Quando Trilheira de Tishana entra no campo de batalha, ela explora. (Revele o card do topo de seu grimório. Coloque aquele card em sua mão se ele for um terreno. Caso contrário, coloque um marcador +1/+1 nesta criatura e, em seguida, devolva o card ao grimório ou coloque-o em seu cemitério.)</t>
        </is>
      </c>
      <c r="E4198" s="0" t="inlineStr">
        <is>
          <t>{2}{G}</t>
        </is>
      </c>
      <c r="F4198" s="0" t="inlineStr">
        <is>
          <t>Verde</t>
        </is>
      </c>
      <c r="G4198" s="0" t="inlineStr"/>
      <c r="H4198" s="0" t="inlineStr">
        <is>
          <t>Ixalan (XLN)</t>
        </is>
      </c>
      <c r="I4198" s="0" t="inlineStr">
        <is>
          <t>Não</t>
        </is>
      </c>
      <c r="J4198" s="0" t="inlineStr">
        <is>
          <t>2017</t>
        </is>
      </c>
      <c r="K4198" s="0" t="inlineStr">
        <is>
          <t>2/2</t>
        </is>
      </c>
      <c r="L4198" s="0" t="inlineStr">
        <is>
          <t>1</t>
        </is>
      </c>
    </row>
    <row r="4199">
      <c r="A4199" s="0" t="inlineStr">
        <is>
          <t>Aerial Predation / Predação Aérea</t>
        </is>
      </c>
      <c r="B4199" s="0" t="inlineStr">
        <is>
          <t>Instant / Mágica Instantânea</t>
        </is>
      </c>
      <c r="C4199" s="0" t="inlineStr">
        <is>
          <t>Common / Comum</t>
        </is>
      </c>
      <c r="D4199" s="0" t="inlineStr">
        <is>
          <t>Destroy target creature with flying. You gain 2 life. / Destrua a criatura alvo com voar. Você ganha 2 pontos de vida.</t>
        </is>
      </c>
      <c r="E4199" s="0" t="inlineStr">
        <is>
          <t>{2}{G}</t>
        </is>
      </c>
      <c r="F4199" s="0" t="inlineStr">
        <is>
          <t>Verde</t>
        </is>
      </c>
      <c r="G4199" s="0" t="inlineStr"/>
      <c r="H4199" s="0" t="inlineStr">
        <is>
          <t>Return to Ravnica (RTR)</t>
        </is>
      </c>
      <c r="I4199" s="0" t="inlineStr">
        <is>
          <t>Não</t>
        </is>
      </c>
      <c r="J4199" s="0" t="inlineStr">
        <is>
          <t>2012</t>
        </is>
      </c>
      <c r="K4199" s="0" t="inlineStr"/>
      <c r="L4199" s="0" t="inlineStr">
        <is>
          <t>1</t>
        </is>
      </c>
    </row>
    <row r="4200">
      <c r="A4200" s="0" t="inlineStr">
        <is>
          <t>Trollhide / Couro de Trol</t>
        </is>
      </c>
      <c r="B4200" s="0" t="inlineStr">
        <is>
          <t>Enchantment — Aura / Encantamento — Aura</t>
        </is>
      </c>
      <c r="C4200" s="0" t="inlineStr">
        <is>
          <t>Common / Comum</t>
        </is>
      </c>
      <c r="D4200" s="0" t="inlineStr">
        <is>
          <t>Enchant creature Enchanted creature gets +2/+2 and has "{1}{G}: Regenerate this creature." (The next time the creature would be destroyed this turn, instead tap it, remove it from combat, and heal all damage on it.) / Encantar criatura A criatura encantada recebe +2/+2 e tem "{1}{G}: Regenere esta criatura." (Na próxima vez em que a criatura seria destruída neste turno, ela não será. Em vez disso, vire-a, remova todo o dano dela e remova-a do combate.)</t>
        </is>
      </c>
      <c r="E4200" s="0" t="inlineStr">
        <is>
          <t>{2}{G}</t>
        </is>
      </c>
      <c r="F4200" s="0" t="inlineStr">
        <is>
          <t>Verde</t>
        </is>
      </c>
      <c r="G4200" s="0" t="inlineStr"/>
      <c r="H4200" s="0" t="inlineStr">
        <is>
          <t>Magic 2012 (M12)</t>
        </is>
      </c>
      <c r="I4200" s="0" t="inlineStr">
        <is>
          <t>Não</t>
        </is>
      </c>
      <c r="J4200" s="0" t="inlineStr">
        <is>
          <t>2011</t>
        </is>
      </c>
      <c r="K4200" s="0" t="inlineStr"/>
      <c r="L4200" s="0" t="inlineStr">
        <is>
          <t>1</t>
        </is>
      </c>
    </row>
    <row r="4201">
      <c r="A4201" s="0" t="inlineStr">
        <is>
          <t>Stonefare Crocodile / Crocodilo de Petreovila</t>
        </is>
      </c>
      <c r="B4201" s="0" t="inlineStr">
        <is>
          <t>Creature — Crocodile / Criatura — Crocodilo</t>
        </is>
      </c>
      <c r="C4201" s="0" t="inlineStr">
        <is>
          <t>Common / Comum</t>
        </is>
      </c>
      <c r="D4201" s="0" t="inlineStr">
        <is>
          <t>{2}{B}: This creature gains lifelink until end of turn. (Damage dealt by this creature also causes you to gain that much life.) / {2}{B}: Crocodilo de Petreovila ganha vínculo com a vida até o final do turno. (O dano causado por esta criatura também faz com que você ganhe uma quantidade equivalente de pontos de vida.)</t>
        </is>
      </c>
      <c r="E4201" s="0" t="inlineStr">
        <is>
          <t>{2}{G}</t>
        </is>
      </c>
      <c r="F4201" s="0" t="inlineStr">
        <is>
          <t>Verde</t>
        </is>
      </c>
      <c r="G4201" s="0" t="inlineStr"/>
      <c r="H4201" s="0" t="inlineStr">
        <is>
          <t>Return to Ravnica (RTR)</t>
        </is>
      </c>
      <c r="I4201" s="0" t="inlineStr">
        <is>
          <t>Não</t>
        </is>
      </c>
      <c r="J4201" s="0" t="inlineStr">
        <is>
          <t>2012</t>
        </is>
      </c>
      <c r="K4201" s="0" t="inlineStr">
        <is>
          <t>3/2</t>
        </is>
      </c>
      <c r="L4201" s="0" t="inlineStr">
        <is>
          <t>1</t>
        </is>
      </c>
    </row>
    <row r="4202">
      <c r="A4202" s="0" t="inlineStr">
        <is>
          <t>Predator's Rapport / Afinidade do Predador</t>
        </is>
      </c>
      <c r="B4202" s="0" t="inlineStr">
        <is>
          <t>Instant / Mágica Instantânea</t>
        </is>
      </c>
      <c r="C4202" s="0" t="inlineStr">
        <is>
          <t>Common / Comum</t>
        </is>
      </c>
      <c r="D4202" s="0" t="inlineStr">
        <is>
          <t>Choose target creature you control. You gain life equal to that creature's power plus its toughness. / Escolha uma criatura alvo que você controla. Você ganha uma quantidade de pontos de vida igual à soma do poder e da resistência daquela criatura.</t>
        </is>
      </c>
      <c r="E4202" s="0" t="inlineStr">
        <is>
          <t>{2}{G}</t>
        </is>
      </c>
      <c r="F4202" s="0" t="inlineStr">
        <is>
          <t>Verde</t>
        </is>
      </c>
      <c r="G4202" s="0" t="inlineStr"/>
      <c r="H4202" s="0" t="inlineStr">
        <is>
          <t>Gatecrash (GTC)</t>
        </is>
      </c>
      <c r="I4202" s="0" t="inlineStr">
        <is>
          <t>Não</t>
        </is>
      </c>
      <c r="J4202" s="0" t="inlineStr">
        <is>
          <t>2013</t>
        </is>
      </c>
      <c r="K4202" s="0" t="inlineStr"/>
      <c r="L4202" s="0" t="inlineStr">
        <is>
          <t>1</t>
        </is>
      </c>
    </row>
    <row r="4203">
      <c r="A4203" s="0" t="inlineStr">
        <is>
          <t>Greenside Watcher / Vigia do Verde</t>
        </is>
      </c>
      <c r="B4203" s="0" t="inlineStr">
        <is>
          <t>Creature — Elf Druid / Criatura — Elfo Druida</t>
        </is>
      </c>
      <c r="C4203" s="0" t="inlineStr">
        <is>
          <t>Common / Comum</t>
        </is>
      </c>
      <c r="D4203" s="0" t="inlineStr">
        <is>
          <t>{T}: Untap target Gate. / {T}: Desvire o Portão alvo.</t>
        </is>
      </c>
      <c r="E4203" s="0" t="inlineStr">
        <is>
          <t>{1}{G}</t>
        </is>
      </c>
      <c r="F4203" s="0" t="inlineStr">
        <is>
          <t>Verde</t>
        </is>
      </c>
      <c r="G4203" s="0" t="inlineStr"/>
      <c r="H4203" s="0" t="inlineStr">
        <is>
          <t>Gatecrash (GTC)</t>
        </is>
      </c>
      <c r="I4203" s="0" t="inlineStr">
        <is>
          <t>Não</t>
        </is>
      </c>
      <c r="J4203" s="0" t="inlineStr">
        <is>
          <t>2013</t>
        </is>
      </c>
      <c r="K4203" s="0" t="inlineStr">
        <is>
          <t>2/1</t>
        </is>
      </c>
      <c r="L4203" s="0" t="inlineStr">
        <is>
          <t>1</t>
        </is>
      </c>
    </row>
    <row r="4204">
      <c r="A4204" s="0" t="inlineStr">
        <is>
          <t>Spiked Baloth / Baloth Espiculado</t>
        </is>
      </c>
      <c r="B4204" s="0" t="inlineStr">
        <is>
          <t>Creature — Beast / Criatura — Besta</t>
        </is>
      </c>
      <c r="C4204" s="0" t="inlineStr">
        <is>
          <t>Common / Comum</t>
        </is>
      </c>
      <c r="D4204" s="0" t="inlineStr">
        <is>
          <t>Trample (This creature can deal excess combat damage to the player or planeswalker it's attacking.) / Atropelar (Se esta criatura fosse atribuir dano suficiente para destruir seus bloqueadores, você pode fazer com que ela atribua o resto de seu dano ao planeswalker ou jogador defensor.)</t>
        </is>
      </c>
      <c r="E4204" s="0" t="inlineStr">
        <is>
          <t>{3}{G}</t>
        </is>
      </c>
      <c r="F4204" s="0" t="inlineStr">
        <is>
          <t>Verde</t>
        </is>
      </c>
      <c r="G4204" s="0" t="inlineStr"/>
      <c r="H4204" s="0" t="inlineStr">
        <is>
          <t>Magic 2013 (M13)</t>
        </is>
      </c>
      <c r="I4204" s="0" t="inlineStr">
        <is>
          <t>Não</t>
        </is>
      </c>
      <c r="J4204" s="0" t="inlineStr">
        <is>
          <t>2012</t>
        </is>
      </c>
      <c r="K4204" s="0" t="inlineStr">
        <is>
          <t>4/2</t>
        </is>
      </c>
      <c r="L4204" s="0" t="inlineStr">
        <is>
          <t>1</t>
        </is>
      </c>
    </row>
    <row r="4205">
      <c r="A4205" s="0" t="inlineStr">
        <is>
          <t>Jade Bearer / Portadora do Jade</t>
        </is>
      </c>
      <c r="B4205" s="0" t="inlineStr">
        <is>
          <t>Creature — Merfolk Shaman / Criatura — Tritão Xamã</t>
        </is>
      </c>
      <c r="C4205" s="0" t="inlineStr">
        <is>
          <t>Common / Comum</t>
        </is>
      </c>
      <c r="D4205" s="0" t="inlineStr">
        <is>
          <t>When this creature enters, put a +1/+1 counter on another target Merfolk you control. / Quando Portadora do Jade entrar no campo de batalha, coloque um marcador +1/+1 em outro Tritão alvo que você controla.</t>
        </is>
      </c>
      <c r="E4205" s="0" t="inlineStr">
        <is>
          <t>{G}</t>
        </is>
      </c>
      <c r="F4205" s="0" t="inlineStr">
        <is>
          <t>Verde</t>
        </is>
      </c>
      <c r="G4205" s="0" t="inlineStr"/>
      <c r="H4205" s="0" t="inlineStr">
        <is>
          <t>Rivals of Ixalan (RIX)</t>
        </is>
      </c>
      <c r="I4205" s="0" t="inlineStr">
        <is>
          <t>Não</t>
        </is>
      </c>
      <c r="J4205" s="0" t="inlineStr">
        <is>
          <t>2018</t>
        </is>
      </c>
      <c r="K4205" s="0" t="inlineStr">
        <is>
          <t>1/1</t>
        </is>
      </c>
      <c r="L4205" s="0" t="inlineStr">
        <is>
          <t>1</t>
        </is>
      </c>
    </row>
    <row r="4206">
      <c r="A4206" s="0" t="inlineStr">
        <is>
          <t>Hunt the Weak / Caçar os Fracos</t>
        </is>
      </c>
      <c r="B4206" s="0" t="inlineStr">
        <is>
          <t>Sorcery / Feitiço</t>
        </is>
      </c>
      <c r="C4206" s="0" t="inlineStr">
        <is>
          <t>Common / Comum</t>
        </is>
      </c>
      <c r="D4206" s="0" t="inlineStr">
        <is>
          <t>Put a +1/+1 counter on target creature you control. Then that creature fights target creature you don't control. (Each deals damage equal to its power to the other.) / Coloque um marcador +1/+1 na criatura alvo que você controla. Depois, aquela criatura luta com a criatura alvo que você não controla. (Cada uma causa à outra uma quantidade de dano igual ao seu poder.)</t>
        </is>
      </c>
      <c r="E4206" s="0" t="inlineStr">
        <is>
          <t>{3}{G}</t>
        </is>
      </c>
      <c r="F4206" s="0" t="inlineStr">
        <is>
          <t>Verde</t>
        </is>
      </c>
      <c r="G4206" s="0" t="inlineStr"/>
      <c r="H4206" s="0" t="inlineStr">
        <is>
          <t>Rivals of Ixalan (RIX)</t>
        </is>
      </c>
      <c r="I4206" s="0" t="inlineStr">
        <is>
          <t>Não</t>
        </is>
      </c>
      <c r="J4206" s="0" t="inlineStr">
        <is>
          <t>2018</t>
        </is>
      </c>
      <c r="K4206" s="0" t="inlineStr"/>
      <c r="L4206" s="0" t="inlineStr">
        <is>
          <t>1</t>
        </is>
      </c>
    </row>
    <row r="4207">
      <c r="A4207" s="0" t="inlineStr">
        <is>
          <t>Naturalize / Naturalizar</t>
        </is>
      </c>
      <c r="B4207" s="0" t="inlineStr">
        <is>
          <t>Instant / Mágica Instantânea</t>
        </is>
      </c>
      <c r="C4207" s="0" t="inlineStr">
        <is>
          <t>Common / Comum</t>
        </is>
      </c>
      <c r="D4207" s="0" t="inlineStr">
        <is>
          <t>Destroy target artifact or enchantment. / Destrua o artefato ou o encantamento alvo.</t>
        </is>
      </c>
      <c r="E4207" s="0" t="inlineStr">
        <is>
          <t>{1}{G}</t>
        </is>
      </c>
      <c r="F4207" s="0" t="inlineStr">
        <is>
          <t>Verde</t>
        </is>
      </c>
      <c r="G4207" s="0" t="inlineStr"/>
      <c r="H4207" s="0" t="inlineStr">
        <is>
          <t>Rivals of Ixalan (RIX)</t>
        </is>
      </c>
      <c r="I4207" s="0" t="inlineStr">
        <is>
          <t>Não</t>
        </is>
      </c>
      <c r="J4207" s="0" t="inlineStr">
        <is>
          <t>2018</t>
        </is>
      </c>
      <c r="K4207" s="0" t="inlineStr"/>
      <c r="L4207" s="0" t="inlineStr">
        <is>
          <t>1</t>
        </is>
      </c>
    </row>
    <row r="4208">
      <c r="A4208" s="0" t="inlineStr">
        <is>
          <t>Giltgrove Stalker / Espreitadora do Bosque D'ouro</t>
        </is>
      </c>
      <c r="B4208" s="0" t="inlineStr">
        <is>
          <t>Creature — Merfolk Warrior / Criatura — Tritão Guerreiro</t>
        </is>
      </c>
      <c r="C4208" s="0" t="inlineStr">
        <is>
          <t>Common / Comum</t>
        </is>
      </c>
      <c r="D4208" s="0" t="inlineStr">
        <is>
          <t>This creature can't be blocked by creatures with power 2 or less. / Espreitadora do Bosque D'ouro não pode ser bloqueada por criaturas com poder igual ou inferior a 2.</t>
        </is>
      </c>
      <c r="E4208" s="0" t="inlineStr">
        <is>
          <t>{1}{G}</t>
        </is>
      </c>
      <c r="F4208" s="0" t="inlineStr">
        <is>
          <t>Verde</t>
        </is>
      </c>
      <c r="G4208" s="0" t="inlineStr"/>
      <c r="H4208" s="0" t="inlineStr">
        <is>
          <t>Rivals of Ixalan (RIX)</t>
        </is>
      </c>
      <c r="I4208" s="0" t="inlineStr">
        <is>
          <t>Não</t>
        </is>
      </c>
      <c r="J4208" s="0" t="inlineStr">
        <is>
          <t>2018</t>
        </is>
      </c>
      <c r="K4208" s="0" t="inlineStr">
        <is>
          <t>2/1</t>
        </is>
      </c>
      <c r="L4208" s="0" t="inlineStr">
        <is>
          <t>1</t>
        </is>
      </c>
    </row>
    <row r="4209">
      <c r="A4209" s="0" t="inlineStr">
        <is>
          <t>Dance of the Tumbleweeds / Dança dos Arbustos Rolantes</t>
        </is>
      </c>
      <c r="B4209" s="0" t="inlineStr">
        <is>
          <t>Sorcery / Feitiço</t>
        </is>
      </c>
      <c r="C4209" s="0" t="inlineStr">
        <is>
          <t>Common / Comum</t>
        </is>
      </c>
      <c r="D4209" s="0" t="inlineStr">
        <is>
          <t>Spree (Choose one or more additional costs.) + {1} — Search your library for a basic land card or a Desert card, put it onto the battlefield, then shuffle. + {3} — Create an X/X green Elemental creature token, where X is the number of lands you control. / Série (Escolha um ou mais custos adicionais.) + {1} — Procure em seu grimório um card de terreno básico ou um card de Deserto, coloque-o no campo de batalha e depois embaralhe. + {3} — Crie uma ficha de criatura Elemental verde X/X, sendo X o número de terrenos que você controla.</t>
        </is>
      </c>
      <c r="E4209" s="0" t="inlineStr">
        <is>
          <t>{1}{G}</t>
        </is>
      </c>
      <c r="F4209" s="0" t="inlineStr">
        <is>
          <t>Verde</t>
        </is>
      </c>
      <c r="G4209" s="0" t="inlineStr"/>
      <c r="H4209" s="0" t="inlineStr">
        <is>
          <t>Outlaws of Thunder Junction (OTJ)</t>
        </is>
      </c>
      <c r="I4209" s="0" t="inlineStr">
        <is>
          <t>Não</t>
        </is>
      </c>
      <c r="J4209" s="0" t="inlineStr">
        <is>
          <t>2024</t>
        </is>
      </c>
      <c r="K4209" s="0" t="inlineStr"/>
      <c r="L4209" s="0" t="inlineStr">
        <is>
          <t>1</t>
        </is>
      </c>
    </row>
    <row r="4210">
      <c r="A4210" s="0" t="inlineStr">
        <is>
          <t>Solitary Hunter / Caçador Solitário</t>
        </is>
      </c>
      <c r="B4210" s="0" t="inlineStr">
        <is>
          <t>Creature — Human Warrior Werewolf / Criatura — Humano Guerreiro Lobisomem</t>
        </is>
      </c>
      <c r="C4210" s="0" t="inlineStr">
        <is>
          <t>Common / Comum</t>
        </is>
      </c>
      <c r="D4210" s="0" t="inlineStr">
        <is>
          <t>At the beginning of each upkeep, if no spells were cast last turn, transform this creature. / No início de cada manutenção, se nenhuma mágica tiver sido conjurada no último turno, transforme Caçador Solitário.</t>
        </is>
      </c>
      <c r="E4210" s="0" t="inlineStr">
        <is>
          <t>{3}{G}</t>
        </is>
      </c>
      <c r="F4210" s="0" t="inlineStr">
        <is>
          <t>Verde</t>
        </is>
      </c>
      <c r="G4210" s="0" t="inlineStr"/>
      <c r="H4210" s="0" t="inlineStr">
        <is>
          <t>Shadows over Innistrad (SOI)</t>
        </is>
      </c>
      <c r="I4210" s="0" t="inlineStr">
        <is>
          <t>Não</t>
        </is>
      </c>
      <c r="J4210" s="0" t="inlineStr">
        <is>
          <t>2016</t>
        </is>
      </c>
      <c r="K4210" s="0" t="inlineStr">
        <is>
          <t>3/4</t>
        </is>
      </c>
      <c r="L4210" s="0" t="inlineStr">
        <is>
          <t>1</t>
        </is>
      </c>
    </row>
    <row r="4211">
      <c r="A4211" s="0" t="inlineStr">
        <is>
          <t>Shredding Winds / Ventos Cortantes</t>
        </is>
      </c>
      <c r="B4211" s="0" t="inlineStr">
        <is>
          <t>Instant / Mágica Instantânea</t>
        </is>
      </c>
      <c r="C4211" s="0" t="inlineStr">
        <is>
          <t>Common / Comum</t>
        </is>
      </c>
      <c r="D4211" s="0" t="inlineStr">
        <is>
          <t>Shredding Winds deals 7 damage to target creature with flying. / Ventos Cortantes causa 7 pontos de dano à criatura alvo com voar.</t>
        </is>
      </c>
      <c r="E4211" s="0" t="inlineStr">
        <is>
          <t>{2}{G}</t>
        </is>
      </c>
      <c r="F4211" s="0" t="inlineStr">
        <is>
          <t>Verde</t>
        </is>
      </c>
      <c r="G4211" s="0" t="inlineStr"/>
      <c r="H4211" s="0" t="inlineStr">
        <is>
          <t>Theros (THS)</t>
        </is>
      </c>
      <c r="I4211" s="0" t="inlineStr">
        <is>
          <t>Não</t>
        </is>
      </c>
      <c r="J4211" s="0" t="inlineStr">
        <is>
          <t>2013</t>
        </is>
      </c>
      <c r="K4211" s="0" t="inlineStr"/>
      <c r="L4211" s="0" t="inlineStr">
        <is>
          <t>1</t>
        </is>
      </c>
    </row>
    <row r="4212">
      <c r="A4212" s="0" t="inlineStr">
        <is>
          <t>Urban Burgeoning / Crescimento Urbano</t>
        </is>
      </c>
      <c r="B4212" s="0" t="inlineStr">
        <is>
          <t>Enchantment — Aura / Encantamento — Aura</t>
        </is>
      </c>
      <c r="C4212" s="0" t="inlineStr">
        <is>
          <t>Common / Comum</t>
        </is>
      </c>
      <c r="D4212" s="0" t="inlineStr">
        <is>
          <t>Enchant land Enchanted land has "Untap this land during each other player's untap step." / Encantar terreno O terreno encantado tem "Desvire este terreno durante a etapa de desvirar de cada outro jogador."</t>
        </is>
      </c>
      <c r="E4212" s="0" t="inlineStr">
        <is>
          <t>{G}</t>
        </is>
      </c>
      <c r="F4212" s="0" t="inlineStr">
        <is>
          <t>Verde</t>
        </is>
      </c>
      <c r="G4212" s="0" t="inlineStr"/>
      <c r="H4212" s="0" t="inlineStr">
        <is>
          <t>Return to Ravnica (RTR)</t>
        </is>
      </c>
      <c r="I4212" s="0" t="inlineStr">
        <is>
          <t>Não</t>
        </is>
      </c>
      <c r="J4212" s="0" t="inlineStr">
        <is>
          <t>2012</t>
        </is>
      </c>
      <c r="K4212" s="0" t="inlineStr"/>
      <c r="L4212" s="0" t="inlineStr">
        <is>
          <t>1</t>
        </is>
      </c>
    </row>
    <row r="4213">
      <c r="A4213" s="0" t="inlineStr">
        <is>
          <t>Grave Bramble / Arbusto Tumular</t>
        </is>
      </c>
      <c r="B4213" s="0" t="inlineStr">
        <is>
          <t>Creature — Plant / Criatura — Planta</t>
        </is>
      </c>
      <c r="C4213" s="0" t="inlineStr">
        <is>
          <t>Common / Comum</t>
        </is>
      </c>
      <c r="D4213" s="0" t="inlineStr">
        <is>
          <t>Defender, protection from Zombies / Defensor, proteção contra Zumbis</t>
        </is>
      </c>
      <c r="E4213" s="0" t="inlineStr">
        <is>
          <t>{1}{G}{G}</t>
        </is>
      </c>
      <c r="F4213" s="0" t="inlineStr">
        <is>
          <t>Verde</t>
        </is>
      </c>
      <c r="G4213" s="0" t="inlineStr"/>
      <c r="H4213" s="0" t="inlineStr">
        <is>
          <t>Innistrad (ISD)</t>
        </is>
      </c>
      <c r="I4213" s="0" t="inlineStr">
        <is>
          <t>Não</t>
        </is>
      </c>
      <c r="J4213" s="0" t="inlineStr">
        <is>
          <t>2011</t>
        </is>
      </c>
      <c r="K4213" s="0" t="inlineStr">
        <is>
          <t>3/4</t>
        </is>
      </c>
      <c r="L4213" s="0" t="inlineStr">
        <is>
          <t>1</t>
        </is>
      </c>
    </row>
    <row r="4214">
      <c r="A4214" s="0" t="inlineStr">
        <is>
          <t>Hollowhenge Beast / Fera de Vale Seco</t>
        </is>
      </c>
      <c r="B4214" s="0" t="inlineStr">
        <is>
          <t>Creature — Beast / Criatura — Besta</t>
        </is>
      </c>
      <c r="C4214" s="0" t="inlineStr">
        <is>
          <t>Common / Comum</t>
        </is>
      </c>
      <c r="D4214" s="0" t="inlineStr"/>
      <c r="E4214" s="0" t="inlineStr">
        <is>
          <t>{3}{G}{G}</t>
        </is>
      </c>
      <c r="F4214" s="0" t="inlineStr">
        <is>
          <t>Verde</t>
        </is>
      </c>
      <c r="G4214" s="0" t="inlineStr"/>
      <c r="H4214" s="0" t="inlineStr">
        <is>
          <t>Dark Ascension (DKA)</t>
        </is>
      </c>
      <c r="I4214" s="0" t="inlineStr">
        <is>
          <t>Não</t>
        </is>
      </c>
      <c r="J4214" s="0" t="inlineStr">
        <is>
          <t>2012</t>
        </is>
      </c>
      <c r="K4214" s="0" t="inlineStr">
        <is>
          <t>5/5</t>
        </is>
      </c>
      <c r="L4214" s="0" t="inlineStr">
        <is>
          <t>1</t>
        </is>
      </c>
    </row>
    <row r="4215">
      <c r="A4215" s="0" t="inlineStr">
        <is>
          <t>Orchard Spirit / Espírito do Pomar</t>
        </is>
      </c>
      <c r="B4215" s="0" t="inlineStr">
        <is>
          <t>Creature — Spirit / Criatura — Espírito</t>
        </is>
      </c>
      <c r="C4215" s="0" t="inlineStr">
        <is>
          <t>Common / Comum</t>
        </is>
      </c>
      <c r="D4215" s="0" t="inlineStr">
        <is>
          <t>This creature can't be blocked except by creatures with flying or reach. / Espírito do Pomar só pode ser bloqueado por criaturas com voar ou alcance.</t>
        </is>
      </c>
      <c r="E4215" s="0" t="inlineStr">
        <is>
          <t>{2}{G}</t>
        </is>
      </c>
      <c r="F4215" s="0" t="inlineStr">
        <is>
          <t>Verde</t>
        </is>
      </c>
      <c r="G4215" s="0" t="inlineStr"/>
      <c r="H4215" s="0" t="inlineStr">
        <is>
          <t>Innistrad (ISD)</t>
        </is>
      </c>
      <c r="I4215" s="0" t="inlineStr">
        <is>
          <t>Não</t>
        </is>
      </c>
      <c r="J4215" s="0" t="inlineStr">
        <is>
          <t>2011</t>
        </is>
      </c>
      <c r="K4215" s="0" t="inlineStr">
        <is>
          <t>2/2</t>
        </is>
      </c>
      <c r="L4215" s="0" t="inlineStr">
        <is>
          <t>1</t>
        </is>
      </c>
    </row>
    <row r="4216">
      <c r="A4216" s="0" t="inlineStr">
        <is>
          <t>Giant Spider / Aranha Gigante</t>
        </is>
      </c>
      <c r="B4216" s="0" t="inlineStr">
        <is>
          <t>Creature — Spider / Criatura — Aranha</t>
        </is>
      </c>
      <c r="C4216" s="0" t="inlineStr">
        <is>
          <t>Common / Comum</t>
        </is>
      </c>
      <c r="D4216" s="0" t="inlineStr">
        <is>
          <t>Reach (This creature can block creatures with flying.) / Alcance (Esta criatura pode bloquear criaturas com voar.)</t>
        </is>
      </c>
      <c r="E4216" s="0" t="inlineStr">
        <is>
          <t>{3}{G}</t>
        </is>
      </c>
      <c r="F4216" s="0" t="inlineStr">
        <is>
          <t>Verde</t>
        </is>
      </c>
      <c r="G4216" s="0" t="inlineStr"/>
      <c r="H4216" s="0" t="inlineStr">
        <is>
          <t>Magic 2014 (M14)</t>
        </is>
      </c>
      <c r="I4216" s="0" t="inlineStr">
        <is>
          <t>Não</t>
        </is>
      </c>
      <c r="J4216" s="0" t="inlineStr">
        <is>
          <t>2013</t>
        </is>
      </c>
      <c r="K4216" s="0" t="inlineStr">
        <is>
          <t>2/4</t>
        </is>
      </c>
      <c r="L4216" s="0" t="inlineStr">
        <is>
          <t>1</t>
        </is>
      </c>
    </row>
    <row r="4217">
      <c r="A4217" s="0" t="inlineStr">
        <is>
          <t>Rootwalla / Rizowalla</t>
        </is>
      </c>
      <c r="B4217" s="0" t="inlineStr">
        <is>
          <t>Creature — Lizard / Criatura — Lagarto</t>
        </is>
      </c>
      <c r="C4217" s="0" t="inlineStr">
        <is>
          <t>Common / Comum</t>
        </is>
      </c>
      <c r="D4217" s="0" t="inlineStr">
        <is>
          <t>{1}{G}: This creature gets +2/+2 until end of turn. Activate only once each turn. / {1}{G}: Rizowalla recebe +2/+2 até o final do turno. Ative esta habilidade apenas uma vez a cada turno.</t>
        </is>
      </c>
      <c r="E4217" s="0" t="inlineStr">
        <is>
          <t>{2}{G}</t>
        </is>
      </c>
      <c r="F4217" s="0" t="inlineStr">
        <is>
          <t>Verde</t>
        </is>
      </c>
      <c r="G4217" s="0" t="inlineStr"/>
      <c r="H4217" s="0" t="inlineStr">
        <is>
          <t>Magic 2014 (M14)</t>
        </is>
      </c>
      <c r="I4217" s="0" t="inlineStr">
        <is>
          <t>Não</t>
        </is>
      </c>
      <c r="J4217" s="0" t="inlineStr">
        <is>
          <t>2013</t>
        </is>
      </c>
      <c r="K4217" s="0" t="inlineStr">
        <is>
          <t>2/2</t>
        </is>
      </c>
      <c r="L4217" s="0" t="inlineStr">
        <is>
          <t>1</t>
        </is>
      </c>
    </row>
    <row r="4218">
      <c r="A4218" s="0" t="inlineStr">
        <is>
          <t>Woodland Sleuth / Detetive da Floresta</t>
        </is>
      </c>
      <c r="B4218" s="0" t="inlineStr">
        <is>
          <t>Creature — Human Scout / Criatura — Humano Batedor</t>
        </is>
      </c>
      <c r="C4218" s="0" t="inlineStr">
        <is>
          <t>Common / Comum</t>
        </is>
      </c>
      <c r="D4218" s="0" t="inlineStr">
        <is>
          <t>Morbid — When this creature enters, if a creature died this turn, return a creature card at random from your graveyard to your hand. / Mórbido — Quando Detetive da Floresta entrar no campo de batalha, se uma criatura tiver morrido neste turno, devolva um card de criatura aleatoriamente de seu cemitério para sua mão.</t>
        </is>
      </c>
      <c r="E4218" s="0" t="inlineStr">
        <is>
          <t>{3}{G}</t>
        </is>
      </c>
      <c r="F4218" s="0" t="inlineStr">
        <is>
          <t>Verde</t>
        </is>
      </c>
      <c r="G4218" s="0" t="inlineStr"/>
      <c r="H4218" s="0" t="inlineStr">
        <is>
          <t>Innistrad (ISD)</t>
        </is>
      </c>
      <c r="I4218" s="0" t="inlineStr">
        <is>
          <t>Não</t>
        </is>
      </c>
      <c r="J4218" s="0" t="inlineStr">
        <is>
          <t>2011</t>
        </is>
      </c>
      <c r="K4218" s="0" t="inlineStr">
        <is>
          <t>2/3</t>
        </is>
      </c>
      <c r="L4218" s="0" t="inlineStr">
        <is>
          <t>1</t>
        </is>
      </c>
    </row>
    <row r="4219">
      <c r="A4219" s="0" t="inlineStr">
        <is>
          <t>Somberwald Dryad / Dríade de Somberwald</t>
        </is>
      </c>
      <c r="B4219" s="0" t="inlineStr">
        <is>
          <t>Creature — Dryad / Criatura — Dríade</t>
        </is>
      </c>
      <c r="C4219" s="0" t="inlineStr">
        <is>
          <t>Common / Comum</t>
        </is>
      </c>
      <c r="D4219" s="0" t="inlineStr">
        <is>
          <t>Forestwalk (This creature can't be blocked as long as defending player controls a Forest.) / Travessia de floresta (Esta criatura não poderá ser bloqueada enquanto o jogador defensor controlar uma Floresta.)</t>
        </is>
      </c>
      <c r="E4219" s="0" t="inlineStr">
        <is>
          <t>{1}{G}</t>
        </is>
      </c>
      <c r="F4219" s="0" t="inlineStr">
        <is>
          <t>Verde</t>
        </is>
      </c>
      <c r="G4219" s="0" t="inlineStr"/>
      <c r="H4219" s="0" t="inlineStr">
        <is>
          <t>Dark Ascension (DKA)</t>
        </is>
      </c>
      <c r="I4219" s="0" t="inlineStr">
        <is>
          <t>Não</t>
        </is>
      </c>
      <c r="J4219" s="0" t="inlineStr">
        <is>
          <t>2012</t>
        </is>
      </c>
      <c r="K4219" s="0" t="inlineStr">
        <is>
          <t>2/2</t>
        </is>
      </c>
      <c r="L4219" s="0" t="inlineStr">
        <is>
          <t>1</t>
        </is>
      </c>
    </row>
    <row r="4220">
      <c r="A4220" s="0" t="inlineStr">
        <is>
          <t>Daru Cavalier / Cavalariano de Daru</t>
        </is>
      </c>
      <c r="B4220" s="0" t="inlineStr">
        <is>
          <t>Creature — Human Soldier / Criatura — Soldado</t>
        </is>
      </c>
      <c r="C4220" s="0" t="inlineStr">
        <is>
          <t>Common / Comum</t>
        </is>
      </c>
      <c r="D4220" s="0" t="inlineStr">
        <is>
          <t>First strike When this creature enters, you may search your library for a card named Daru Cavalier, reveal it, put it into your hand, then shuffle. / Iniciativa Quando Cavalariano de Daru entra em jogo, você pode procurar em seu grimório por um card cujo nome é Cavalariano de Daru, revelá-lo, e colocá-lo em sua mão. Se o fizer, embaralhe seu grimório.</t>
        </is>
      </c>
      <c r="E4220" s="0" t="inlineStr">
        <is>
          <t>{3}{W}</t>
        </is>
      </c>
      <c r="F4220" s="0" t="inlineStr">
        <is>
          <t>Branco</t>
        </is>
      </c>
      <c r="G4220" s="0" t="inlineStr"/>
      <c r="H4220" s="0" t="inlineStr">
        <is>
          <t>Onslaught (ONS)</t>
        </is>
      </c>
      <c r="I4220" s="0" t="inlineStr">
        <is>
          <t>Não</t>
        </is>
      </c>
      <c r="J4220" s="0" t="inlineStr">
        <is>
          <t>2002</t>
        </is>
      </c>
      <c r="K4220" s="0" t="inlineStr">
        <is>
          <t>2/2</t>
        </is>
      </c>
      <c r="L4220" s="0" t="inlineStr">
        <is>
          <t>1</t>
        </is>
      </c>
    </row>
    <row r="4221">
      <c r="A4221" s="0" t="inlineStr">
        <is>
          <t>Midlife Upgrade</t>
        </is>
      </c>
      <c r="B4221" s="0" t="inlineStr">
        <is>
          <t>Sorcery</t>
        </is>
      </c>
      <c r="C4221" s="0" t="inlineStr">
        <is>
          <t>Uncommon / Incomum</t>
        </is>
      </c>
      <c r="D4221" s="0" t="inlineStr">
        <is>
          <t>As an additional cost to cast this spell, sacrifice X Contraptions. Assemble X plus one Contraptions. (To assemble a Contraption, put the top card of your Contraption deck face up onto one of your sprockets.)</t>
        </is>
      </c>
      <c r="E4221" s="0" t="inlineStr">
        <is>
          <t>{3}{W}</t>
        </is>
      </c>
      <c r="F4221" s="0" t="inlineStr">
        <is>
          <t>Branco</t>
        </is>
      </c>
      <c r="G4221" s="0" t="inlineStr"/>
      <c r="H4221" s="0" t="inlineStr">
        <is>
          <t>Unstable (UST)</t>
        </is>
      </c>
      <c r="I4221" s="0" t="inlineStr">
        <is>
          <t>Não</t>
        </is>
      </c>
      <c r="J4221" s="0" t="inlineStr">
        <is>
          <t>2017</t>
        </is>
      </c>
      <c r="K4221" s="0" t="inlineStr"/>
      <c r="L4221" s="0" t="inlineStr">
        <is>
          <t>1</t>
        </is>
      </c>
    </row>
    <row r="4222">
      <c r="A4222" s="0" t="inlineStr">
        <is>
          <t>Knight of the Kitchen Sink</t>
        </is>
      </c>
      <c r="B4222" s="0" t="inlineStr">
        <is>
          <t>Artifact Creature — Cyborg Knight</t>
        </is>
      </c>
      <c r="C4222" s="0" t="inlineStr">
        <is>
          <t>Uncommon / Incomum</t>
        </is>
      </c>
      <c r="D4222" s="0" t="inlineStr">
        <is>
          <t>First strike, protection from black borders (Nothing with a black border can block, target, deal damage to, or attach to this creature.)</t>
        </is>
      </c>
      <c r="E4222" s="0" t="inlineStr">
        <is>
          <t>{W}{W}</t>
        </is>
      </c>
      <c r="F4222" s="0" t="inlineStr">
        <is>
          <t>Branco</t>
        </is>
      </c>
      <c r="G4222" s="0" t="inlineStr"/>
      <c r="H4222" s="0" t="inlineStr">
        <is>
          <t>Unstable (UST)</t>
        </is>
      </c>
      <c r="I4222" s="0" t="inlineStr">
        <is>
          <t>Não</t>
        </is>
      </c>
      <c r="J4222" s="0" t="inlineStr">
        <is>
          <t>2017</t>
        </is>
      </c>
      <c r="K4222" s="0" t="inlineStr">
        <is>
          <t>2/2</t>
        </is>
      </c>
      <c r="L4222" s="0" t="inlineStr">
        <is>
          <t>1</t>
        </is>
      </c>
    </row>
    <row r="4223">
      <c r="A4223" s="0" t="inlineStr">
        <is>
          <t>Harvest Hand / Mão da Colheita</t>
        </is>
      </c>
      <c r="B4223" s="0" t="inlineStr">
        <is>
          <t>Artifact Creature — Scarecrow / Criatura Artefato — Espantalho</t>
        </is>
      </c>
      <c r="C4223" s="0" t="inlineStr">
        <is>
          <t>Uncommon / Incomum</t>
        </is>
      </c>
      <c r="D4223" s="0" t="inlineStr">
        <is>
          <t>When this creature dies, return it to the battlefield transformed under your control. / Quando Mão da Colheita morrer, devolva-a ao campo de batalha transformada sob o seu controle.</t>
        </is>
      </c>
      <c r="E4223" s="0" t="inlineStr">
        <is>
          <t>{3}</t>
        </is>
      </c>
      <c r="F4223" s="0" t="inlineStr">
        <is>
          <t>Incolor</t>
        </is>
      </c>
      <c r="G4223" s="0" t="inlineStr"/>
      <c r="H4223" s="0" t="inlineStr">
        <is>
          <t>Shadows over Innistrad (SOI)</t>
        </is>
      </c>
      <c r="I4223" s="0" t="inlineStr">
        <is>
          <t>Não</t>
        </is>
      </c>
      <c r="J4223" s="0" t="inlineStr">
        <is>
          <t>2016</t>
        </is>
      </c>
      <c r="K4223" s="0" t="inlineStr">
        <is>
          <t>2/2</t>
        </is>
      </c>
      <c r="L4223" s="0" t="inlineStr">
        <is>
          <t>1</t>
        </is>
      </c>
    </row>
    <row r="4224">
      <c r="A4224" s="0" t="inlineStr">
        <is>
          <t>Thirsting Axe / Machado Sedento</t>
        </is>
      </c>
      <c r="B4224" s="0" t="inlineStr">
        <is>
          <t>Artifact — Equipment / Artefato — Equipamento</t>
        </is>
      </c>
      <c r="C4224" s="0" t="inlineStr">
        <is>
          <t>Uncommon / Incomum</t>
        </is>
      </c>
      <c r="D4224" s="0" t="inlineStr">
        <is>
          <t>Equipped creature gets +4/+0. At the beginning of your end step, if equipped creature didn't deal combat damage to a creature this turn, sacrifice it. Equip {2} / A criatura equipada recebe +4/+0. No início de sua etapa final, se a criatura equipada não causou dano de combate a uma criatura neste turno, sacrifique-a. Equipar {2}</t>
        </is>
      </c>
      <c r="E4224" s="0" t="inlineStr">
        <is>
          <t>{3}</t>
        </is>
      </c>
      <c r="F4224" s="0" t="inlineStr">
        <is>
          <t>Incolor</t>
        </is>
      </c>
      <c r="G4224" s="0" t="inlineStr"/>
      <c r="H4224" s="0" t="inlineStr">
        <is>
          <t>Eldritch Moon (EMN)</t>
        </is>
      </c>
      <c r="I4224" s="0" t="inlineStr">
        <is>
          <t>Não</t>
        </is>
      </c>
      <c r="J4224" s="0" t="inlineStr">
        <is>
          <t>2016</t>
        </is>
      </c>
      <c r="K4224" s="0" t="inlineStr"/>
      <c r="L4224" s="0" t="inlineStr">
        <is>
          <t>1</t>
        </is>
      </c>
    </row>
    <row r="4225">
      <c r="A4225" s="0" t="inlineStr">
        <is>
          <t>Cryptolith Fragment / Fragmento de Criptólito</t>
        </is>
      </c>
      <c r="B4225" s="0" t="inlineStr">
        <is>
          <t>Artifact / Artefato</t>
        </is>
      </c>
      <c r="C4225" s="0" t="inlineStr">
        <is>
          <t>Uncommon / Incomum</t>
        </is>
      </c>
      <c r="D4225" s="0" t="inlineStr">
        <is>
          <t>This artifact enters tapped. {T}: Add one mana of any color. Each player loses 1 life. At the beginning of your upkeep, if each player has 10 or less life, transform this artifact. / Fragmento de Criptólito entra no campo de batalha virado. {T}: Adicione um mana de qualquer cor à sua reserva de mana. Cada jogador perde 1 ponto de vida. No início de sua manutenção, se cada jogador tiver 10 pontos de vida ou menos, transforme Fragmento de Criptólito.</t>
        </is>
      </c>
      <c r="E4225" s="0" t="inlineStr">
        <is>
          <t>{3}</t>
        </is>
      </c>
      <c r="F4225" s="0" t="inlineStr">
        <is>
          <t>Incolor</t>
        </is>
      </c>
      <c r="G4225" s="0" t="inlineStr"/>
      <c r="H4225" s="0" t="inlineStr">
        <is>
          <t>Eldritch Moon (EMN)</t>
        </is>
      </c>
      <c r="I4225" s="0" t="inlineStr">
        <is>
          <t>Não</t>
        </is>
      </c>
      <c r="J4225" s="0" t="inlineStr">
        <is>
          <t>2016</t>
        </is>
      </c>
      <c r="K4225" s="0" t="inlineStr"/>
      <c r="L4225" s="0" t="inlineStr">
        <is>
          <t>1</t>
        </is>
      </c>
    </row>
    <row r="4226">
      <c r="A4226" s="0" t="inlineStr">
        <is>
          <t>Drownyard Behemoth / Behemoth da Costa Náufraga</t>
        </is>
      </c>
      <c r="B4226" s="0" t="inlineStr">
        <is>
          <t>Creature — Eldrazi Crab / Criatura — Eldrazi Caranguejo</t>
        </is>
      </c>
      <c r="C4226" s="0" t="inlineStr">
        <is>
          <t>Uncommon / Incomum</t>
        </is>
      </c>
      <c r="D4226" s="0" t="inlineStr">
        <is>
          <t>Flash (You may cast this spell any time you could cast an instant.) Emerge {7}{U} (You may cast this spell by sacrificing a creature and paying the emerge cost reduced by that creature's mana value.) This creature has hexproof as long as it entered this turn. / Lampejo (Você poderá conjurar esta mágica a qualquer momento em que puder conjurar uma mágica instantânea.) Emergir {7}{U} (Você pode conjurar esta mágica sacrificando uma criatura e pagando o custo de emergir menos o custo de mana convertido daquela criatura.) Behemoth da Costa Náufraga tem resistência a magia contanto que tenha entrado no campo de batalha neste turno.</t>
        </is>
      </c>
      <c r="E4226" s="0" t="inlineStr">
        <is>
          <t>{9}</t>
        </is>
      </c>
      <c r="F4226" s="0" t="inlineStr">
        <is>
          <t>Azul</t>
        </is>
      </c>
      <c r="G4226" s="0" t="inlineStr"/>
      <c r="H4226" s="0" t="inlineStr">
        <is>
          <t>Eldritch Moon (EMN)</t>
        </is>
      </c>
      <c r="I4226" s="0" t="inlineStr">
        <is>
          <t>Não</t>
        </is>
      </c>
      <c r="J4226" s="0" t="inlineStr">
        <is>
          <t>2016</t>
        </is>
      </c>
      <c r="K4226" s="0" t="inlineStr">
        <is>
          <t>5/7</t>
        </is>
      </c>
      <c r="L4226" s="0" t="inlineStr">
        <is>
          <t>1</t>
        </is>
      </c>
    </row>
    <row r="4227">
      <c r="A4227" s="0" t="inlineStr">
        <is>
          <t>Lashweed Lurker / Espreitador Erva-de-açoite</t>
        </is>
      </c>
      <c r="B4227" s="0" t="inlineStr">
        <is>
          <t>Creature — Eldrazi Horror / Criatura — Eldrazi Horror</t>
        </is>
      </c>
      <c r="C4227" s="0" t="inlineStr">
        <is>
          <t>Uncommon / Incomum</t>
        </is>
      </c>
      <c r="D4227" s="0" t="inlineStr">
        <is>
          <t>Emerge {5}{G}{U} (You may cast this spell by sacrificing a creature and paying the emerge cost reduced by that creature's mana value.) When you cast this spell, you may put target nonland permanent on top of its owner's library. / Emergir {5}{G}{U} (Você pode conjurar esta mágica sacrificando uma criatura e pagando o custo de emergir menos o custo de mana convertido daquela criatura.) Quando conjura Espreitador Erva-de-açoite, você pode colocar a permanente alvo que não seja um terreno no topo do grimório de seu dono.</t>
        </is>
      </c>
      <c r="E4227" s="0" t="inlineStr">
        <is>
          <t>{8}</t>
        </is>
      </c>
      <c r="F4227" s="0" t="inlineStr">
        <is>
          <t>Verde, Azul</t>
        </is>
      </c>
      <c r="G4227" s="0" t="inlineStr"/>
      <c r="H4227" s="0" t="inlineStr">
        <is>
          <t>Eldritch Moon (EMN)</t>
        </is>
      </c>
      <c r="I4227" s="0" t="inlineStr">
        <is>
          <t>Não</t>
        </is>
      </c>
      <c r="J4227" s="0" t="inlineStr">
        <is>
          <t>2016</t>
        </is>
      </c>
      <c r="K4227" s="0" t="inlineStr">
        <is>
          <t>5/4</t>
        </is>
      </c>
      <c r="L4227" s="0" t="inlineStr">
        <is>
          <t>1</t>
        </is>
      </c>
    </row>
    <row r="4228">
      <c r="A4228" s="0" t="inlineStr">
        <is>
          <t>Vexing Scuttler / Naufragador Irritante</t>
        </is>
      </c>
      <c r="B4228" s="0" t="inlineStr">
        <is>
          <t>Creature — Eldrazi Crab / Criatura — Eldrazi Caranguejo</t>
        </is>
      </c>
      <c r="C4228" s="0" t="inlineStr">
        <is>
          <t>Uncommon / Incomum</t>
        </is>
      </c>
      <c r="D4228" s="0" t="inlineStr">
        <is>
          <t>Emerge {6}{U} (You may cast this spell by sacrificing a creature and paying the emerge cost reduced by that creature's mana value.) When you cast this spell, you may return target instant or sorcery card from your graveyard to your hand. / Emergir {6}{U} (Você pode conjurar esta mágica sacrificando uma criatura e pagando o custo de emergir menos o custo de mana convertido daquela criatura.) Quando você conjura Naufragador Irritante, você pode devolver o card de mágica instantânea ou feitiço alvo de seu cemitério para sua mão.</t>
        </is>
      </c>
      <c r="E4228" s="0" t="inlineStr">
        <is>
          <t>{8}</t>
        </is>
      </c>
      <c r="F4228" s="0" t="inlineStr">
        <is>
          <t>Azul</t>
        </is>
      </c>
      <c r="G4228" s="0" t="inlineStr"/>
      <c r="H4228" s="0" t="inlineStr">
        <is>
          <t>Eldritch Moon (EMN)</t>
        </is>
      </c>
      <c r="I4228" s="0" t="inlineStr">
        <is>
          <t>Não</t>
        </is>
      </c>
      <c r="J4228" s="0" t="inlineStr">
        <is>
          <t>2016</t>
        </is>
      </c>
      <c r="K4228" s="0" t="inlineStr">
        <is>
          <t>4/5</t>
        </is>
      </c>
      <c r="L4228" s="0" t="inlineStr">
        <is>
          <t>1</t>
        </is>
      </c>
    </row>
    <row r="4229">
      <c r="A4229" s="0" t="inlineStr">
        <is>
          <t>Runaway Carriage / Carruagem em Fuga</t>
        </is>
      </c>
      <c r="B4229" s="0" t="inlineStr">
        <is>
          <t>Artifact Creature — Construct / Criatura Artefato — Constructo</t>
        </is>
      </c>
      <c r="C4229" s="0" t="inlineStr">
        <is>
          <t>Uncommon / Incomum</t>
        </is>
      </c>
      <c r="D4229" s="0" t="inlineStr">
        <is>
          <t>Trample When this creature attacks or blocks, sacrifice it at end of combat. / Atropelar Quando Carruagem em Fuga atacar ou bloquear, sacrifique-a no final do combate.</t>
        </is>
      </c>
      <c r="E4229" s="0" t="inlineStr">
        <is>
          <t>{4}</t>
        </is>
      </c>
      <c r="F4229" s="0" t="inlineStr">
        <is>
          <t>Incolor</t>
        </is>
      </c>
      <c r="G4229" s="0" t="inlineStr"/>
      <c r="H4229" s="0" t="inlineStr">
        <is>
          <t>Shadows over Innistrad (SOI)</t>
        </is>
      </c>
      <c r="I4229" s="0" t="inlineStr">
        <is>
          <t>Não</t>
        </is>
      </c>
      <c r="J4229" s="0" t="inlineStr">
        <is>
          <t>2016</t>
        </is>
      </c>
      <c r="K4229" s="0" t="inlineStr">
        <is>
          <t>5/6</t>
        </is>
      </c>
      <c r="L4229" s="0" t="inlineStr">
        <is>
          <t>1</t>
        </is>
      </c>
    </row>
    <row r="4230">
      <c r="A4230" s="0" t="inlineStr">
        <is>
          <t>Slayer's Cleaver / Cutelo do Matador</t>
        </is>
      </c>
      <c r="B4230" s="0" t="inlineStr">
        <is>
          <t>Artifact — Equipment / Artefato — Equipamento</t>
        </is>
      </c>
      <c r="C4230" s="0" t="inlineStr">
        <is>
          <t>Uncommon / Incomum</t>
        </is>
      </c>
      <c r="D4230" s="0" t="inlineStr">
        <is>
          <t>Equipped creature gets +3/+1 and must be blocked by an Eldrazi if able. Equip {4} / A criatura equipada recebe +3/+1 e precisa ser bloqueada por um Eldrazi se estiver apta. Equipar {4}</t>
        </is>
      </c>
      <c r="E4230" s="0" t="inlineStr">
        <is>
          <t>{3}</t>
        </is>
      </c>
      <c r="F4230" s="0" t="inlineStr">
        <is>
          <t>Incolor</t>
        </is>
      </c>
      <c r="G4230" s="0" t="inlineStr"/>
      <c r="H4230" s="0" t="inlineStr">
        <is>
          <t>Eldritch Moon (EMN)</t>
        </is>
      </c>
      <c r="I4230" s="0" t="inlineStr">
        <is>
          <t>Não</t>
        </is>
      </c>
      <c r="J4230" s="0" t="inlineStr">
        <is>
          <t>2016</t>
        </is>
      </c>
      <c r="K4230" s="0" t="inlineStr"/>
      <c r="L4230" s="0" t="inlineStr">
        <is>
          <t>1</t>
        </is>
      </c>
    </row>
    <row r="4231">
      <c r="A4231" s="0" t="inlineStr">
        <is>
          <t>Geist-Fueled Scarecrow / Espantalho Movido a Geist</t>
        </is>
      </c>
      <c r="B4231" s="0" t="inlineStr">
        <is>
          <t>Artifact Creature — Scarecrow / Criatura Artefato — Espantalho</t>
        </is>
      </c>
      <c r="C4231" s="0" t="inlineStr">
        <is>
          <t>Uncommon / Incomum</t>
        </is>
      </c>
      <c r="D4231" s="0" t="inlineStr">
        <is>
          <t>Creature spells you cast cost {1} more to cast. / As mágicas de criatura que você conjura custam {1} a mais para serem conjuradas.</t>
        </is>
      </c>
      <c r="E4231" s="0" t="inlineStr">
        <is>
          <t>{4}</t>
        </is>
      </c>
      <c r="F4231" s="0" t="inlineStr">
        <is>
          <t>Incolor</t>
        </is>
      </c>
      <c r="G4231" s="0" t="inlineStr"/>
      <c r="H4231" s="0" t="inlineStr">
        <is>
          <t>Eldritch Moon (EMN)</t>
        </is>
      </c>
      <c r="I4231" s="0" t="inlineStr">
        <is>
          <t>Não</t>
        </is>
      </c>
      <c r="J4231" s="0" t="inlineStr">
        <is>
          <t>2016</t>
        </is>
      </c>
      <c r="K4231" s="0" t="inlineStr">
        <is>
          <t>4/4</t>
        </is>
      </c>
      <c r="L4231" s="0" t="inlineStr">
        <is>
          <t>1</t>
        </is>
      </c>
    </row>
    <row r="4232">
      <c r="A4232" s="0" t="inlineStr">
        <is>
          <t>Cogwork Assembler / Montador de Engrenagem</t>
        </is>
      </c>
      <c r="B4232" s="0" t="inlineStr">
        <is>
          <t>Artifact Creature — Assembly-Worker / Criatura Artefato — Operário de Linha de Montagem</t>
        </is>
      </c>
      <c r="C4232" s="0" t="inlineStr">
        <is>
          <t>Uncommon / Incomum</t>
        </is>
      </c>
      <c r="D4232" s="0" t="inlineStr">
        <is>
          <t>{7}: Create a token that's a copy of target artifact. That token gains haste. Exile it at the beginning of the next end step. / {7}: Crie uma ficha que seja uma cópia do artefato alvo. Aquela ficha ganha ímpeto. Exile-a no início da próxima etapa final.</t>
        </is>
      </c>
      <c r="E4232" s="0" t="inlineStr">
        <is>
          <t>{3}</t>
        </is>
      </c>
      <c r="F4232" s="0" t="inlineStr">
        <is>
          <t>Incolor</t>
        </is>
      </c>
      <c r="G4232" s="0" t="inlineStr"/>
      <c r="H4232" s="0" t="inlineStr">
        <is>
          <t>Aether Revolt (AER)</t>
        </is>
      </c>
      <c r="I4232" s="0" t="inlineStr">
        <is>
          <t>Não</t>
        </is>
      </c>
      <c r="J4232" s="0" t="inlineStr">
        <is>
          <t>2017</t>
        </is>
      </c>
      <c r="K4232" s="0" t="inlineStr">
        <is>
          <t>2/3</t>
        </is>
      </c>
      <c r="L4232" s="0" t="inlineStr">
        <is>
          <t>1</t>
        </is>
      </c>
    </row>
    <row r="4233">
      <c r="A4233" s="0" t="inlineStr">
        <is>
          <t>Spatial Contortion / Contorção Espacial</t>
        </is>
      </c>
      <c r="B4233" s="0" t="inlineStr">
        <is>
          <t>Instant / Mágica Instantânea</t>
        </is>
      </c>
      <c r="C4233" s="0" t="inlineStr">
        <is>
          <t>Uncommon / Incomum</t>
        </is>
      </c>
      <c r="D4233" s="0" t="inlineStr">
        <is>
          <t>({C} represents colorless mana.) Target creature gets +3/-3 until end of turn. / ({C} representa mana incolor.) A criatura alvo recebe +3/-3 até o final do turno.</t>
        </is>
      </c>
      <c r="E4233" s="0" t="inlineStr">
        <is>
          <t>{1}{C}</t>
        </is>
      </c>
      <c r="F4233" s="0" t="inlineStr">
        <is>
          <t>Incolor</t>
        </is>
      </c>
      <c r="G4233" s="0" t="inlineStr"/>
      <c r="H4233" s="0" t="inlineStr">
        <is>
          <t>Oath of the Gatewatch (OGW)</t>
        </is>
      </c>
      <c r="I4233" s="0" t="inlineStr">
        <is>
          <t>Não</t>
        </is>
      </c>
      <c r="J4233" s="0" t="inlineStr">
        <is>
          <t>2016</t>
        </is>
      </c>
      <c r="K4233" s="0" t="inlineStr"/>
      <c r="L4233" s="0" t="inlineStr">
        <is>
          <t>1</t>
        </is>
      </c>
    </row>
    <row r="4234">
      <c r="A4234" s="0" t="inlineStr">
        <is>
          <t>Selesnya Cluestone / Pedra dos Indícios Selesnya</t>
        </is>
      </c>
      <c r="B4234" s="0" t="inlineStr">
        <is>
          <t>Artifact / Artefato</t>
        </is>
      </c>
      <c r="C4234" s="0" t="inlineStr">
        <is>
          <t>Common / Comum</t>
        </is>
      </c>
      <c r="D4234" s="0" t="inlineStr">
        <is>
          <t>{T}: Add {G} or {W}. {G}{W}, {T}, Sacrifice this artifact: Draw a card. / {T}: Adicione {G} or {W}. {G}{W}, {T}, Sacrifique Pedra dos Indícios Selesnya: Compre um card.</t>
        </is>
      </c>
      <c r="E4234" s="0" t="inlineStr">
        <is>
          <t>{3}</t>
        </is>
      </c>
      <c r="F4234" s="0" t="inlineStr">
        <is>
          <t>Verde, Branco</t>
        </is>
      </c>
      <c r="G4234" s="0" t="inlineStr"/>
      <c r="H4234" s="0" t="inlineStr">
        <is>
          <t>Dragon's Maze (DGM)</t>
        </is>
      </c>
      <c r="I4234" s="0" t="inlineStr">
        <is>
          <t>Não</t>
        </is>
      </c>
      <c r="J4234" s="0" t="inlineStr">
        <is>
          <t>2013</t>
        </is>
      </c>
      <c r="K4234" s="0" t="inlineStr"/>
      <c r="L4234" s="0" t="inlineStr">
        <is>
          <t>1</t>
        </is>
      </c>
    </row>
    <row r="4235">
      <c r="A4235" s="0" t="inlineStr">
        <is>
          <t>Curious Homunculus / Homúnculo Curioso</t>
        </is>
      </c>
      <c r="B4235" s="0" t="inlineStr">
        <is>
          <t>Creature — Homunculus / Criatura — Homúnculo</t>
        </is>
      </c>
      <c r="C4235" s="0" t="inlineStr">
        <is>
          <t>Uncommon / Incomum</t>
        </is>
      </c>
      <c r="D4235" s="0" t="inlineStr">
        <is>
          <t>{T}: Add {C}. Spend this mana only to cast an instant or sorcery spell. At the beginning of your upkeep, if there are three or more instant and/or sorcery cards in your graveyard, transform this creature. / {T}: Adicione {C} à sua reserva de mana. Gaste este mana apenas para conjurar uma mágica instantânea ou um feitiço. No início de sua manutenção, se houver três ou mais cards de mágica instantânea e/ou de feitiço em seu cemitério, transforme Homúnculo Curioso.</t>
        </is>
      </c>
      <c r="E4235" s="0" t="inlineStr">
        <is>
          <t>{1}{U}</t>
        </is>
      </c>
      <c r="F4235" s="0" t="inlineStr">
        <is>
          <t>Azul</t>
        </is>
      </c>
      <c r="G4235" s="0" t="inlineStr"/>
      <c r="H4235" s="0" t="inlineStr">
        <is>
          <t>Eldritch Moon (EMN)</t>
        </is>
      </c>
      <c r="I4235" s="0" t="inlineStr">
        <is>
          <t>Não</t>
        </is>
      </c>
      <c r="J4235" s="0" t="inlineStr">
        <is>
          <t>2016</t>
        </is>
      </c>
      <c r="K4235" s="0" t="inlineStr">
        <is>
          <t>1/1</t>
        </is>
      </c>
      <c r="L4235" s="0" t="inlineStr">
        <is>
          <t>1</t>
        </is>
      </c>
    </row>
    <row r="4236">
      <c r="A4236" s="0" t="inlineStr">
        <is>
          <t>Murderer's Axe / Machado do Assassino</t>
        </is>
      </c>
      <c r="B4236" s="0" t="inlineStr">
        <is>
          <t>Artifact — Equipment / Artefato — Equipamento</t>
        </is>
      </c>
      <c r="C4236" s="0" t="inlineStr">
        <is>
          <t>Uncommon / Incomum</t>
        </is>
      </c>
      <c r="D4236" s="0" t="inlineStr">
        <is>
          <t>Equipped creature gets +2/+2. Equip—Discard a card. / A criatura equipada recebe +2/+2. Equipar — Descarte um card.</t>
        </is>
      </c>
      <c r="E4236" s="0" t="inlineStr">
        <is>
          <t>{4}</t>
        </is>
      </c>
      <c r="F4236" s="0" t="inlineStr">
        <is>
          <t>Incolor</t>
        </is>
      </c>
      <c r="G4236" s="0" t="inlineStr"/>
      <c r="H4236" s="0" t="inlineStr">
        <is>
          <t>Shadows over Innistrad (SOI)</t>
        </is>
      </c>
      <c r="I4236" s="0" t="inlineStr">
        <is>
          <t>Não</t>
        </is>
      </c>
      <c r="J4236" s="0" t="inlineStr">
        <is>
          <t>2016</t>
        </is>
      </c>
      <c r="K4236" s="0" t="inlineStr"/>
      <c r="L4236" s="0" t="inlineStr">
        <is>
          <t>1</t>
        </is>
      </c>
    </row>
    <row r="4237">
      <c r="A4237" s="0" t="inlineStr">
        <is>
          <t>Epitaph Golem / Golem do Epitáfio</t>
        </is>
      </c>
      <c r="B4237" s="0" t="inlineStr">
        <is>
          <t>Artifact Creature — Golem / Criatura Artefato — Golem</t>
        </is>
      </c>
      <c r="C4237" s="0" t="inlineStr">
        <is>
          <t>Uncommon / Incomum</t>
        </is>
      </c>
      <c r="D4237" s="0" t="inlineStr">
        <is>
          <t>{2}: Put target card from your graveyard on the bottom of your library. / {2}: Coloque o card alvo de seu cemitério no fundo de seu grimório.</t>
        </is>
      </c>
      <c r="E4237" s="0" t="inlineStr">
        <is>
          <t>{5}</t>
        </is>
      </c>
      <c r="F4237" s="0" t="inlineStr">
        <is>
          <t>Incolor</t>
        </is>
      </c>
      <c r="G4237" s="0" t="inlineStr"/>
      <c r="H4237" s="0" t="inlineStr">
        <is>
          <t>Shadows over Innistrad (SOI)</t>
        </is>
      </c>
      <c r="I4237" s="0" t="inlineStr">
        <is>
          <t>Não</t>
        </is>
      </c>
      <c r="J4237" s="0" t="inlineStr">
        <is>
          <t>2016</t>
        </is>
      </c>
      <c r="K4237" s="0" t="inlineStr">
        <is>
          <t>3/5</t>
        </is>
      </c>
      <c r="L4237" s="0" t="inlineStr">
        <is>
          <t>1</t>
        </is>
      </c>
    </row>
    <row r="4238">
      <c r="A4238" s="0" t="inlineStr">
        <is>
          <t>Wild-Field Scarecrow / Espantalho do Campo Selvagem</t>
        </is>
      </c>
      <c r="B4238" s="0" t="inlineStr">
        <is>
          <t>Artifact Creature — Scarecrow / Criatura Artefato — Espantalho</t>
        </is>
      </c>
      <c r="C4238" s="0" t="inlineStr">
        <is>
          <t>Uncommon / Incomum</t>
        </is>
      </c>
      <c r="D4238" s="0" t="inlineStr">
        <is>
          <t>Defender {2}, Sacrifice this creature: Search your library for up to two basic land cards, reveal them, put them into your hand, then shuffle. / Defensor {2}, Sacrifique Espantalho do Campo Selvagem: Procure em seu grimório até dois cards de terreno básico, revele-os e coloque-os em sua mão. Depois, embaralhe seu grimório.</t>
        </is>
      </c>
      <c r="E4238" s="0" t="inlineStr">
        <is>
          <t>{3}</t>
        </is>
      </c>
      <c r="F4238" s="0" t="inlineStr">
        <is>
          <t>Incolor</t>
        </is>
      </c>
      <c r="G4238" s="0" t="inlineStr"/>
      <c r="H4238" s="0" t="inlineStr">
        <is>
          <t>Shadows over Innistrad (SOI)</t>
        </is>
      </c>
      <c r="I4238" s="0" t="inlineStr">
        <is>
          <t>Não</t>
        </is>
      </c>
      <c r="J4238" s="0" t="inlineStr">
        <is>
          <t>2016</t>
        </is>
      </c>
      <c r="K4238" s="0" t="inlineStr">
        <is>
          <t>1/4</t>
        </is>
      </c>
      <c r="L4238" s="0" t="inlineStr">
        <is>
          <t>1</t>
        </is>
      </c>
    </row>
    <row r="4239">
      <c r="A4239" s="0" t="inlineStr">
        <is>
          <t>Crackdown Construct / Constructo Repressor</t>
        </is>
      </c>
      <c r="B4239" s="0" t="inlineStr">
        <is>
          <t>Artifact Creature — Construct / Criatura Artefato — Constructo</t>
        </is>
      </c>
      <c r="C4239" s="0" t="inlineStr">
        <is>
          <t>Uncommon / Incomum</t>
        </is>
      </c>
      <c r="D4239" s="0" t="inlineStr">
        <is>
          <t>Whenever you activate an ability of an artifact or creature that isn't a mana ability, this creature gets +1/+1 until end of turn. / Toda vez que você ativa uma habilidade de um artefato ou criatura que não seja uma habilidade de mana, Constructo Repressor recebe +1/+1 até o final do turno.</t>
        </is>
      </c>
      <c r="E4239" s="0" t="inlineStr">
        <is>
          <t>{4}</t>
        </is>
      </c>
      <c r="F4239" s="0" t="inlineStr">
        <is>
          <t>Incolor</t>
        </is>
      </c>
      <c r="G4239" s="0" t="inlineStr"/>
      <c r="H4239" s="0" t="inlineStr">
        <is>
          <t>Aether Revolt (AER)</t>
        </is>
      </c>
      <c r="I4239" s="0" t="inlineStr">
        <is>
          <t>Não</t>
        </is>
      </c>
      <c r="J4239" s="0" t="inlineStr">
        <is>
          <t>2017</t>
        </is>
      </c>
      <c r="K4239" s="0" t="inlineStr">
        <is>
          <t>2/2</t>
        </is>
      </c>
      <c r="L4239" s="0" t="inlineStr">
        <is>
          <t>1</t>
        </is>
      </c>
    </row>
    <row r="4240">
      <c r="A4240" s="0" t="inlineStr">
        <is>
          <t>Decoction Module / Módulo de Decocção</t>
        </is>
      </c>
      <c r="B4240" s="0" t="inlineStr">
        <is>
          <t>Artifact / Artefato</t>
        </is>
      </c>
      <c r="C4240" s="0" t="inlineStr">
        <is>
          <t>Uncommon / Incomum</t>
        </is>
      </c>
      <c r="D4240" s="0" t="inlineStr">
        <is>
          <t>Whenever a creature you control enters, you get {E} (an energy counter). {4}, {T}: Return target creature you control to its owner's hand. / Toda vez que uma criatura entra no campo de batalha sob seu controle, você recebe {E} (um marcador de energia). {4}, {T}: Devolva a criatura alvo que você controla para a mão de seu dono.</t>
        </is>
      </c>
      <c r="E4240" s="0" t="inlineStr">
        <is>
          <t>{2}</t>
        </is>
      </c>
      <c r="F4240" s="0" t="inlineStr">
        <is>
          <t>Incolor</t>
        </is>
      </c>
      <c r="G4240" s="0" t="inlineStr"/>
      <c r="H4240" s="0" t="inlineStr">
        <is>
          <t>Kaladesh (KLD)</t>
        </is>
      </c>
      <c r="I4240" s="0" t="inlineStr">
        <is>
          <t>Não</t>
        </is>
      </c>
      <c r="J4240" s="0" t="inlineStr">
        <is>
          <t>2016</t>
        </is>
      </c>
      <c r="K4240" s="0" t="inlineStr"/>
      <c r="L4240" s="0" t="inlineStr">
        <is>
          <t>1</t>
        </is>
      </c>
    </row>
    <row r="4241">
      <c r="A4241" s="0" t="inlineStr">
        <is>
          <t>Demolition Stomper / Pisoteador de Demolição</t>
        </is>
      </c>
      <c r="B4241" s="0" t="inlineStr">
        <is>
          <t>Artifact — Vehicle / Artefato — Veículo</t>
        </is>
      </c>
      <c r="C4241" s="0" t="inlineStr">
        <is>
          <t>Uncommon / Incomum</t>
        </is>
      </c>
      <c r="D4241" s="0" t="inlineStr">
        <is>
          <t>This Vehicle can't be blocked by creatures with power 2 or less. Crew 5 (Tap any number of creatures you control with total power 5 or more: This Vehicle becomes an artifact creature until end of turn.) / Pisoteador de Demolição não pode ser bloqueado por criaturas com poder igual ou inferior a 2. Tripular 5 (Vire qualquer número de criaturas que você controla com total de poder igual ou superior a 5: Este Veículo se torna uma criatura artefato até o final do turno.)</t>
        </is>
      </c>
      <c r="E4241" s="0" t="inlineStr">
        <is>
          <t>{6}</t>
        </is>
      </c>
      <c r="F4241" s="0" t="inlineStr">
        <is>
          <t>Incolor</t>
        </is>
      </c>
      <c r="G4241" s="0" t="inlineStr"/>
      <c r="H4241" s="0" t="inlineStr">
        <is>
          <t>Kaladesh (KLD)</t>
        </is>
      </c>
      <c r="I4241" s="0" t="inlineStr">
        <is>
          <t>Não</t>
        </is>
      </c>
      <c r="J4241" s="0" t="inlineStr">
        <is>
          <t>2016</t>
        </is>
      </c>
      <c r="K4241" s="0" t="inlineStr">
        <is>
          <t>10/7</t>
        </is>
      </c>
      <c r="L4241" s="0" t="inlineStr">
        <is>
          <t>1</t>
        </is>
      </c>
    </row>
    <row r="4242">
      <c r="A4242" s="0" t="inlineStr">
        <is>
          <t>Ballista Charger / Balista de Ataque</t>
        </is>
      </c>
      <c r="B4242" s="0" t="inlineStr">
        <is>
          <t>Artifact — Vehicle / Artefato — Veículo</t>
        </is>
      </c>
      <c r="C4242" s="0" t="inlineStr">
        <is>
          <t>Uncommon / Incomum</t>
        </is>
      </c>
      <c r="D4242" s="0" t="inlineStr">
        <is>
          <t>Whenever this Vehicle attacks, it deals 1 damage to any target. Crew 3 (Tap any number of creatures you control with total power 3 or more: This Vehicle becomes an artifact creature until end of turn.) / Toda vez que Balista de Ataque ataca, ela causa 1 ponto de dano à criatura ou ao jogador alvo. Tripular 3 (Vire qualquer número de criaturas que você controla com total de poder igual ou superior a 3: Este Veículo se torna uma criatura artefato até o final do turno.)</t>
        </is>
      </c>
      <c r="E4242" s="0" t="inlineStr">
        <is>
          <t>{5}</t>
        </is>
      </c>
      <c r="F4242" s="0" t="inlineStr">
        <is>
          <t>Incolor</t>
        </is>
      </c>
      <c r="G4242" s="0" t="inlineStr"/>
      <c r="H4242" s="0" t="inlineStr">
        <is>
          <t>Kaladesh (KLD)</t>
        </is>
      </c>
      <c r="I4242" s="0" t="inlineStr">
        <is>
          <t>Não</t>
        </is>
      </c>
      <c r="J4242" s="0" t="inlineStr">
        <is>
          <t>2016</t>
        </is>
      </c>
      <c r="K4242" s="0" t="inlineStr">
        <is>
          <t>6/6</t>
        </is>
      </c>
      <c r="L4242" s="0" t="inlineStr">
        <is>
          <t>1</t>
        </is>
      </c>
    </row>
    <row r="4243">
      <c r="A4243" s="0" t="inlineStr">
        <is>
          <t>Strider Harness / Arreio de Andarilho</t>
        </is>
      </c>
      <c r="B4243" s="0" t="inlineStr">
        <is>
          <t>Artifact — Equipment / Artefato — Equipamento</t>
        </is>
      </c>
      <c r="C4243" s="0" t="inlineStr">
        <is>
          <t>Uncommon / Incomum</t>
        </is>
      </c>
      <c r="D4243" s="0" t="inlineStr">
        <is>
          <t>Equipped creature gets +1/+1 and has haste. Equip {1} ({1}: Attach to target creature you control. Equip only as a sorcery.) / A criatura equipada recebe +1/+1 e tem ímpeto. Equipar {1} ({1}: Anexe este equipamento à criatura alvo que você controla. Equipe somente como um feitiço.)</t>
        </is>
      </c>
      <c r="E4243" s="0" t="inlineStr">
        <is>
          <t>{3}</t>
        </is>
      </c>
      <c r="F4243" s="0" t="inlineStr">
        <is>
          <t>Incolor</t>
        </is>
      </c>
      <c r="G4243" s="0" t="inlineStr"/>
      <c r="H4243" s="0" t="inlineStr">
        <is>
          <t>Oath of the Gatewatch (OGW)</t>
        </is>
      </c>
      <c r="I4243" s="0" t="inlineStr">
        <is>
          <t>Não</t>
        </is>
      </c>
      <c r="J4243" s="0" t="inlineStr">
        <is>
          <t>2016</t>
        </is>
      </c>
      <c r="K4243" s="0" t="inlineStr"/>
      <c r="L4243" s="0" t="inlineStr">
        <is>
          <t>1</t>
        </is>
      </c>
    </row>
    <row r="4244">
      <c r="A4244" s="0" t="inlineStr">
        <is>
          <t>Sphinx of the Guildpact / Esfinge do Pacto das Guildas</t>
        </is>
      </c>
      <c r="B4244" s="0" t="inlineStr">
        <is>
          <t>Artifact Creature — Sphinx / Criatura Artefato — Esfinge</t>
        </is>
      </c>
      <c r="C4244" s="0" t="inlineStr">
        <is>
          <t>Uncommon / Incomum</t>
        </is>
      </c>
      <c r="D4244" s="0" t="inlineStr">
        <is>
          <t>Sphinx of the Guildpact is all colors. Flying Hexproof from monocolored (This creature can't be the target of monocolored spells or abilities your opponents control.) / Esfinge do Pacto das Guildas é de todas as cores. Voar Resistência à magia monocolor (Esta criatura não pode ser alvo de mágicas nem habilidades monocolores que seus oponentes controlam.)</t>
        </is>
      </c>
      <c r="E4244" s="0" t="inlineStr">
        <is>
          <t>{7}</t>
        </is>
      </c>
      <c r="F4244" s="0" t="inlineStr">
        <is>
          <t>Preto, Verde, Vermelho, Azul, Branco</t>
        </is>
      </c>
      <c r="G4244" s="0" t="inlineStr"/>
      <c r="H4244" s="0" t="inlineStr">
        <is>
          <t>Ravnica Allegiance (RNA)</t>
        </is>
      </c>
      <c r="I4244" s="0" t="inlineStr">
        <is>
          <t>Não</t>
        </is>
      </c>
      <c r="J4244" s="0" t="inlineStr">
        <is>
          <t>2019</t>
        </is>
      </c>
      <c r="K4244" s="0" t="inlineStr">
        <is>
          <t>5/5</t>
        </is>
      </c>
      <c r="L4244" s="0" t="inlineStr">
        <is>
          <t>1</t>
        </is>
      </c>
    </row>
    <row r="4245">
      <c r="A4245" s="0" t="inlineStr">
        <is>
          <t>Wreck Remover</t>
        </is>
      </c>
      <c r="B4245" s="0" t="inlineStr">
        <is>
          <t>Artifact Creature — Construct</t>
        </is>
      </c>
      <c r="C4245" s="0" t="inlineStr">
        <is>
          <t>Common / Comum</t>
        </is>
      </c>
      <c r="D4245" s="0" t="inlineStr">
        <is>
          <t>Whenever this creature enters or attacks, exile up to one target card from a graveyard. You gain 1 life. Cycling {2} ({2}, Discard this card: Draw a card.)</t>
        </is>
      </c>
      <c r="E4245" s="0" t="inlineStr">
        <is>
          <t>{4}</t>
        </is>
      </c>
      <c r="F4245" s="0" t="inlineStr">
        <is>
          <t>Incolor</t>
        </is>
      </c>
      <c r="G4245" s="0" t="inlineStr"/>
      <c r="H4245" s="0" t="inlineStr">
        <is>
          <t>Aetherdrift (DFT)</t>
        </is>
      </c>
      <c r="I4245" s="0" t="inlineStr">
        <is>
          <t>Não</t>
        </is>
      </c>
      <c r="J4245" s="0" t="inlineStr">
        <is>
          <t>2025</t>
        </is>
      </c>
      <c r="K4245" s="0" t="inlineStr">
        <is>
          <t>3/4</t>
        </is>
      </c>
      <c r="L4245" s="0" t="inlineStr">
        <is>
          <t>1</t>
        </is>
      </c>
    </row>
    <row r="4246">
      <c r="A4246" s="0" t="inlineStr">
        <is>
          <t>Bosh, Iron Golem / Bosh, Golem de Ferro</t>
        </is>
      </c>
      <c r="B4246" s="0" t="inlineStr">
        <is>
          <t>Legendary Artifact Creature — Golem / Criatura Artefato Lendária — Golem</t>
        </is>
      </c>
      <c r="C4246" s="0" t="inlineStr">
        <is>
          <t>Rare / Rara</t>
        </is>
      </c>
      <c r="D4246" s="0" t="inlineStr">
        <is>
          <t>Trample {3}{R}, Sacrifice an artifact: Bosh deals damage equal to the sacrificed artifact's mana value to any target. / Atropelar {3}{R}, sacrifique um artefato: Bosh, Golem de Ferro, causa a qualquer alvo dano igual ao valor de mana do artefato sacrificado.</t>
        </is>
      </c>
      <c r="E4246" s="0" t="inlineStr">
        <is>
          <t>{8}</t>
        </is>
      </c>
      <c r="F4246" s="0" t="inlineStr">
        <is>
          <t>Vermelho</t>
        </is>
      </c>
      <c r="G4246" s="0" t="inlineStr"/>
      <c r="H4246" s="0" t="inlineStr">
        <is>
          <t>Commander Anthology Volume II (CM2)</t>
        </is>
      </c>
      <c r="I4246" s="0" t="inlineStr">
        <is>
          <t>Sim</t>
        </is>
      </c>
      <c r="J4246" s="0" t="inlineStr">
        <is>
          <t>2018</t>
        </is>
      </c>
      <c r="K4246" s="0" t="inlineStr">
        <is>
          <t>6/7</t>
        </is>
      </c>
      <c r="L4246" s="0" t="inlineStr">
        <is>
          <t>1</t>
        </is>
      </c>
    </row>
    <row r="4247">
      <c r="A4247" s="0" t="inlineStr">
        <is>
          <t>Untethered Express / Expresso Desengatado</t>
        </is>
      </c>
      <c r="B4247" s="0" t="inlineStr">
        <is>
          <t>Artifact — Vehicle / Artefato — Veículo</t>
        </is>
      </c>
      <c r="C4247" s="0" t="inlineStr">
        <is>
          <t>Uncommon / Incomum</t>
        </is>
      </c>
      <c r="D4247" s="0" t="inlineStr">
        <is>
          <t>Trample Whenever this Vehicle attacks, put a +1/+1 counter on it. Crew 1 (Tap any number of creatures you control with total power 1 or more: This Vehicle becomes an artifact creature until end of turn.) / Atropelar Toda vez que Expresso Desengatado atacar, coloque um marcador +1/+1 nele. Tripular 1 (Vire qualquer número de criaturas que você controla com total de poder igual ou superior a 1: Este Veículo se torna uma criatura artefato até o final do turno.)</t>
        </is>
      </c>
      <c r="E4247" s="0" t="inlineStr">
        <is>
          <t>{4}</t>
        </is>
      </c>
      <c r="F4247" s="0" t="inlineStr">
        <is>
          <t>Incolor</t>
        </is>
      </c>
      <c r="G4247" s="0" t="inlineStr"/>
      <c r="H4247" s="0" t="inlineStr">
        <is>
          <t>Aether Revolt (AER)</t>
        </is>
      </c>
      <c r="I4247" s="0" t="inlineStr">
        <is>
          <t>Não</t>
        </is>
      </c>
      <c r="J4247" s="0" t="inlineStr">
        <is>
          <t>2017</t>
        </is>
      </c>
      <c r="K4247" s="0" t="inlineStr">
        <is>
          <t>4/4</t>
        </is>
      </c>
      <c r="L4247" s="0" t="inlineStr">
        <is>
          <t>1</t>
        </is>
      </c>
    </row>
    <row r="4248">
      <c r="A4248" s="0" t="inlineStr">
        <is>
          <t>Servo Schematic / Diagrama de Servus</t>
        </is>
      </c>
      <c r="B4248" s="0" t="inlineStr">
        <is>
          <t>Artifact / Artefato</t>
        </is>
      </c>
      <c r="C4248" s="0" t="inlineStr">
        <is>
          <t>Uncommon / Incomum</t>
        </is>
      </c>
      <c r="D4248" s="0" t="inlineStr">
        <is>
          <t>When this artifact enters or is put into a graveyard from the battlefield, create a 1/1 colorless Servo artifact creature token. / Quando Diagrama de Servus entrar no campo de batalha ou for colocado no cemitério vindo do campo de batalha, crie uma ficha de criatura artefato incolor 1/1 do tipo Servus.</t>
        </is>
      </c>
      <c r="E4248" s="0" t="inlineStr">
        <is>
          <t>{2}</t>
        </is>
      </c>
      <c r="F4248" s="0" t="inlineStr">
        <is>
          <t>Incolor</t>
        </is>
      </c>
      <c r="G4248" s="0" t="inlineStr"/>
      <c r="H4248" s="0" t="inlineStr">
        <is>
          <t>Aether Revolt (AER)</t>
        </is>
      </c>
      <c r="I4248" s="0" t="inlineStr">
        <is>
          <t>Não</t>
        </is>
      </c>
      <c r="J4248" s="0" t="inlineStr">
        <is>
          <t>2017</t>
        </is>
      </c>
      <c r="K4248" s="0" t="inlineStr"/>
      <c r="L4248" s="0" t="inlineStr">
        <is>
          <t>1</t>
        </is>
      </c>
    </row>
    <row r="4249">
      <c r="A4249" s="0" t="inlineStr">
        <is>
          <t>Pacification Array / Matriz de Pacificação</t>
        </is>
      </c>
      <c r="B4249" s="0" t="inlineStr">
        <is>
          <t>Artifact / Artefato</t>
        </is>
      </c>
      <c r="C4249" s="0" t="inlineStr">
        <is>
          <t>Uncommon / Incomum</t>
        </is>
      </c>
      <c r="D4249" s="0" t="inlineStr">
        <is>
          <t>{2}, {T}: Tap target artifact or creature. / {2}, {T}: Vire o artefato ou a criatura alvo.</t>
        </is>
      </c>
      <c r="E4249" s="0" t="inlineStr">
        <is>
          <t>{1}</t>
        </is>
      </c>
      <c r="F4249" s="0" t="inlineStr">
        <is>
          <t>Incolor</t>
        </is>
      </c>
      <c r="G4249" s="0" t="inlineStr"/>
      <c r="H4249" s="0" t="inlineStr">
        <is>
          <t>Aether Revolt (AER)</t>
        </is>
      </c>
      <c r="I4249" s="0" t="inlineStr">
        <is>
          <t>Não</t>
        </is>
      </c>
      <c r="J4249" s="0" t="inlineStr">
        <is>
          <t>2017</t>
        </is>
      </c>
      <c r="K4249" s="0" t="inlineStr"/>
      <c r="L4249" s="0" t="inlineStr">
        <is>
          <t>1</t>
        </is>
      </c>
    </row>
    <row r="4250">
      <c r="A4250" s="0" t="inlineStr">
        <is>
          <t>Mirror Golem / Golem Espelhado</t>
        </is>
      </c>
      <c r="B4250" s="0" t="inlineStr">
        <is>
          <t>Artifact Creature — Golem / Criatura Artefato — Golem</t>
        </is>
      </c>
      <c r="C4250" s="0" t="inlineStr">
        <is>
          <t>Uncommon / Incomum</t>
        </is>
      </c>
      <c r="D4250" s="0" t="inlineStr">
        <is>
          <t>Imprint — When this creature enters, you may exile target card from a graveyard. This creature has protection from each of the exiled card's card types. (Artifact, battle, creature, enchantment, instant, kindred, land, planeswalker, and sorcery are card types.) / Estampar Quando Golem Espelhado entra em jogo, você pode remover de jogo o artefato alvo que estiver num cemitério. (O card removido fica estampado neste artefato.) Golem Espelhado tem proteção contra cada um dos tipos de card do card estampado. (Os tipos de cards são artefato, criatura, encantamento, mágica instantânea, terreno e feitiço.)</t>
        </is>
      </c>
      <c r="E4250" s="0" t="inlineStr">
        <is>
          <t>{6}</t>
        </is>
      </c>
      <c r="F4250" s="0" t="inlineStr">
        <is>
          <t>Incolor</t>
        </is>
      </c>
      <c r="G4250" s="0" t="inlineStr"/>
      <c r="H4250" s="0" t="inlineStr">
        <is>
          <t>Mirrodin (MRD)</t>
        </is>
      </c>
      <c r="I4250" s="0" t="inlineStr">
        <is>
          <t>Não</t>
        </is>
      </c>
      <c r="J4250" s="0" t="inlineStr">
        <is>
          <t>2003</t>
        </is>
      </c>
      <c r="K4250" s="0" t="inlineStr">
        <is>
          <t>3/4</t>
        </is>
      </c>
      <c r="L4250" s="0" t="inlineStr">
        <is>
          <t>1</t>
        </is>
      </c>
    </row>
    <row r="4251">
      <c r="A4251" s="0" t="inlineStr">
        <is>
          <t>Fabrication Module / Módulo de Fabricação</t>
        </is>
      </c>
      <c r="B4251" s="0" t="inlineStr">
        <is>
          <t>Artifact / Artefato</t>
        </is>
      </c>
      <c r="C4251" s="0" t="inlineStr">
        <is>
          <t>Uncommon / Incomum</t>
        </is>
      </c>
      <c r="D4251" s="0" t="inlineStr">
        <is>
          <t>Whenever you get one or more {E} (energy counters), put a +1/+1 counter on target creature you control. {4}, {T}: You get {E}. / Toda vez que você receber um ou mais {E} (marcadores de energia), coloque um marcador +1/+1 na criatura alvo que você controla. {4}, {T}: Você recebe {E}.</t>
        </is>
      </c>
      <c r="E4251" s="0" t="inlineStr">
        <is>
          <t>{3}</t>
        </is>
      </c>
      <c r="F4251" s="0" t="inlineStr">
        <is>
          <t>Incolor</t>
        </is>
      </c>
      <c r="G4251" s="0" t="inlineStr"/>
      <c r="H4251" s="0" t="inlineStr">
        <is>
          <t>Kaladesh (KLD)</t>
        </is>
      </c>
      <c r="I4251" s="0" t="inlineStr">
        <is>
          <t>Não</t>
        </is>
      </c>
      <c r="J4251" s="0" t="inlineStr">
        <is>
          <t>2016</t>
        </is>
      </c>
      <c r="K4251" s="0" t="inlineStr"/>
      <c r="L4251" s="0" t="inlineStr">
        <is>
          <t>1</t>
        </is>
      </c>
    </row>
    <row r="4252">
      <c r="A4252" s="0" t="inlineStr">
        <is>
          <t>Timber Gorge / Desfiladeiro da Mata</t>
        </is>
      </c>
      <c r="B4252" s="0" t="inlineStr">
        <is>
          <t>Land / Terreno</t>
        </is>
      </c>
      <c r="C4252" s="0" t="inlineStr">
        <is>
          <t>Uncommon / Incomum</t>
        </is>
      </c>
      <c r="D4252" s="0" t="inlineStr">
        <is>
          <t>This land enters tapped. {T}: Add {R} or {G}. / Desfiladeiro da Mata entra no campo de batalha virado. {T}: Adicione {R} ou {G} à sua reserva de mana.</t>
        </is>
      </c>
      <c r="E4252" s="0" t="inlineStr"/>
      <c r="F4252" s="0" t="inlineStr">
        <is>
          <t>Verde, Vermelho</t>
        </is>
      </c>
      <c r="G4252" s="0" t="inlineStr"/>
      <c r="H4252" s="0" t="inlineStr">
        <is>
          <t>Oath of the Gatewatch (OGW)</t>
        </is>
      </c>
      <c r="I4252" s="0" t="inlineStr">
        <is>
          <t>Não</t>
        </is>
      </c>
      <c r="J4252" s="0" t="inlineStr">
        <is>
          <t>2016</t>
        </is>
      </c>
      <c r="K4252" s="0" t="inlineStr"/>
      <c r="L4252" s="0" t="inlineStr">
        <is>
          <t>1</t>
        </is>
      </c>
    </row>
    <row r="4253">
      <c r="A4253" s="0" t="inlineStr">
        <is>
          <t>Steward of Valeron / Intendente de Valeron</t>
        </is>
      </c>
      <c r="B4253" s="0" t="inlineStr">
        <is>
          <t>Creature — Human Druid Knight / Criatura — Humano Druida Cavaleiro</t>
        </is>
      </c>
      <c r="C4253" s="0" t="inlineStr">
        <is>
          <t>Common / Comum</t>
        </is>
      </c>
      <c r="D4253" s="0" t="inlineStr">
        <is>
          <t>Vigilance {T}: Add {G}. / Vigilância {T}: Adicione {G} à sua reserva de mana.</t>
        </is>
      </c>
      <c r="E4253" s="0" t="inlineStr">
        <is>
          <t>{G}{W}</t>
        </is>
      </c>
      <c r="F4253" s="0" t="inlineStr">
        <is>
          <t>Verde, Branco</t>
        </is>
      </c>
      <c r="G4253" s="0" t="inlineStr"/>
      <c r="H4253" s="0" t="inlineStr">
        <is>
          <t>Shards of Alara (ALA)</t>
        </is>
      </c>
      <c r="I4253" s="0" t="inlineStr">
        <is>
          <t>Não</t>
        </is>
      </c>
      <c r="J4253" s="0" t="inlineStr">
        <is>
          <t>2008</t>
        </is>
      </c>
      <c r="K4253" s="0" t="inlineStr">
        <is>
          <t>2/2</t>
        </is>
      </c>
      <c r="L4253" s="0" t="inlineStr">
        <is>
          <t>1</t>
        </is>
      </c>
    </row>
    <row r="4254">
      <c r="A4254" s="0" t="inlineStr">
        <is>
          <t>Clan Guildmage / Maga de Guilda do Clã</t>
        </is>
      </c>
      <c r="B4254" s="0" t="inlineStr">
        <is>
          <t>Creature — Human Shaman / Criatura — Humano Xamã</t>
        </is>
      </c>
      <c r="C4254" s="0" t="inlineStr">
        <is>
          <t>Uncommon / Incomum</t>
        </is>
      </c>
      <c r="D4254" s="0" t="inlineStr">
        <is>
          <t>{1}{R}, {T}: Target creature can't block this turn. {2}{G}, {T}: Target land you control becomes a 4/4 Elemental creature with haste until end of turn. It's still a land. / {1}{R}, {T}: A criatura alvo não pode bloquear neste turno. {2}{G}, {T}: O terreno alvo que você controla torna-se uma criatura 4/4 do tipo Elemental com ímpeto até o final do turno. Ela ainda é um terreno.</t>
        </is>
      </c>
      <c r="E4254" s="0" t="inlineStr">
        <is>
          <t>{R}{G}</t>
        </is>
      </c>
      <c r="F4254" s="0" t="inlineStr">
        <is>
          <t>Verde, Vermelho</t>
        </is>
      </c>
      <c r="G4254" s="0" t="inlineStr"/>
      <c r="H4254" s="0" t="inlineStr">
        <is>
          <t>Ravnica Allegiance (RNA)</t>
        </is>
      </c>
      <c r="I4254" s="0" t="inlineStr">
        <is>
          <t>Não</t>
        </is>
      </c>
      <c r="J4254" s="0" t="inlineStr">
        <is>
          <t>2019</t>
        </is>
      </c>
      <c r="K4254" s="0" t="inlineStr">
        <is>
          <t>2/2</t>
        </is>
      </c>
      <c r="L4254" s="0" t="inlineStr">
        <is>
          <t>1</t>
        </is>
      </c>
    </row>
    <row r="4255">
      <c r="A4255" s="0" t="inlineStr">
        <is>
          <t>Swarm Guildmage / Mago da Guilda do Enxame</t>
        </is>
      </c>
      <c r="B4255" s="0" t="inlineStr">
        <is>
          <t>Creature — Elf Shaman / Criatura — Elfo Xamã</t>
        </is>
      </c>
      <c r="C4255" s="0" t="inlineStr">
        <is>
          <t>Uncommon / Incomum</t>
        </is>
      </c>
      <c r="D4255" s="0" t="inlineStr">
        <is>
          <t>{4}{B}, {T}: Creatures you control get +1/+0 and gain menace until end of turn. (They can't be blocked except by two or more creatures.) {1}{G}, {T}: You gain 2 life. / {4}{B}, {T}: As criaturas que você controla recebem +1/+0 e ganham ameaçar até o final do turno. (Elas só podem ser bloqueadas por duas ou mais criaturas.) {1}{G}, {T}: Você ganha 2 pontos de vida.</t>
        </is>
      </c>
      <c r="E4255" s="0" t="inlineStr">
        <is>
          <t>{B}{G}</t>
        </is>
      </c>
      <c r="F4255" s="0" t="inlineStr">
        <is>
          <t>Preto, Verde</t>
        </is>
      </c>
      <c r="G4255" s="0" t="inlineStr"/>
      <c r="H4255" s="0" t="inlineStr">
        <is>
          <t>Guilds of Ravnica (GRN)</t>
        </is>
      </c>
      <c r="I4255" s="0" t="inlineStr">
        <is>
          <t>Não</t>
        </is>
      </c>
      <c r="J4255" s="0" t="inlineStr">
        <is>
          <t>2018</t>
        </is>
      </c>
      <c r="K4255" s="0" t="inlineStr">
        <is>
          <t>2/2</t>
        </is>
      </c>
      <c r="L4255" s="0" t="inlineStr">
        <is>
          <t>1</t>
        </is>
      </c>
    </row>
    <row r="4256">
      <c r="A4256" s="0" t="inlineStr">
        <is>
          <t>Esper Cormorants / Cormorões de Esper</t>
        </is>
      </c>
      <c r="B4256" s="0" t="inlineStr">
        <is>
          <t>Artifact Creature — Bird / Criatura Artefato — Ave</t>
        </is>
      </c>
      <c r="C4256" s="0" t="inlineStr">
        <is>
          <t>Common / Comum</t>
        </is>
      </c>
      <c r="D4256" s="0" t="inlineStr">
        <is>
          <t>Flying / Voar</t>
        </is>
      </c>
      <c r="E4256" s="0" t="inlineStr">
        <is>
          <t>{2}{W}{U}</t>
        </is>
      </c>
      <c r="F4256" s="0" t="inlineStr">
        <is>
          <t>Azul, Branco</t>
        </is>
      </c>
      <c r="G4256" s="0" t="inlineStr"/>
      <c r="H4256" s="0" t="inlineStr">
        <is>
          <t>Conflux (CON)</t>
        </is>
      </c>
      <c r="I4256" s="0" t="inlineStr">
        <is>
          <t>Não</t>
        </is>
      </c>
      <c r="J4256" s="0" t="inlineStr">
        <is>
          <t>2009</t>
        </is>
      </c>
      <c r="K4256" s="0" t="inlineStr">
        <is>
          <t>3/3</t>
        </is>
      </c>
      <c r="L4256" s="0" t="inlineStr">
        <is>
          <t>1</t>
        </is>
      </c>
    </row>
    <row r="4257">
      <c r="A4257" s="0" t="inlineStr">
        <is>
          <t>Vectis Agents / Agentes de Vectis</t>
        </is>
      </c>
      <c r="B4257" s="0" t="inlineStr">
        <is>
          <t>Artifact Creature — Human Rogue / Criatura Artefato — Humano Ladino</t>
        </is>
      </c>
      <c r="C4257" s="0" t="inlineStr">
        <is>
          <t>Common / Comum</t>
        </is>
      </c>
      <c r="D4257" s="0" t="inlineStr">
        <is>
          <t>{U}{B}: This creature gets -2/-0 until end of turn and can't be blocked this turn. / {U}{B}: Agentes de Vectis recebe -2/-0 até o final do turno e não pode ser bloqueado neste turno.</t>
        </is>
      </c>
      <c r="E4257" s="0" t="inlineStr">
        <is>
          <t>{3}{U}{B}</t>
        </is>
      </c>
      <c r="F4257" s="0" t="inlineStr">
        <is>
          <t>Preto, Azul</t>
        </is>
      </c>
      <c r="G4257" s="0" t="inlineStr"/>
      <c r="H4257" s="0" t="inlineStr">
        <is>
          <t>Conflux (CON)</t>
        </is>
      </c>
      <c r="I4257" s="0" t="inlineStr">
        <is>
          <t>Não</t>
        </is>
      </c>
      <c r="J4257" s="0" t="inlineStr">
        <is>
          <t>2009</t>
        </is>
      </c>
      <c r="K4257" s="0" t="inlineStr">
        <is>
          <t>4/3</t>
        </is>
      </c>
      <c r="L4257" s="0" t="inlineStr">
        <is>
          <t>1</t>
        </is>
      </c>
    </row>
    <row r="4258">
      <c r="A4258" s="0" t="inlineStr">
        <is>
          <t>Joraga Auxiliary / Auxiliar Joraga</t>
        </is>
      </c>
      <c r="B4258" s="0" t="inlineStr">
        <is>
          <t>Creature — Elf Soldier Ally / Criatura — Elfo Soldado Aliado</t>
        </is>
      </c>
      <c r="C4258" s="0" t="inlineStr">
        <is>
          <t>Uncommon / Incomum</t>
        </is>
      </c>
      <c r="D4258" s="0" t="inlineStr">
        <is>
          <t>{4}{G}{W}: Support 2. (Put a +1/+1 counter on each of up to two other target creatures.) / {4}{G}{W}: Suporte 2. (Coloque um marcador +1/+1 em cada uma de até duas outras criaturas alvo.)</t>
        </is>
      </c>
      <c r="E4258" s="0" t="inlineStr">
        <is>
          <t>{1}{G}{W}</t>
        </is>
      </c>
      <c r="F4258" s="0" t="inlineStr">
        <is>
          <t>Verde, Branco</t>
        </is>
      </c>
      <c r="G4258" s="0" t="inlineStr"/>
      <c r="H4258" s="0" t="inlineStr">
        <is>
          <t>Oath of the Gatewatch (OGW)</t>
        </is>
      </c>
      <c r="I4258" s="0" t="inlineStr">
        <is>
          <t>Não</t>
        </is>
      </c>
      <c r="J4258" s="0" t="inlineStr">
        <is>
          <t>2016</t>
        </is>
      </c>
      <c r="K4258" s="0" t="inlineStr">
        <is>
          <t>2/3</t>
        </is>
      </c>
      <c r="L4258" s="0" t="inlineStr">
        <is>
          <t>1</t>
        </is>
      </c>
    </row>
    <row r="4259">
      <c r="A4259" s="0" t="inlineStr">
        <is>
          <t>Azorius Skyguard / Guardião Alado Azorius</t>
        </is>
      </c>
      <c r="B4259" s="0" t="inlineStr">
        <is>
          <t>Creature — Human Knight / Criatura — Humano Cavaleiro</t>
        </is>
      </c>
      <c r="C4259" s="0" t="inlineStr">
        <is>
          <t>Uncommon / Incomum</t>
        </is>
      </c>
      <c r="D4259" s="0" t="inlineStr">
        <is>
          <t>Flying, first strike Creatures your opponents control get -1/-0. / Voar, iniciativa As criaturas que seus oponentes controlam recebem -1/-0.</t>
        </is>
      </c>
      <c r="E4259" s="0" t="inlineStr">
        <is>
          <t>{4}{W}{U}</t>
        </is>
      </c>
      <c r="F4259" s="0" t="inlineStr">
        <is>
          <t>Azul, Branco</t>
        </is>
      </c>
      <c r="G4259" s="0" t="inlineStr"/>
      <c r="H4259" s="0" t="inlineStr">
        <is>
          <t>Ravnica Allegiance (RNA)</t>
        </is>
      </c>
      <c r="I4259" s="0" t="inlineStr">
        <is>
          <t>Não</t>
        </is>
      </c>
      <c r="J4259" s="0" t="inlineStr">
        <is>
          <t>2019</t>
        </is>
      </c>
      <c r="K4259" s="0" t="inlineStr">
        <is>
          <t>3/3</t>
        </is>
      </c>
      <c r="L4259" s="0" t="inlineStr">
        <is>
          <t>1</t>
        </is>
      </c>
    </row>
    <row r="4260">
      <c r="A4260" s="0" t="inlineStr">
        <is>
          <t>Aerial Engineer / Engenheira Aérea</t>
        </is>
      </c>
      <c r="B4260" s="0" t="inlineStr">
        <is>
          <t>Creature — Human Artificer / Criatura — Humano Artesão</t>
        </is>
      </c>
      <c r="C4260" s="0" t="inlineStr">
        <is>
          <t>Uncommon / Incomum</t>
        </is>
      </c>
      <c r="D4260" s="0" t="inlineStr">
        <is>
          <t>As long as you control an artifact, this creature gets +2/+0 and has flying. / Enquanto você controlar um artefato, Engenheira Aérea receberá +2/+0 e terá voar.</t>
        </is>
      </c>
      <c r="E4260" s="0" t="inlineStr">
        <is>
          <t>{2}{W}{U}</t>
        </is>
      </c>
      <c r="F4260" s="0" t="inlineStr">
        <is>
          <t>Azul, Branco</t>
        </is>
      </c>
      <c r="G4260" s="0" t="inlineStr"/>
      <c r="H4260" s="0" t="inlineStr">
        <is>
          <t>Core Set 2019 (M19)</t>
        </is>
      </c>
      <c r="I4260" s="0" t="inlineStr">
        <is>
          <t>Não</t>
        </is>
      </c>
      <c r="J4260" s="0" t="inlineStr">
        <is>
          <t>2018</t>
        </is>
      </c>
      <c r="K4260" s="0" t="inlineStr">
        <is>
          <t>2/4</t>
        </is>
      </c>
      <c r="L4260" s="0" t="inlineStr">
        <is>
          <t>1</t>
        </is>
      </c>
    </row>
    <row r="4261">
      <c r="A4261" s="0" t="inlineStr">
        <is>
          <t>Poison-Tip Archer / Arqueiro da Ponta Envenenada</t>
        </is>
      </c>
      <c r="B4261" s="0" t="inlineStr">
        <is>
          <t>Creature — Elf Archer / Criatura — Elfo Arqueiro</t>
        </is>
      </c>
      <c r="C4261" s="0" t="inlineStr">
        <is>
          <t>Uncommon / Incomum</t>
        </is>
      </c>
      <c r="D4261" s="0" t="inlineStr">
        <is>
          <t>Reach (This creature can block creatures with flying.) Deathtouch (Any amount of damage this deals to a creature is enough to destroy it.) Whenever another creature dies, each opponent loses 1 life. / Alcance (Esta criatura pode bloquear criaturas com voar.) Toque mortífero (Qualquer quantidade de dano que esta criatura cause a uma criatura é suficiente para destruí-la.) Toda vez que outra criatura morre, cada oponente perde 1 ponto de vida.</t>
        </is>
      </c>
      <c r="E4261" s="0" t="inlineStr">
        <is>
          <t>{2}{B}{G}</t>
        </is>
      </c>
      <c r="F4261" s="0" t="inlineStr">
        <is>
          <t>Preto, Verde</t>
        </is>
      </c>
      <c r="G4261" s="0" t="inlineStr"/>
      <c r="H4261" s="0" t="inlineStr">
        <is>
          <t>Core Set 2019 (M19)</t>
        </is>
      </c>
      <c r="I4261" s="0" t="inlineStr">
        <is>
          <t>Não</t>
        </is>
      </c>
      <c r="J4261" s="0" t="inlineStr">
        <is>
          <t>2018</t>
        </is>
      </c>
      <c r="K4261" s="0" t="inlineStr">
        <is>
          <t>2/3</t>
        </is>
      </c>
      <c r="L4261" s="0" t="inlineStr">
        <is>
          <t>1</t>
        </is>
      </c>
    </row>
    <row r="4262">
      <c r="A4262" s="0" t="inlineStr">
        <is>
          <t>Worldsoul Colossus / Colosso da Anima Mundi</t>
        </is>
      </c>
      <c r="B4262" s="0" t="inlineStr">
        <is>
          <t>Creature — Elemental / Criatura — Elemental</t>
        </is>
      </c>
      <c r="C4262" s="0" t="inlineStr">
        <is>
          <t>Uncommon / Incomum</t>
        </is>
      </c>
      <c r="D4262" s="0" t="inlineStr">
        <is>
          <t>Convoke (Your creatures can help cast this spell. Each creature you tap while casting this spell pays for {1} or one mana of that creature's color.) This creature enters with X +1/+1 counters on it. / Convocar (Suas criaturas podem ajudar a conjurar esta mágica. Cada criatura que você vira ao conjurar esta mágica paga {1} ou um mana da cor daquela criatura.) Colosso da Anima Mundi entra no campo de batalha com X marcadores +1/+1.</t>
        </is>
      </c>
      <c r="E4262" s="0" t="inlineStr">
        <is>
          <t>{X}{G}{W}</t>
        </is>
      </c>
      <c r="F4262" s="0" t="inlineStr">
        <is>
          <t>Verde, Branco</t>
        </is>
      </c>
      <c r="G4262" s="0" t="inlineStr"/>
      <c r="H4262" s="0" t="inlineStr">
        <is>
          <t>Guilds of Ravnica (GRN)</t>
        </is>
      </c>
      <c r="I4262" s="0" t="inlineStr">
        <is>
          <t>Não</t>
        </is>
      </c>
      <c r="J4262" s="0" t="inlineStr">
        <is>
          <t>2018</t>
        </is>
      </c>
      <c r="K4262" s="0" t="inlineStr">
        <is>
          <t>0/0</t>
        </is>
      </c>
      <c r="L4262" s="0" t="inlineStr">
        <is>
          <t>1</t>
        </is>
      </c>
    </row>
    <row r="4263">
      <c r="A4263" s="0" t="inlineStr">
        <is>
          <t>Ledev Champion / Campeão Ledev</t>
        </is>
      </c>
      <c r="B4263" s="0" t="inlineStr">
        <is>
          <t>Creature — Elf Knight / Criatura — Elfo Cavaleiro</t>
        </is>
      </c>
      <c r="C4263" s="0" t="inlineStr">
        <is>
          <t>Uncommon / Incomum</t>
        </is>
      </c>
      <c r="D4263" s="0" t="inlineStr">
        <is>
          <t>Whenever this creature attacks, you may tap any number of untapped creatures you control. This creature gets +1/+1 until end of turn for each creature tapped this way. {3}{G}{W}: Create a 1/1 white Soldier creature token with lifelink. / Toda vez que Campeão Ledev ataca, você pode virar qualquer número de criaturas desviradas que você controla. Campeão Ledev recebe +1/+1 até o final do turno para cada criatura virada dessa forma. {3}{G}{W}: Crie uma ficha de criatura branca 1/1 do tipo Soldado com vínculo com a vida.</t>
        </is>
      </c>
      <c r="E4263" s="0" t="inlineStr">
        <is>
          <t>{1}{G}{W}</t>
        </is>
      </c>
      <c r="F4263" s="0" t="inlineStr">
        <is>
          <t>Verde, Branco</t>
        </is>
      </c>
      <c r="G4263" s="0" t="inlineStr"/>
      <c r="H4263" s="0" t="inlineStr">
        <is>
          <t>Guilds of Ravnica (GRN)</t>
        </is>
      </c>
      <c r="I4263" s="0" t="inlineStr">
        <is>
          <t>Não</t>
        </is>
      </c>
      <c r="J4263" s="0" t="inlineStr">
        <is>
          <t>2018</t>
        </is>
      </c>
      <c r="K4263" s="0" t="inlineStr">
        <is>
          <t>2/2</t>
        </is>
      </c>
      <c r="L4263" s="0" t="inlineStr">
        <is>
          <t>1</t>
        </is>
      </c>
    </row>
    <row r="4264">
      <c r="A4264" s="0" t="inlineStr">
        <is>
          <t>Swathcutter Giant / Gigante Abre-claros</t>
        </is>
      </c>
      <c r="B4264" s="0" t="inlineStr">
        <is>
          <t>Creature — Giant Soldier / Criatura — Gigante Soldado</t>
        </is>
      </c>
      <c r="C4264" s="0" t="inlineStr">
        <is>
          <t>Uncommon / Incomum</t>
        </is>
      </c>
      <c r="D4264" s="0" t="inlineStr">
        <is>
          <t>Vigilance Whenever this creature attacks, it deals 1 damage to each creature defending player controls. / Vigilância Toda vez que Gigante Abre-claros ataca, ele causa 1 ponto de dano a cada criatura que o jogador defensor controla.</t>
        </is>
      </c>
      <c r="E4264" s="0" t="inlineStr">
        <is>
          <t>{4}{R}{W}</t>
        </is>
      </c>
      <c r="F4264" s="0" t="inlineStr">
        <is>
          <t>Vermelho, Branco</t>
        </is>
      </c>
      <c r="G4264" s="0" t="inlineStr"/>
      <c r="H4264" s="0" t="inlineStr">
        <is>
          <t>Guilds of Ravnica (GRN)</t>
        </is>
      </c>
      <c r="I4264" s="0" t="inlineStr">
        <is>
          <t>Não</t>
        </is>
      </c>
      <c r="J4264" s="0" t="inlineStr">
        <is>
          <t>2018</t>
        </is>
      </c>
      <c r="K4264" s="0" t="inlineStr">
        <is>
          <t>5/5</t>
        </is>
      </c>
      <c r="L4264" s="0" t="inlineStr">
        <is>
          <t>1</t>
        </is>
      </c>
    </row>
    <row r="4265">
      <c r="A4265" s="0" t="inlineStr">
        <is>
          <t>Nightveil Predator / Predador do Véu da Noite</t>
        </is>
      </c>
      <c r="B4265" s="0" t="inlineStr">
        <is>
          <t>Creature — Vampire / Criatura — Vampiro</t>
        </is>
      </c>
      <c r="C4265" s="0" t="inlineStr">
        <is>
          <t>Uncommon / Incomum</t>
        </is>
      </c>
      <c r="D4265" s="0" t="inlineStr">
        <is>
          <t>Flying, deathtouch Hexproof (This creature can't be the target of spells or abilities your opponents control.) / Voar, toque mortífero Resistência a magia (Esta criatura não pode ser alvo de mágicas ou habilidades controladas por seus oponentes.)</t>
        </is>
      </c>
      <c r="E4265" s="0" t="inlineStr">
        <is>
          <t>{U}{U}{B}{B}</t>
        </is>
      </c>
      <c r="F4265" s="0" t="inlineStr">
        <is>
          <t>Preto, Azul</t>
        </is>
      </c>
      <c r="G4265" s="0" t="inlineStr"/>
      <c r="H4265" s="0" t="inlineStr">
        <is>
          <t>Guilds of Ravnica (GRN)</t>
        </is>
      </c>
      <c r="I4265" s="0" t="inlineStr">
        <is>
          <t>Não</t>
        </is>
      </c>
      <c r="J4265" s="0" t="inlineStr">
        <is>
          <t>2018</t>
        </is>
      </c>
      <c r="K4265" s="0" t="inlineStr">
        <is>
          <t>3/3</t>
        </is>
      </c>
      <c r="L4265" s="0" t="inlineStr">
        <is>
          <t>1</t>
        </is>
      </c>
    </row>
    <row r="4266">
      <c r="A4266" s="0" t="inlineStr">
        <is>
          <t>Truefire Captain / Capitã do Fogo Genuíno</t>
        </is>
      </c>
      <c r="B4266" s="0" t="inlineStr">
        <is>
          <t>Creature — Human Knight / Criatura — Humano Cavaleiro</t>
        </is>
      </c>
      <c r="C4266" s="0" t="inlineStr">
        <is>
          <t>Uncommon / Incomum</t>
        </is>
      </c>
      <c r="D4266" s="0" t="inlineStr">
        <is>
          <t>Mentor (Whenever this creature attacks, put a +1/+1 counter on target attacking creature with lesser power.) Whenever this creature is dealt damage, it deals that much damage to target player. / Mentor (Toda vez que esta criatura atacar, coloque um marcador +1/+1 na criatura atacante alvo com poder inferior.) Toda vez que Capitã do Fogo Genuíno sofre dano, ela causa a mesma quantidade de dano ao jogador alvo.</t>
        </is>
      </c>
      <c r="E4266" s="0" t="inlineStr">
        <is>
          <t>{R}{R}{W}{W}</t>
        </is>
      </c>
      <c r="F4266" s="0" t="inlineStr">
        <is>
          <t>Vermelho, Branco</t>
        </is>
      </c>
      <c r="G4266" s="0" t="inlineStr"/>
      <c r="H4266" s="0" t="inlineStr">
        <is>
          <t>Guilds of Ravnica (GRN)</t>
        </is>
      </c>
      <c r="I4266" s="0" t="inlineStr">
        <is>
          <t>Não</t>
        </is>
      </c>
      <c r="J4266" s="0" t="inlineStr">
        <is>
          <t>2018</t>
        </is>
      </c>
      <c r="K4266" s="0" t="inlineStr">
        <is>
          <t>4/3</t>
        </is>
      </c>
      <c r="L4266" s="0" t="inlineStr">
        <is>
          <t>1</t>
        </is>
      </c>
    </row>
    <row r="4267">
      <c r="A4267" s="0" t="inlineStr">
        <is>
          <t>Macabre Mockery / Escárnio Macabro</t>
        </is>
      </c>
      <c r="B4267" s="0" t="inlineStr">
        <is>
          <t>Instant / Mágica Instantânea</t>
        </is>
      </c>
      <c r="C4267" s="0" t="inlineStr">
        <is>
          <t>Uncommon / Incomum</t>
        </is>
      </c>
      <c r="D4267" s="0" t="inlineStr">
        <is>
          <t>Put target creature card from an opponent's graveyard onto the battlefield under your control. It gets +2/+0 and gains haste until end of turn. Sacrifice it at the beginning of the next end step. / Coloque no campo de batalha sob seu controle o card de criatura alvo do cemitério de um oponente. Ele recebe +2/+0 e ganha ímpeto até o final do turno. Sacrifique-o no início da próxima etapa final.</t>
        </is>
      </c>
      <c r="E4267" s="0" t="inlineStr">
        <is>
          <t>{2}{B}{R}</t>
        </is>
      </c>
      <c r="F4267" s="0" t="inlineStr">
        <is>
          <t>Preto, Vermelho</t>
        </is>
      </c>
      <c r="G4267" s="0" t="inlineStr"/>
      <c r="H4267" s="0" t="inlineStr">
        <is>
          <t>Ravnica Allegiance (RNA)</t>
        </is>
      </c>
      <c r="I4267" s="0" t="inlineStr">
        <is>
          <t>Não</t>
        </is>
      </c>
      <c r="J4267" s="0" t="inlineStr">
        <is>
          <t>2019</t>
        </is>
      </c>
      <c r="K4267" s="0" t="inlineStr"/>
      <c r="L4267" s="0" t="inlineStr">
        <is>
          <t>1</t>
        </is>
      </c>
    </row>
    <row r="4268">
      <c r="A4268" s="0" t="inlineStr">
        <is>
          <t>Sunder Shaman / Xamã Rachador</t>
        </is>
      </c>
      <c r="B4268" s="0" t="inlineStr">
        <is>
          <t>Creature — Giant Shaman / Criatura — Gigante Xamã</t>
        </is>
      </c>
      <c r="C4268" s="0" t="inlineStr">
        <is>
          <t>Uncommon / Incomum</t>
        </is>
      </c>
      <c r="D4268" s="0" t="inlineStr">
        <is>
          <t>This creature can't be blocked by more than one creature. Whenever this creature deals combat damage to a player, destroy target artifact or enchantment that player controls. / Xamã Rachador não pode ser bloqueado por mais de uma criatura. Toda vez que Xamã Rachador causar dano de combate a um jogador, destrua o artefato ou o encantamento alvo que aquele jogador controla.</t>
        </is>
      </c>
      <c r="E4268" s="0" t="inlineStr">
        <is>
          <t>{R}{R}{G}{G}</t>
        </is>
      </c>
      <c r="F4268" s="0" t="inlineStr">
        <is>
          <t>Verde, Vermelho</t>
        </is>
      </c>
      <c r="G4268" s="0" t="inlineStr"/>
      <c r="H4268" s="0" t="inlineStr">
        <is>
          <t>Ravnica Allegiance (RNA)</t>
        </is>
      </c>
      <c r="I4268" s="0" t="inlineStr">
        <is>
          <t>Não</t>
        </is>
      </c>
      <c r="J4268" s="0" t="inlineStr">
        <is>
          <t>2019</t>
        </is>
      </c>
      <c r="K4268" s="0" t="inlineStr">
        <is>
          <t>5/5</t>
        </is>
      </c>
      <c r="L4268" s="0" t="inlineStr">
        <is>
          <t>1</t>
        </is>
      </c>
    </row>
    <row r="4269">
      <c r="A4269" s="0" t="inlineStr">
        <is>
          <t>Knight of the Last Breath / Cavaleiro do Último Suspiro</t>
        </is>
      </c>
      <c r="B4269" s="0" t="inlineStr">
        <is>
          <t>Creature — Giant Knight / Criatura — Gigante Cavaleiro</t>
        </is>
      </c>
      <c r="C4269" s="0" t="inlineStr">
        <is>
          <t>Uncommon / Incomum</t>
        </is>
      </c>
      <c r="D4269" s="0" t="inlineStr">
        <is>
          <t>{3}, Sacrifice another nontoken creature: Create a 1/1 white and black Spirit creature token with flying. Afterlife 3 (When this creature dies, create three 1/1 white and black Spirit creature tokens with flying.) / {3}, sacrifique outra criatura que não seja uma ficha: Crie uma ficha de criatura branca e preta 1/1 do tipo Espírito com voar. Pós-vida 3 (Quando esta criatura morrer, crie três fichas de criatura branca e preta 1/1 do tipo Espírito com voar.)</t>
        </is>
      </c>
      <c r="E4269" s="0" t="inlineStr">
        <is>
          <t>{5}{W}{B}</t>
        </is>
      </c>
      <c r="F4269" s="0" t="inlineStr">
        <is>
          <t>Preto, Branco</t>
        </is>
      </c>
      <c r="G4269" s="0" t="inlineStr"/>
      <c r="H4269" s="0" t="inlineStr">
        <is>
          <t>Ravnica Allegiance (RNA)</t>
        </is>
      </c>
      <c r="I4269" s="0" t="inlineStr">
        <is>
          <t>Não</t>
        </is>
      </c>
      <c r="J4269" s="0" t="inlineStr">
        <is>
          <t>2019</t>
        </is>
      </c>
      <c r="K4269" s="0" t="inlineStr">
        <is>
          <t>4/4</t>
        </is>
      </c>
      <c r="L4269" s="0" t="inlineStr">
        <is>
          <t>1</t>
        </is>
      </c>
    </row>
    <row r="4270">
      <c r="A4270" s="0" t="inlineStr">
        <is>
          <t>Biotech Specialist</t>
        </is>
      </c>
      <c r="B4270" s="0" t="inlineStr">
        <is>
          <t>Creature — Insect Scientist</t>
        </is>
      </c>
      <c r="C4270" s="0" t="inlineStr">
        <is>
          <t>Rare / Rara</t>
        </is>
      </c>
      <c r="D4270" s="0" t="inlineStr">
        <is>
          <t>When this creature enters, create a Lander token. (It's an artifact with "{2}, {T}, Sacrifice this token: Search your library for a basic land card, put it onto the battlefield tapped, then shuffle.") Whenever you sacrifice an artifact, this creature deals 2 damage to target opponent.</t>
        </is>
      </c>
      <c r="E4270" s="0" t="inlineStr">
        <is>
          <t>{R}{G}</t>
        </is>
      </c>
      <c r="F4270" s="0" t="inlineStr">
        <is>
          <t>Verde, Vermelho</t>
        </is>
      </c>
      <c r="G4270" s="0" t="inlineStr"/>
      <c r="H4270" s="0" t="inlineStr">
        <is>
          <t>Edge of Eternities (EOE)</t>
        </is>
      </c>
      <c r="I4270" s="0" t="inlineStr">
        <is>
          <t>Não</t>
        </is>
      </c>
      <c r="J4270" s="0" t="inlineStr">
        <is>
          <t>2025</t>
        </is>
      </c>
      <c r="K4270" s="0" t="inlineStr">
        <is>
          <t>1/3</t>
        </is>
      </c>
      <c r="L4270" s="0" t="inlineStr">
        <is>
          <t>1</t>
        </is>
      </c>
    </row>
    <row r="4271">
      <c r="A4271" s="0" t="inlineStr">
        <is>
          <t>Ojutai's Command / Comando de Ojutai</t>
        </is>
      </c>
      <c r="B4271" s="0" t="inlineStr">
        <is>
          <t>Instant / Mágica Instantânea</t>
        </is>
      </c>
      <c r="C4271" s="0" t="inlineStr">
        <is>
          <t>Rare / Rara</t>
        </is>
      </c>
      <c r="D4271" s="0" t="inlineStr">
        <is>
          <t>Choose two — • Return target creature card with mana value 2 or less from your graveyard to the battlefield. • You gain 4 life. • Counter target creature spell. • Draw a card. / Escolha dois — • Devolva o card de criatura alvo com custo de mana convertido igual ou inferior a 2 do seu cemitério para o campo de batalha. • Você ganha 4 pontos de vida. • Anule a mágica de criatura alvo. • Compre um card.</t>
        </is>
      </c>
      <c r="E4271" s="0" t="inlineStr">
        <is>
          <t>{2}{W}{U}</t>
        </is>
      </c>
      <c r="F4271" s="0" t="inlineStr">
        <is>
          <t>Azul, Branco</t>
        </is>
      </c>
      <c r="G4271" s="0" t="inlineStr"/>
      <c r="H4271" s="0" t="inlineStr">
        <is>
          <t>Dragons of Tarkir (DTK)</t>
        </is>
      </c>
      <c r="I4271" s="0" t="inlineStr">
        <is>
          <t>Não</t>
        </is>
      </c>
      <c r="J4271" s="0" t="inlineStr">
        <is>
          <t>2015</t>
        </is>
      </c>
      <c r="K4271" s="0" t="inlineStr"/>
      <c r="L4271" s="0" t="inlineStr">
        <is>
          <t>1</t>
        </is>
      </c>
    </row>
    <row r="4272">
      <c r="A4272" s="0" t="inlineStr">
        <is>
          <t>Zurgo, Thunder's Decree</t>
        </is>
      </c>
      <c r="B4272" s="0" t="inlineStr">
        <is>
          <t>Legendary Creature — Orc Warrior</t>
        </is>
      </c>
      <c r="C4272" s="0" t="inlineStr">
        <is>
          <t>Rare / Rara</t>
        </is>
      </c>
      <c r="D4272" s="0" t="inlineStr">
        <is>
          <t>Mobilize 2 (Whenever this creature attacks, create two tapped and attacking 1/1 red Warrior creature tokens. Sacrifice them at the beginning of the next end step.) During your end step, Warrior tokens you control have "This token can't be sacrificed."</t>
        </is>
      </c>
      <c r="E4272" s="0" t="inlineStr">
        <is>
          <t>{R}{W}{B}</t>
        </is>
      </c>
      <c r="F4272" s="0" t="inlineStr">
        <is>
          <t>Preto, Vermelho, Branco</t>
        </is>
      </c>
      <c r="G4272" s="0" t="inlineStr"/>
      <c r="H4272" s="0" t="inlineStr">
        <is>
          <t>Tarkir: Dragonstorm Promos (PTDM)</t>
        </is>
      </c>
      <c r="I4272" s="0" t="inlineStr">
        <is>
          <t>Não</t>
        </is>
      </c>
      <c r="J4272" s="0" t="inlineStr">
        <is>
          <t>2025</t>
        </is>
      </c>
      <c r="K4272" s="0" t="inlineStr">
        <is>
          <t>2/4</t>
        </is>
      </c>
      <c r="L4272" s="0" t="inlineStr">
        <is>
          <t>1</t>
        </is>
      </c>
    </row>
    <row r="4273">
      <c r="A4273" s="0" t="inlineStr">
        <is>
          <t>Gyruda, Doom of Depths / Gyruda, Ruína das Profundezas</t>
        </is>
      </c>
      <c r="B4273" s="0" t="inlineStr">
        <is>
          <t>Legendary Creature — Demon Kraken / Criatura Lendária — Demônio Kraken</t>
        </is>
      </c>
      <c r="C4273" s="0" t="inlineStr">
        <is>
          <t>Rare / Rara</t>
        </is>
      </c>
      <c r="D4273" s="0" t="inlineStr">
        <is>
          <t>Companion — Your starting deck contains only cards with even mana values. (If this card is your chosen companion, you may put it into your hand from outside the game for {3} as a sorcery.) When Gyruda enters, each player mills four cards. Put a creature card with an even mana value from among the milled cards onto the battlefield under your control. / Companheiro — Seu deck inicial contém apenas cards com custos de mana convertido pares. Quando Gyruda entra no campo de batalha, cada jogador coloca os quatro cards do topo do próprio grimório no próprio cemitério. Coloque um card de criatura com custo de mana convertido par dentre eles no campo de batalha sob seu controle.</t>
        </is>
      </c>
      <c r="E4273" s="0" t="inlineStr">
        <is>
          <t>{4}{U/B}{U/B}</t>
        </is>
      </c>
      <c r="F4273" s="0" t="inlineStr">
        <is>
          <t>Preto, Azul</t>
        </is>
      </c>
      <c r="G4273" s="0" t="inlineStr"/>
      <c r="H4273" s="0" t="inlineStr">
        <is>
          <t>Ikoria: Lair of Behemoths (IKO)</t>
        </is>
      </c>
      <c r="I4273" s="0" t="inlineStr">
        <is>
          <t>Não</t>
        </is>
      </c>
      <c r="J4273" s="0" t="inlineStr">
        <is>
          <t>2020</t>
        </is>
      </c>
      <c r="K4273" s="0" t="inlineStr">
        <is>
          <t>6/6</t>
        </is>
      </c>
      <c r="L4273" s="0" t="inlineStr">
        <is>
          <t>1</t>
        </is>
      </c>
    </row>
    <row r="4274">
      <c r="A4274" s="0" t="inlineStr">
        <is>
          <t>Trap Essence / Prender Essência</t>
        </is>
      </c>
      <c r="B4274" s="0" t="inlineStr">
        <is>
          <t>Instant / Mágica Instantânea</t>
        </is>
      </c>
      <c r="C4274" s="0" t="inlineStr">
        <is>
          <t>Rare / Rara</t>
        </is>
      </c>
      <c r="D4274" s="0" t="inlineStr">
        <is>
          <t>Counter target creature spell. Put two +1/+1 counters on up to one target creature. / Anule a mágica de criatura alvo. Coloque dois marcadores +1/+1 em até uma criatura alvo.</t>
        </is>
      </c>
      <c r="E4274" s="0" t="inlineStr">
        <is>
          <t>{G}{U}{R}</t>
        </is>
      </c>
      <c r="F4274" s="0" t="inlineStr">
        <is>
          <t>Verde, Vermelho, Azul</t>
        </is>
      </c>
      <c r="G4274" s="0" t="inlineStr"/>
      <c r="H4274" s="0" t="inlineStr">
        <is>
          <t>Khans of Tarkir (KTK)</t>
        </is>
      </c>
      <c r="I4274" s="0" t="inlineStr">
        <is>
          <t>Não</t>
        </is>
      </c>
      <c r="J4274" s="0" t="inlineStr">
        <is>
          <t>2014</t>
        </is>
      </c>
      <c r="K4274" s="0" t="inlineStr"/>
      <c r="L4274" s="0" t="inlineStr">
        <is>
          <t>1</t>
        </is>
      </c>
    </row>
    <row r="4275">
      <c r="A4275" s="0" t="inlineStr">
        <is>
          <t>Baird, Argivian Recruiter / Baird, Recrutador Argiviano</t>
        </is>
      </c>
      <c r="B4275" s="0" t="inlineStr">
        <is>
          <t>Legendary Creature — Human Soldier / Criatura Lendária — Humano Soldado</t>
        </is>
      </c>
      <c r="C4275" s="0" t="inlineStr">
        <is>
          <t>Uncommon / Incomum</t>
        </is>
      </c>
      <c r="D4275" s="0" t="inlineStr">
        <is>
          <t>At the beginning of your end step, if you control a creature with power greater than its base power, create a 1/1 white Soldier creature token. / No início de sua etapa final, se você controlar uma criatura com poder maior que o próprio poder básico, crie uma ficha de criatura Soldado branca 1/1.</t>
        </is>
      </c>
      <c r="E4275" s="0" t="inlineStr">
        <is>
          <t>{R}{W}</t>
        </is>
      </c>
      <c r="F4275" s="0" t="inlineStr">
        <is>
          <t>Vermelho, Branco</t>
        </is>
      </c>
      <c r="G4275" s="0" t="inlineStr"/>
      <c r="H4275" s="0" t="inlineStr">
        <is>
          <t>Dominaria United (DMU)</t>
        </is>
      </c>
      <c r="I4275" s="0" t="inlineStr">
        <is>
          <t>Não</t>
        </is>
      </c>
      <c r="J4275" s="0" t="inlineStr">
        <is>
          <t>2022</t>
        </is>
      </c>
      <c r="K4275" s="0" t="inlineStr">
        <is>
          <t>2/2</t>
        </is>
      </c>
      <c r="L4275" s="0" t="inlineStr">
        <is>
          <t>1</t>
        </is>
      </c>
    </row>
    <row r="4276">
      <c r="A4276" s="0" t="inlineStr">
        <is>
          <t>Shattered Seraph / Serafim Despedaçada</t>
        </is>
      </c>
      <c r="B4276" s="0" t="inlineStr">
        <is>
          <t>Creature — Angel Rogue / Criatura — Anjo Ladino</t>
        </is>
      </c>
      <c r="C4276" s="0" t="inlineStr">
        <is>
          <t>Common / Comum</t>
        </is>
      </c>
      <c r="D4276" s="0" t="inlineStr">
        <is>
          <t>Flying When this creature enters, you gain 3 life. {2}, Exile this card from your hand: Target land gains "{T}: Add {W}, {U}, or {B}" until this card is cast from exile. You may cast this card for as long as it remains exiled. / Voar Quando Serafim Despedaçada entra no campo de batalha, você ganha 3 pontos de vida. {2}, exile Serafim Despedaçada de sua mão: O terreno alvo ganha "{T}: Adicione {W}, {U} ou {B}" até que Serafim Despedaçada seja conjurada do exílio. Você poderá conjurar Serafim Despedaçada enquanto ela permanecer exilada.</t>
        </is>
      </c>
      <c r="E4276" s="0" t="inlineStr">
        <is>
          <t>{4}{W}{U}{B}</t>
        </is>
      </c>
      <c r="F4276" s="0" t="inlineStr">
        <is>
          <t>Preto, Azul, Branco</t>
        </is>
      </c>
      <c r="G4276" s="0" t="inlineStr"/>
      <c r="H4276" s="0" t="inlineStr">
        <is>
          <t>Streets of New Capenna (SNC)</t>
        </is>
      </c>
      <c r="I4276" s="0" t="inlineStr">
        <is>
          <t>Não</t>
        </is>
      </c>
      <c r="J4276" s="0" t="inlineStr">
        <is>
          <t>2022</t>
        </is>
      </c>
      <c r="K4276" s="0" t="inlineStr">
        <is>
          <t>4/4</t>
        </is>
      </c>
      <c r="L4276" s="0" t="inlineStr">
        <is>
          <t>1</t>
        </is>
      </c>
    </row>
    <row r="4277">
      <c r="A4277" s="0" t="inlineStr">
        <is>
          <t>Dog Walker / Acompanhante de Cães</t>
        </is>
      </c>
      <c r="B4277" s="0" t="inlineStr">
        <is>
          <t>Creature — Human Citizen / Criatura — Humano Cidadão</t>
        </is>
      </c>
      <c r="C4277" s="0" t="inlineStr">
        <is>
          <t>Common / Comum</t>
        </is>
      </c>
      <c r="D4277" s="0" t="inlineStr">
        <is>
          <t>Vigilance Disguise {R/W}{R/W} (You may cast this card face down for {3} as a 2/2 creature with ward {2}. Turn it face up any time for its disguise cost.) When this creature is turned face up, create two tapped 1/1 white Dog creature tokens. / Vigilância Disfarce {R/W}{R/W} (Você pode conjurar este card com a face para baixo por {3} como uma criatura 2/2 com salvaguarda {2}. Volte sua face para cima a qualquer momento pagando seu custo de disfarce.) Quando Acompanhante de Cães for voltado para cima, crie duas fichas de criatura Cão branca 1/1 viradas.</t>
        </is>
      </c>
      <c r="E4277" s="0" t="inlineStr">
        <is>
          <t>{R}{W}</t>
        </is>
      </c>
      <c r="F4277" s="0" t="inlineStr">
        <is>
          <t>Vermelho, Branco</t>
        </is>
      </c>
      <c r="G4277" s="0" t="inlineStr"/>
      <c r="H4277" s="0" t="inlineStr">
        <is>
          <t>Murders at Karlov Manor (MKM)</t>
        </is>
      </c>
      <c r="I4277" s="0" t="inlineStr">
        <is>
          <t>Não</t>
        </is>
      </c>
      <c r="J4277" s="0" t="inlineStr">
        <is>
          <t>2024</t>
        </is>
      </c>
      <c r="K4277" s="0" t="inlineStr">
        <is>
          <t>3/1</t>
        </is>
      </c>
      <c r="L4277" s="0" t="inlineStr">
        <is>
          <t>1</t>
        </is>
      </c>
    </row>
    <row r="4278">
      <c r="A4278" s="0" t="inlineStr">
        <is>
          <t>Get the Point / Performance de Ponta</t>
        </is>
      </c>
      <c r="B4278" s="0" t="inlineStr">
        <is>
          <t>Instant / Mágica Instantânea</t>
        </is>
      </c>
      <c r="C4278" s="0" t="inlineStr">
        <is>
          <t>Common / Comum</t>
        </is>
      </c>
      <c r="D4278" s="0" t="inlineStr">
        <is>
          <t>Destroy target creature. Scry 1. / Destrua a criatura alvo. Vidência 1.</t>
        </is>
      </c>
      <c r="E4278" s="0" t="inlineStr">
        <is>
          <t>{3}{B}{R}</t>
        </is>
      </c>
      <c r="F4278" s="0" t="inlineStr">
        <is>
          <t>Preto, Vermelho</t>
        </is>
      </c>
      <c r="G4278" s="0" t="inlineStr"/>
      <c r="H4278" s="0" t="inlineStr">
        <is>
          <t>Ravnica Allegiance (RNA)</t>
        </is>
      </c>
      <c r="I4278" s="0" t="inlineStr">
        <is>
          <t>Não</t>
        </is>
      </c>
      <c r="J4278" s="0" t="inlineStr">
        <is>
          <t>2019</t>
        </is>
      </c>
      <c r="K4278" s="0" t="inlineStr"/>
      <c r="L4278" s="0" t="inlineStr">
        <is>
          <t>1</t>
        </is>
      </c>
    </row>
    <row r="4279">
      <c r="A4279" s="0" t="inlineStr">
        <is>
          <t>Grasping Thrull / Thrull Agarrador</t>
        </is>
      </c>
      <c r="B4279" s="0" t="inlineStr">
        <is>
          <t>Creature — Thrull / Criatura — Thrull</t>
        </is>
      </c>
      <c r="C4279" s="0" t="inlineStr">
        <is>
          <t>Common / Comum</t>
        </is>
      </c>
      <c r="D4279" s="0" t="inlineStr">
        <is>
          <t>Flying When this creature enters, it deals 2 damage to each opponent and you gain 2 life. / Voar Quando Thrull Agarrador entra no campo de batalha, ele causa 2 pontos de dano a cada oponente e você ganha 2 pontos de vida.</t>
        </is>
      </c>
      <c r="E4279" s="0" t="inlineStr">
        <is>
          <t>{3}{W}{B}</t>
        </is>
      </c>
      <c r="F4279" s="0" t="inlineStr">
        <is>
          <t>Preto, Branco</t>
        </is>
      </c>
      <c r="G4279" s="0" t="inlineStr"/>
      <c r="H4279" s="0" t="inlineStr">
        <is>
          <t>Ravnica Allegiance (RNA)</t>
        </is>
      </c>
      <c r="I4279" s="0" t="inlineStr">
        <is>
          <t>Não</t>
        </is>
      </c>
      <c r="J4279" s="0" t="inlineStr">
        <is>
          <t>2019</t>
        </is>
      </c>
      <c r="K4279" s="0" t="inlineStr">
        <is>
          <t>3/3</t>
        </is>
      </c>
      <c r="L4279" s="0" t="inlineStr">
        <is>
          <t>1</t>
        </is>
      </c>
    </row>
    <row r="4280">
      <c r="A4280" s="0" t="inlineStr">
        <is>
          <t>Herald of Kozilek / Arauto de Kozilek</t>
        </is>
      </c>
      <c r="B4280" s="0" t="inlineStr">
        <is>
          <t>Creature — Eldrazi Drone / Criatura — Eldrazi Zangão</t>
        </is>
      </c>
      <c r="C4280" s="0" t="inlineStr">
        <is>
          <t>Uncommon / Incomum</t>
        </is>
      </c>
      <c r="D4280" s="0" t="inlineStr">
        <is>
          <t>Devoid (This card has no color.) Colorless spells you cast cost {1} less to cast. / Desprovido (Este card não tem cor.)As mágicas incolores que você conjura custam {1} a menos para serem conjuradas.</t>
        </is>
      </c>
      <c r="E4280" s="0" t="inlineStr">
        <is>
          <t>{1}{U}{R}</t>
        </is>
      </c>
      <c r="F4280" s="0" t="inlineStr">
        <is>
          <t>Vermelho, Azul</t>
        </is>
      </c>
      <c r="G4280" s="0" t="inlineStr"/>
      <c r="H4280" s="0" t="inlineStr">
        <is>
          <t>Battle for Zendikar (BFZ)</t>
        </is>
      </c>
      <c r="I4280" s="0" t="inlineStr">
        <is>
          <t>Não</t>
        </is>
      </c>
      <c r="J4280" s="0" t="inlineStr">
        <is>
          <t>2015</t>
        </is>
      </c>
      <c r="K4280" s="0" t="inlineStr">
        <is>
          <t>2/4</t>
        </is>
      </c>
      <c r="L4280" s="0" t="inlineStr">
        <is>
          <t>1</t>
        </is>
      </c>
    </row>
    <row r="4281">
      <c r="A4281" s="0" t="inlineStr">
        <is>
          <t>Whirler Virtuoso / Virtuose dos Turbilinos</t>
        </is>
      </c>
      <c r="B4281" s="0" t="inlineStr">
        <is>
          <t>Creature — Vedalken Artificer / Criatura — Vedalkeano Artesão</t>
        </is>
      </c>
      <c r="C4281" s="0" t="inlineStr">
        <is>
          <t>Uncommon / Incomum</t>
        </is>
      </c>
      <c r="D4281" s="0" t="inlineStr">
        <is>
          <t>When this creature enters, you get {E}{E}{E} (three energy counters). Pay {E}{E}{E}: Create a 1/1 colorless Thopter artifact creature token with flying. / Quando Virtuose dos Turbilinos entra no campo de batalha, você recebe {E}{E}{E} (três marcadores de energia). Pague {E}{E}{E}: Crie uma ficha de criatura artefato incolor 1/1 do tipo Tóptero com voar.</t>
        </is>
      </c>
      <c r="E4281" s="0" t="inlineStr">
        <is>
          <t>{1}{U}{R}</t>
        </is>
      </c>
      <c r="F4281" s="0" t="inlineStr">
        <is>
          <t>Vermelho, Azul</t>
        </is>
      </c>
      <c r="G4281" s="0" t="inlineStr"/>
      <c r="H4281" s="0" t="inlineStr">
        <is>
          <t>Kaladesh (KLD)</t>
        </is>
      </c>
      <c r="I4281" s="0" t="inlineStr">
        <is>
          <t>Não</t>
        </is>
      </c>
      <c r="J4281" s="0" t="inlineStr">
        <is>
          <t>2016</t>
        </is>
      </c>
      <c r="K4281" s="0" t="inlineStr">
        <is>
          <t>2/3</t>
        </is>
      </c>
      <c r="L4281" s="0" t="inlineStr">
        <is>
          <t>1</t>
        </is>
      </c>
    </row>
    <row r="4282">
      <c r="A4282" s="0" t="inlineStr">
        <is>
          <t>Rhizome Lurcher / Vascolejador do Rizoma</t>
        </is>
      </c>
      <c r="B4282" s="0" t="inlineStr">
        <is>
          <t>Creature — Fungus Zombie / Criatura — Fungo Zumbi</t>
        </is>
      </c>
      <c r="C4282" s="0" t="inlineStr">
        <is>
          <t>Common / Comum</t>
        </is>
      </c>
      <c r="D4282" s="0" t="inlineStr">
        <is>
          <t>Undergrowth — This creature enters with a number of +1/+1 counters on it equal to the number of creature cards in your graveyard. / Necronutrimento — Vascolejador do Rizoma entra no campo de batalha com uma quantidade de marcadores +1/+1 igual ao número de cards de criatura em seu cemitério.</t>
        </is>
      </c>
      <c r="E4282" s="0" t="inlineStr">
        <is>
          <t>{2}{B}{G}</t>
        </is>
      </c>
      <c r="F4282" s="0" t="inlineStr">
        <is>
          <t>Preto, Verde</t>
        </is>
      </c>
      <c r="G4282" s="0" t="inlineStr"/>
      <c r="H4282" s="0" t="inlineStr">
        <is>
          <t>Guilds of Ravnica (GRN)</t>
        </is>
      </c>
      <c r="I4282" s="0" t="inlineStr">
        <is>
          <t>Não</t>
        </is>
      </c>
      <c r="J4282" s="0" t="inlineStr">
        <is>
          <t>2018</t>
        </is>
      </c>
      <c r="K4282" s="0" t="inlineStr">
        <is>
          <t>2/2</t>
        </is>
      </c>
      <c r="L4282" s="0" t="inlineStr">
        <is>
          <t>1</t>
        </is>
      </c>
    </row>
    <row r="4283">
      <c r="A4283" s="0" t="inlineStr">
        <is>
          <t>Sonic Assault / Assalto Sônico</t>
        </is>
      </c>
      <c r="B4283" s="0" t="inlineStr">
        <is>
          <t>Instant / Mágica Instantânea</t>
        </is>
      </c>
      <c r="C4283" s="0" t="inlineStr">
        <is>
          <t>Common / Comum</t>
        </is>
      </c>
      <c r="D4283" s="0" t="inlineStr">
        <is>
          <t>Tap target creature. Sonic Assault deals 2 damage to that creature's controller. Jump-start (You may cast this card from your graveyard by discarding a card in addition to paying its other costs. Then exile this card.) / Vire a criatura alvo. Assalto Sônico causa 2 pontos de dano ao controlador daquela criatura. Recarregar (Você pode conjurar este card de seu cemitério descartando um card além de pagar seus outros custos. Depois, exile este card.)</t>
        </is>
      </c>
      <c r="E4283" s="0" t="inlineStr">
        <is>
          <t>{1}{U}{R}</t>
        </is>
      </c>
      <c r="F4283" s="0" t="inlineStr">
        <is>
          <t>Vermelho, Azul</t>
        </is>
      </c>
      <c r="G4283" s="0" t="inlineStr"/>
      <c r="H4283" s="0" t="inlineStr">
        <is>
          <t>Guilds of Ravnica (GRN)</t>
        </is>
      </c>
      <c r="I4283" s="0" t="inlineStr">
        <is>
          <t>Não</t>
        </is>
      </c>
      <c r="J4283" s="0" t="inlineStr">
        <is>
          <t>2018</t>
        </is>
      </c>
      <c r="K4283" s="0" t="inlineStr"/>
      <c r="L4283" s="0" t="inlineStr">
        <is>
          <t>1</t>
        </is>
      </c>
    </row>
    <row r="4284">
      <c r="A4284" s="0" t="inlineStr">
        <is>
          <t>Fresh-Faced Recruit / Recruta Novato</t>
        </is>
      </c>
      <c r="B4284" s="0" t="inlineStr">
        <is>
          <t>Creature — Human Soldier / Criatura — Humano Soldado</t>
        </is>
      </c>
      <c r="C4284" s="0" t="inlineStr">
        <is>
          <t>Common / Comum</t>
        </is>
      </c>
      <c r="D4284" s="0" t="inlineStr">
        <is>
          <t>During your turn, this creature has first strike. / Enquanto for o seu turno, Recruta Novato terá iniciativa.</t>
        </is>
      </c>
      <c r="E4284" s="0" t="inlineStr">
        <is>
          <t>{1}{R/W}</t>
        </is>
      </c>
      <c r="F4284" s="0" t="inlineStr">
        <is>
          <t>Vermelho, Branco</t>
        </is>
      </c>
      <c r="G4284" s="0" t="inlineStr"/>
      <c r="H4284" s="0" t="inlineStr">
        <is>
          <t>Guilds of Ravnica (GRN)</t>
        </is>
      </c>
      <c r="I4284" s="0" t="inlineStr">
        <is>
          <t>Não</t>
        </is>
      </c>
      <c r="J4284" s="0" t="inlineStr">
        <is>
          <t>2018</t>
        </is>
      </c>
      <c r="K4284" s="0" t="inlineStr">
        <is>
          <t>2/1</t>
        </is>
      </c>
      <c r="L4284" s="0" t="inlineStr">
        <is>
          <t>1</t>
        </is>
      </c>
    </row>
    <row r="4285">
      <c r="A4285" s="0" t="inlineStr">
        <is>
          <t>Moss-Pit Skeleton / Esqueleto do Poço de Musgo</t>
        </is>
      </c>
      <c r="B4285" s="0" t="inlineStr">
        <is>
          <t>Creature — Plant Skeleton / Criatura — Planta Esqueleto</t>
        </is>
      </c>
      <c r="C4285" s="0" t="inlineStr">
        <is>
          <t>Uncommon / Incomum</t>
        </is>
      </c>
      <c r="D4285" s="0" t="inlineStr">
        <is>
          <t>Kicker {3} (You may pay an additional {3} as you cast this spell.) If this creature was kicked, it enters with three +1/+1 counters on it. Whenever one or more +1/+1 counters are put on a creature you control, if this card is in your graveyard, you may put this card on top of your library. / Reforçar {3} (Você pode pagar um custo adicional de {3} ao conjurar esta mágica.) Se Esqueleto do Poço de Musgo foi reforçado, ele entra no campo de batalha com três marcadores +1/+1. Toda vez que um ou mais marcadores +1/+1 são colocados em uma criatura que você controla, se Esqueleto do Poço de Musgo está em seu cemitério, você pode colocar Esqueleto do Poço de Musgo no topo de seu grimório.</t>
        </is>
      </c>
      <c r="E4285" s="0" t="inlineStr">
        <is>
          <t>{B}{G}</t>
        </is>
      </c>
      <c r="F4285" s="0" t="inlineStr">
        <is>
          <t>Preto, Verde</t>
        </is>
      </c>
      <c r="G4285" s="0" t="inlineStr"/>
      <c r="H4285" s="0" t="inlineStr">
        <is>
          <t>Zendikar Rising (ZNR)</t>
        </is>
      </c>
      <c r="I4285" s="0" t="inlineStr">
        <is>
          <t>Não</t>
        </is>
      </c>
      <c r="J4285" s="0" t="inlineStr">
        <is>
          <t>2020</t>
        </is>
      </c>
      <c r="K4285" s="0" t="inlineStr">
        <is>
          <t>2/2</t>
        </is>
      </c>
      <c r="L4285" s="0" t="inlineStr">
        <is>
          <t>1</t>
        </is>
      </c>
    </row>
    <row r="4286">
      <c r="A4286" t="inlineStr">
        <is>
          <t>Shipwreck Singer / Sirena do Naufrágio</t>
        </is>
      </c>
      <c r="B4286" t="inlineStr">
        <is>
          <t>Creature — Siren / Criatura — Sirena</t>
        </is>
      </c>
      <c r="C4286" t="inlineStr">
        <is>
          <t>Uncommon / Incomum</t>
        </is>
      </c>
      <c r="D4286" t="inlineStr">
        <is>
          <t>Flying {1}{U}: Target creature an opponent controls attacks this turn if able. {1}{B}, {T}: Attacking creatures get -1/-1 until end of turn. / Voar {1}{U}: A criatura alvo que um oponente controla ataca neste turno se estiver apta. {1}{B}, {T}: As criaturas atacantes recebem -1/-1 até o final do turno.</t>
        </is>
      </c>
      <c r="E4286" t="inlineStr">
        <is>
          <t>{U}{B}</t>
        </is>
      </c>
      <c r="F4286" t="inlineStr">
        <is>
          <t>Preto, Azul</t>
        </is>
      </c>
      <c r="G4286" t="inlineStr"/>
      <c r="H4286" t="inlineStr">
        <is>
          <t>Conspiracy: Take the Crown (CN2)</t>
        </is>
      </c>
      <c r="I4286" t="inlineStr">
        <is>
          <t>Não</t>
        </is>
      </c>
      <c r="J4286" t="inlineStr">
        <is>
          <t>2016</t>
        </is>
      </c>
      <c r="K4286" t="inlineStr">
        <is>
          <t>1/2</t>
        </is>
      </c>
      <c r="L4286"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F4"/>
  <sheetViews>
    <sheetView workbookViewId="0">
      <selection activeCell="A1" sqref="A1"/>
    </sheetView>
  </sheetViews>
  <sheetFormatPr baseColWidth="8" defaultColWidth="12.63" defaultRowHeight="15.75" customHeight="1"/>
  <sheetData>
    <row r="1">
      <c r="A1" s="11" t="inlineStr">
        <is>
          <t>Bulk old frame</t>
        </is>
      </c>
      <c r="B1" s="11" t="n">
        <v>95.06</v>
      </c>
      <c r="C1" s="11">
        <f>161.28+0.08</f>
        <v/>
      </c>
      <c r="D1" s="11" t="n">
        <v>111.07</v>
      </c>
      <c r="E1" s="11" t="n">
        <v>22.35</v>
      </c>
      <c r="F1" s="11" t="n">
        <v>54.76</v>
      </c>
    </row>
    <row r="2">
      <c r="A2" s="11" t="inlineStr">
        <is>
          <t>Bulk vitor RJ</t>
        </is>
      </c>
      <c r="B2" s="11">
        <f>39.93-0.5</f>
        <v/>
      </c>
      <c r="C2" s="11" t="n">
        <v>8.35</v>
      </c>
      <c r="D2" s="11">
        <f>111.46+0.05+0.05+0.04</f>
        <v/>
      </c>
    </row>
    <row r="3">
      <c r="A3" s="11" t="inlineStr">
        <is>
          <t>Bulk Leticia SC</t>
        </is>
      </c>
      <c r="B3" s="11" t="n">
        <v>0.5</v>
      </c>
      <c r="C3" s="11" t="n">
        <v>6.81</v>
      </c>
    </row>
    <row r="4">
      <c r="A4" s="11" t="inlineStr">
        <is>
          <t>Bulk Sol</t>
        </is>
      </c>
      <c r="B4" s="11" t="n">
        <v>5.36</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Y77"/>
  <sheetViews>
    <sheetView workbookViewId="0">
      <pane ySplit="1" topLeftCell="A2" activePane="bottomLeft" state="frozen"/>
      <selection pane="bottomLeft" activeCell="B3" sqref="B3"/>
    </sheetView>
  </sheetViews>
  <sheetFormatPr baseColWidth="8" defaultColWidth="12.63" defaultRowHeight="15.75" customHeight="1"/>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Plains / Planície</t>
        </is>
      </c>
      <c r="B2" s="11" t="inlineStr">
        <is>
          <t>Basic Land — Plains / Terreno Básico — Planície</t>
        </is>
      </c>
      <c r="C2" s="11" t="inlineStr">
        <is>
          <t>Common / Comum</t>
        </is>
      </c>
      <c r="D2" s="11" t="inlineStr">
        <is>
          <t>({T}: Add {W}.) / W</t>
        </is>
      </c>
      <c r="F2" s="11" t="inlineStr">
        <is>
          <t>Branco</t>
        </is>
      </c>
      <c r="G2" s="8" t="n">
        <v>0.45</v>
      </c>
      <c r="H2" s="11" t="inlineStr">
        <is>
          <t>Core Set 2021</t>
        </is>
      </c>
      <c r="I2" s="11" t="inlineStr">
        <is>
          <t>Sim</t>
        </is>
      </c>
      <c r="J2" s="11" t="n">
        <v>2020</v>
      </c>
      <c r="L2" s="11" t="n">
        <v>1</v>
      </c>
      <c r="M2" s="8">
        <f>L2*G2</f>
        <v/>
      </c>
      <c r="N2" s="11" t="inlineStr">
        <is>
          <t>Bulk Shopee</t>
        </is>
      </c>
    </row>
    <row r="3">
      <c r="A3" s="11" t="inlineStr">
        <is>
          <t>Deliberate / Deliberar</t>
        </is>
      </c>
      <c r="B3" s="11" t="inlineStr">
        <is>
          <t>Instant / Mágica Instantânea</t>
        </is>
      </c>
      <c r="C3" s="11" t="inlineStr">
        <is>
          <t>Common / Comum</t>
        </is>
      </c>
      <c r="D3" s="11" t="inlineStr">
        <is>
          <t>Scry 2, then draw a card. / Use vidência 2, depois compre um card.</t>
        </is>
      </c>
      <c r="E3" s="11" t="inlineStr">
        <is>
          <t>{1}{U}</t>
        </is>
      </c>
      <c r="F3" s="11" t="inlineStr">
        <is>
          <t>Azul</t>
        </is>
      </c>
      <c r="G3" s="8" t="n">
        <v>0.43</v>
      </c>
      <c r="H3" s="11" t="inlineStr">
        <is>
          <t>Zendikar Rising (ZNR)</t>
        </is>
      </c>
      <c r="I3" s="11" t="inlineStr">
        <is>
          <t>Sim</t>
        </is>
      </c>
      <c r="J3" s="11" t="n">
        <v>2020</v>
      </c>
      <c r="L3" s="11" t="n">
        <v>1</v>
      </c>
      <c r="M3" s="8">
        <f>L3*G3</f>
        <v/>
      </c>
      <c r="N3" s="11" t="inlineStr">
        <is>
          <t>Bulk Shopee</t>
        </is>
      </c>
    </row>
    <row r="4">
      <c r="A4" s="11" t="inlineStr">
        <is>
          <t>Theater of Horrors / Teatro de Horrores</t>
        </is>
      </c>
      <c r="B4" s="11" t="inlineStr">
        <is>
          <t>Enchantment / Encantamento</t>
        </is>
      </c>
      <c r="C4" s="11" t="inlineStr">
        <is>
          <t>Rare / Rara</t>
        </is>
      </c>
      <c r="D4" s="11"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4" s="11" t="inlineStr">
        <is>
          <t>{1}{B}{R}</t>
        </is>
      </c>
      <c r="F4" s="11" t="inlineStr">
        <is>
          <t>Preto, Vermelho</t>
        </is>
      </c>
      <c r="G4" s="8" t="n">
        <v>0.25</v>
      </c>
      <c r="H4" s="11" t="inlineStr">
        <is>
          <t>Forgotten Realms Commander</t>
        </is>
      </c>
      <c r="I4" s="11" t="inlineStr">
        <is>
          <t>Não</t>
        </is>
      </c>
      <c r="J4" s="11" t="n">
        <v>2021</v>
      </c>
      <c r="L4" s="11" t="n">
        <v>1</v>
      </c>
      <c r="M4" s="8">
        <f>L4*G4</f>
        <v/>
      </c>
      <c r="N4" s="11" t="inlineStr">
        <is>
          <t>Bulk Shopee</t>
        </is>
      </c>
    </row>
    <row r="5">
      <c r="A5" s="11" t="inlineStr">
        <is>
          <t>Temur Charm / Amuleto Temur</t>
        </is>
      </c>
      <c r="B5" s="11" t="inlineStr">
        <is>
          <t>Instant / Mágica Instantânea</t>
        </is>
      </c>
      <c r="C5" s="11" t="inlineStr">
        <is>
          <t>Uncommon / Incomum</t>
        </is>
      </c>
      <c r="D5" s="11"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5" s="11" t="inlineStr">
        <is>
          <t>{G}{U}{R}</t>
        </is>
      </c>
      <c r="F5" s="11" t="inlineStr">
        <is>
          <t>Verde, Vermelho, Azul</t>
        </is>
      </c>
      <c r="G5" s="8" t="n">
        <v>0.09</v>
      </c>
      <c r="H5" s="11" t="inlineStr">
        <is>
          <t>Khans of Tarkir (KTK)</t>
        </is>
      </c>
      <c r="I5" s="11" t="inlineStr">
        <is>
          <t>Não</t>
        </is>
      </c>
      <c r="J5" s="11" t="n">
        <v>2014</v>
      </c>
      <c r="L5" s="11" t="n">
        <v>1</v>
      </c>
      <c r="M5" s="8">
        <f>L5*G5</f>
        <v/>
      </c>
      <c r="N5" s="11" t="inlineStr">
        <is>
          <t>Bulk Shopee</t>
        </is>
      </c>
    </row>
    <row r="6">
      <c r="A6" s="11" t="inlineStr">
        <is>
          <t>Intrusive Packbeast / Besta de Carga Invasiva</t>
        </is>
      </c>
      <c r="B6" s="11" t="inlineStr">
        <is>
          <t>Creature — Beast / Criatura — Besta</t>
        </is>
      </c>
      <c r="C6" s="11" t="inlineStr">
        <is>
          <t>Common / Comum</t>
        </is>
      </c>
      <c r="D6" s="11" t="inlineStr">
        <is>
          <t>Vigilance When this creature enters, tap up to two target creatures your opponents control. / Vigilância Quando Besta de Carga Invasiva entrar no campo de batalha, vire até duas criaturas alvo que seus oponentes controlam.</t>
        </is>
      </c>
      <c r="E6" s="11" t="inlineStr">
        <is>
          <t>{4}{W}</t>
        </is>
      </c>
      <c r="F6" s="11" t="inlineStr">
        <is>
          <t>Branco</t>
        </is>
      </c>
      <c r="G6" s="8" t="n">
        <v>0.03</v>
      </c>
      <c r="H6" s="11" t="inlineStr">
        <is>
          <t>Guilds of Ravnica (GRN)</t>
        </is>
      </c>
      <c r="I6" s="11" t="inlineStr">
        <is>
          <t>Não</t>
        </is>
      </c>
      <c r="J6" s="11" t="n">
        <v>2018</v>
      </c>
      <c r="K6" s="10" t="n">
        <v>46084</v>
      </c>
      <c r="L6" s="11" t="n">
        <v>1</v>
      </c>
      <c r="M6" s="8">
        <f>L6*G6</f>
        <v/>
      </c>
      <c r="N6" s="11" t="inlineStr">
        <is>
          <t>Bulk Shopee</t>
        </is>
      </c>
    </row>
    <row r="7">
      <c r="A7" s="11" t="inlineStr">
        <is>
          <t>Urban Utopia / Utopia Urbana</t>
        </is>
      </c>
      <c r="B7" s="11" t="inlineStr">
        <is>
          <t>Enchantment — Aura / Encantamento — Aura</t>
        </is>
      </c>
      <c r="C7" s="11" t="inlineStr">
        <is>
          <t>Common / Comum</t>
        </is>
      </c>
      <c r="D7" s="11" t="inlineStr">
        <is>
          <t>Enchant land When this Aura enters, draw a card. Enchanted land has "{T}: Add one mana of any color." / Encantar terreno Quando Utopia Urbana entrar no campo de batalha, compre um card. O terreno encantado tem "{T}: Adicione um mana de qualquer cor".</t>
        </is>
      </c>
      <c r="E7" s="11" t="inlineStr">
        <is>
          <t>{1}{G}</t>
        </is>
      </c>
      <c r="F7" s="11" t="inlineStr">
        <is>
          <t>Verde</t>
        </is>
      </c>
      <c r="G7" s="8" t="n">
        <v>0.03</v>
      </c>
      <c r="H7" s="11" t="inlineStr">
        <is>
          <t>Guilds of Ravnica (GRN)</t>
        </is>
      </c>
      <c r="I7" s="11" t="inlineStr">
        <is>
          <t>Não</t>
        </is>
      </c>
      <c r="J7" s="11" t="n">
        <v>2018</v>
      </c>
      <c r="L7" s="11" t="n">
        <v>1</v>
      </c>
      <c r="M7" s="8">
        <f>L7*G7</f>
        <v/>
      </c>
      <c r="N7" s="11" t="inlineStr">
        <is>
          <t>Bulk Shopee</t>
        </is>
      </c>
    </row>
    <row r="8">
      <c r="A8" s="11" t="inlineStr">
        <is>
          <t>Carnival // Carnage / Carnaval // Carnificina</t>
        </is>
      </c>
      <c r="B8" s="11" t="inlineStr">
        <is>
          <t>Instant // Sorcery / Mágica Instantânea</t>
        </is>
      </c>
      <c r="C8" s="11" t="inlineStr">
        <is>
          <t>Uncommon / Incomum</t>
        </is>
      </c>
      <c r="D8" s="11"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8" s="11" t="inlineStr">
        <is>
          <t>{B/R} // {2}{B}{R}</t>
        </is>
      </c>
      <c r="F8" s="11" t="inlineStr">
        <is>
          <t>Preto, Vermelho</t>
        </is>
      </c>
      <c r="G8" s="8" t="n">
        <v>0.09</v>
      </c>
      <c r="H8" s="11" t="inlineStr">
        <is>
          <t>Ravnica Allegiance (RNA)</t>
        </is>
      </c>
      <c r="I8" s="11" t="inlineStr">
        <is>
          <t>Não</t>
        </is>
      </c>
      <c r="J8" s="11" t="n">
        <v>2019</v>
      </c>
      <c r="L8" s="11" t="n">
        <v>1</v>
      </c>
      <c r="M8" s="8">
        <f>L8*G8</f>
        <v/>
      </c>
      <c r="N8" s="11" t="inlineStr">
        <is>
          <t>Bulk Shopee</t>
        </is>
      </c>
    </row>
    <row r="9">
      <c r="A9" s="11" t="inlineStr">
        <is>
          <t>Errant Doomsayers / Áugure do Infortúnio Errante</t>
        </is>
      </c>
      <c r="B9" s="11" t="inlineStr">
        <is>
          <t>Creature — Human Rebel / Criatura — Humano Rebelde</t>
        </is>
      </c>
      <c r="C9" s="11" t="inlineStr">
        <is>
          <t>Common / Comum</t>
        </is>
      </c>
      <c r="D9" s="11" t="inlineStr">
        <is>
          <t>{T}: Tap target creature with toughness 2 or less. / {T}: Vire a criatura alvo com resistência igual ou inferior a 2.</t>
        </is>
      </c>
      <c r="E9" s="11" t="inlineStr">
        <is>
          <t>{1}{W}</t>
        </is>
      </c>
      <c r="F9" s="11" t="inlineStr">
        <is>
          <t>Branco</t>
        </is>
      </c>
      <c r="G9" s="8" t="n">
        <v>0.06</v>
      </c>
      <c r="H9" s="11" t="inlineStr">
        <is>
          <t>Time Spiral Remastered (TSR)</t>
        </is>
      </c>
      <c r="I9" s="11" t="inlineStr">
        <is>
          <t>Não</t>
        </is>
      </c>
      <c r="J9" s="11" t="n">
        <v>2021</v>
      </c>
      <c r="K9" s="10" t="n">
        <v>46023</v>
      </c>
      <c r="L9" s="11" t="n">
        <v>1</v>
      </c>
      <c r="M9" s="8">
        <f>L9*G9</f>
        <v/>
      </c>
      <c r="N9" s="11" t="inlineStr">
        <is>
          <t>Bulk Shopee</t>
        </is>
      </c>
    </row>
    <row r="10">
      <c r="A10" s="11" t="inlineStr">
        <is>
          <t>Benalish Cavalry / Cavalaria de Benália</t>
        </is>
      </c>
      <c r="B10" s="11" t="inlineStr">
        <is>
          <t>Creature — Human Knight / Criatura — Humano Cavaleiro</t>
        </is>
      </c>
      <c r="C10" s="11" t="inlineStr">
        <is>
          <t>Common / Comum</t>
        </is>
      </c>
      <c r="D10" s="11" t="inlineStr">
        <is>
          <t>Flanking (Whenever a creature without flanking blocks this creature, the blocking creature gets -1/-1 until end of turn.) / Flanquear (Toda vez que uma criatura sem flanquear bloquear esta criatura, a criatura bloqueadora receberá -1/-1 até o final do turno.)</t>
        </is>
      </c>
      <c r="E10" s="11" t="inlineStr">
        <is>
          <t>{1}{W}</t>
        </is>
      </c>
      <c r="F10" s="11" t="inlineStr">
        <is>
          <t>Branco</t>
        </is>
      </c>
      <c r="G10" s="8" t="n">
        <v>0.09</v>
      </c>
      <c r="H10" s="11" t="inlineStr">
        <is>
          <t>Time Spiral Remastered (TSR)</t>
        </is>
      </c>
      <c r="I10" s="11" t="inlineStr">
        <is>
          <t>Não</t>
        </is>
      </c>
      <c r="J10" s="11" t="n">
        <v>2021</v>
      </c>
      <c r="K10" s="10" t="n">
        <v>46055</v>
      </c>
      <c r="L10" s="11" t="n">
        <v>1</v>
      </c>
      <c r="M10" s="8">
        <f>L10*G10</f>
        <v/>
      </c>
      <c r="N10" s="11" t="inlineStr">
        <is>
          <t>Bulk Shopee</t>
        </is>
      </c>
    </row>
    <row r="11">
      <c r="A11" s="11" t="inlineStr">
        <is>
          <t>Diplomacy of the Wastes / Diplomacia dos Ermos</t>
        </is>
      </c>
      <c r="B11" s="11" t="inlineStr">
        <is>
          <t>Sorcery / Feitiço</t>
        </is>
      </c>
      <c r="C11" s="11" t="inlineStr">
        <is>
          <t>Uncommon / Incomum</t>
        </is>
      </c>
      <c r="D11" s="11"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11" s="11" t="inlineStr">
        <is>
          <t>{2}{B}</t>
        </is>
      </c>
      <c r="F11" s="11" t="inlineStr">
        <is>
          <t>Preto</t>
        </is>
      </c>
      <c r="G11" s="8" t="n">
        <v>0.08</v>
      </c>
      <c r="H11" s="11" t="inlineStr">
        <is>
          <t>Fate Reforged (FRF)</t>
        </is>
      </c>
      <c r="I11" s="11" t="inlineStr">
        <is>
          <t>Não</t>
        </is>
      </c>
      <c r="J11" s="11" t="n">
        <v>2015</v>
      </c>
      <c r="L11" s="11" t="n">
        <v>1</v>
      </c>
      <c r="M11" s="8">
        <f>L11*G11</f>
        <v/>
      </c>
      <c r="N11" s="11" t="inlineStr">
        <is>
          <t>Bulk Shopee</t>
        </is>
      </c>
    </row>
    <row r="12">
      <c r="A12" s="11" t="inlineStr">
        <is>
          <t>So Tiny / Tão Pequenininho</t>
        </is>
      </c>
      <c r="B12" s="11" t="inlineStr">
        <is>
          <t>Enchantment — Aura / Encantamento — Aura</t>
        </is>
      </c>
      <c r="C12" s="11" t="inlineStr">
        <is>
          <t>Common / Comum</t>
        </is>
      </c>
      <c r="D12" s="11"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12" s="11" t="inlineStr">
        <is>
          <t>{U}</t>
        </is>
      </c>
      <c r="F12" s="11" t="inlineStr">
        <is>
          <t>Azul</t>
        </is>
      </c>
      <c r="G12" s="8" t="n">
        <v>0.03</v>
      </c>
      <c r="H12" s="11" t="inlineStr">
        <is>
          <t>Throne of Eldraine (ELD)</t>
        </is>
      </c>
      <c r="I12" s="11" t="inlineStr">
        <is>
          <t>Não</t>
        </is>
      </c>
      <c r="J12" s="11" t="n">
        <v>2019</v>
      </c>
      <c r="L12" s="11" t="n">
        <v>1</v>
      </c>
      <c r="M12" s="8">
        <f>L12*G12</f>
        <v/>
      </c>
      <c r="N12" s="11" t="inlineStr">
        <is>
          <t>Bulk Shopee</t>
        </is>
      </c>
    </row>
    <row r="13">
      <c r="A13" s="11" t="inlineStr">
        <is>
          <t>Jace's Defeat / Derrota de Jace</t>
        </is>
      </c>
      <c r="B13" s="11" t="inlineStr">
        <is>
          <t>Instant / Mágica Instantânea</t>
        </is>
      </c>
      <c r="C13" s="11" t="inlineStr">
        <is>
          <t>Uncommon / Incomum</t>
        </is>
      </c>
      <c r="D13" s="11" t="inlineStr">
        <is>
          <t>Counter target blue spell. If it was a Jace planeswalker spell, scry 2. / Anule a mágica azul alvo. Se ela era uma mágica de planeswalker Jace, use vidência 2.</t>
        </is>
      </c>
      <c r="E13" s="11" t="inlineStr">
        <is>
          <t>{1}{U}</t>
        </is>
      </c>
      <c r="F13" s="11" t="inlineStr">
        <is>
          <t>Azul</t>
        </is>
      </c>
      <c r="G13" s="8" t="n">
        <v>0.06</v>
      </c>
      <c r="H13" s="11" t="inlineStr">
        <is>
          <t>Hour of Devastation (HOU)</t>
        </is>
      </c>
      <c r="I13" s="11" t="inlineStr">
        <is>
          <t>Não</t>
        </is>
      </c>
      <c r="J13" s="11" t="n">
        <v>2017</v>
      </c>
      <c r="L13" s="11" t="n">
        <v>1</v>
      </c>
      <c r="M13" s="8">
        <f>L13*G13</f>
        <v/>
      </c>
      <c r="N13" s="11" t="inlineStr">
        <is>
          <t>Bulk Shopee</t>
        </is>
      </c>
    </row>
    <row r="14">
      <c r="A14" s="11" t="inlineStr">
        <is>
          <t>Wicker Witch / Bruxa de Vime</t>
        </is>
      </c>
      <c r="B14" s="11" t="inlineStr">
        <is>
          <t>Artifact Creature — Scarecrow / Criatura Artefato — Espantalho</t>
        </is>
      </c>
      <c r="C14" s="11" t="inlineStr">
        <is>
          <t>Common / Comum</t>
        </is>
      </c>
      <c r="E14" s="11" t="inlineStr">
        <is>
          <t>{3}</t>
        </is>
      </c>
      <c r="F14" s="11" t="inlineStr">
        <is>
          <t>Incolor</t>
        </is>
      </c>
      <c r="G14" s="8" t="n">
        <v>0.05</v>
      </c>
      <c r="H14" s="11" t="inlineStr">
        <is>
          <t>Shadows over Innistrad (SOI)</t>
        </is>
      </c>
      <c r="I14" s="11" t="inlineStr">
        <is>
          <t>Não</t>
        </is>
      </c>
      <c r="J14" s="11" t="n">
        <v>2016</v>
      </c>
      <c r="K14" s="10" t="n">
        <v>46025</v>
      </c>
      <c r="L14" s="11" t="n">
        <v>1</v>
      </c>
      <c r="M14" s="8">
        <f>L14*G14</f>
        <v/>
      </c>
      <c r="N14" s="11" t="inlineStr">
        <is>
          <t>Bulk Shopee</t>
        </is>
      </c>
    </row>
    <row r="15">
      <c r="A15" s="11" t="inlineStr">
        <is>
          <t>Universal Solvent / Solvente Universal</t>
        </is>
      </c>
      <c r="B15" s="11" t="inlineStr">
        <is>
          <t>Artifact / Artefato</t>
        </is>
      </c>
      <c r="C15" s="11" t="inlineStr">
        <is>
          <t>Common / Comum</t>
        </is>
      </c>
      <c r="D15" s="11" t="inlineStr">
        <is>
          <t>{7}, {T}, Sacrifice this artifact: Destroy target permanent. / {7}, {T}, sacrifique Solvente Universal: Destrua a permanente alvo.</t>
        </is>
      </c>
      <c r="E15" s="11" t="inlineStr">
        <is>
          <t>{1}</t>
        </is>
      </c>
      <c r="F15" s="11" t="inlineStr">
        <is>
          <t>Incolor</t>
        </is>
      </c>
      <c r="G15" s="8" t="n">
        <v>0.03</v>
      </c>
      <c r="H15" s="11" t="inlineStr">
        <is>
          <t>Aether Revolt (AER)</t>
        </is>
      </c>
      <c r="I15" s="11" t="inlineStr">
        <is>
          <t>Não</t>
        </is>
      </c>
      <c r="J15" s="11" t="n">
        <v>2017</v>
      </c>
      <c r="L15" s="11" t="n">
        <v>1</v>
      </c>
      <c r="M15" s="8">
        <f>L15*G15</f>
        <v/>
      </c>
      <c r="N15" s="11" t="inlineStr">
        <is>
          <t>Bulk Shopee</t>
        </is>
      </c>
    </row>
    <row r="16">
      <c r="A16" s="11" t="inlineStr">
        <is>
          <t>Cinder Barrens / Desolação de Cinzas</t>
        </is>
      </c>
      <c r="B16" s="11" t="inlineStr">
        <is>
          <t>Land / Terreno</t>
        </is>
      </c>
      <c r="C16" s="11" t="inlineStr">
        <is>
          <t>Uncommon / Incomum</t>
        </is>
      </c>
      <c r="D16" s="11" t="inlineStr">
        <is>
          <t>This land enters tapped. {T}: Add {B} or {R}. / Desolação de Cinzas entra no campo de batalha virada. {T}: Adicione {B} ou {R}.</t>
        </is>
      </c>
      <c r="F16" s="11" t="inlineStr">
        <is>
          <t>Preto, Vermelho</t>
        </is>
      </c>
      <c r="G16" s="8" t="n">
        <v>0.19</v>
      </c>
      <c r="H16" s="11" t="inlineStr">
        <is>
          <t>Oath of the Gatewatch (OGW)</t>
        </is>
      </c>
      <c r="I16" s="11" t="inlineStr">
        <is>
          <t>Não</t>
        </is>
      </c>
      <c r="J16" s="11" t="n">
        <v>2016</v>
      </c>
      <c r="L16" s="11" t="n">
        <v>1</v>
      </c>
      <c r="M16" s="8">
        <f>L16*G16</f>
        <v/>
      </c>
      <c r="N16" s="11" t="inlineStr">
        <is>
          <t>Bulk Shopee</t>
        </is>
      </c>
    </row>
    <row r="17">
      <c r="A17" s="11" t="inlineStr">
        <is>
          <t>Coral Trickster / Trapaceira dos Corais</t>
        </is>
      </c>
      <c r="B17" s="11" t="inlineStr">
        <is>
          <t>Creature — Merfolk Rogue / Criatura — Tritão Ladino</t>
        </is>
      </c>
      <c r="C17" s="11" t="inlineStr">
        <is>
          <t>Common / Comum</t>
        </is>
      </c>
      <c r="D17" s="11" t="inlineStr">
        <is>
          <t>Morph {U} (You may cast this card face down as a 2/2 creature for {3}. Turn it face up any time for its morph cost.) When this creature is turned face up, you may tap or untap target permanent. / Metamorfose {U} (Você pode conjurar este card com a face voltada para baixo como uma criatura 2/2 por {3}. Volte sua face para cima a qualquer momento pagando seu custo de metamorfose.) Quando a face de Trapaceira dos Corais for voltada para cima, você poderá virar ou desvirar a permanente alvo.</t>
        </is>
      </c>
      <c r="E17" s="11" t="inlineStr">
        <is>
          <t>{1}{U}</t>
        </is>
      </c>
      <c r="F17" s="11" t="inlineStr">
        <is>
          <t>Azul</t>
        </is>
      </c>
      <c r="G17" s="8" t="n">
        <v>0.12</v>
      </c>
      <c r="H17" s="11" t="inlineStr">
        <is>
          <t>Time Spiral Remastered (TSR)</t>
        </is>
      </c>
      <c r="I17" s="11" t="inlineStr">
        <is>
          <t>Não</t>
        </is>
      </c>
      <c r="J17" s="11" t="n">
        <v>2021</v>
      </c>
      <c r="K17" s="10" t="n">
        <v>46024</v>
      </c>
      <c r="L17" s="11" t="n">
        <v>1</v>
      </c>
      <c r="M17" s="8">
        <f>L17*G17</f>
        <v/>
      </c>
      <c r="N17" s="11" t="inlineStr">
        <is>
          <t>Bulk Shopee</t>
        </is>
      </c>
    </row>
    <row r="18">
      <c r="A18" s="11" t="inlineStr">
        <is>
          <t>Keldon Halberdier / Alabardeiro Keldoniano</t>
        </is>
      </c>
      <c r="B18" s="11" t="inlineStr">
        <is>
          <t>Creature — Human Warrior / Criatura — Humano Guerreiro</t>
        </is>
      </c>
      <c r="C18" s="11" t="inlineStr">
        <is>
          <t>Common / Comum</t>
        </is>
      </c>
      <c r="D18" s="11"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18" s="11" t="inlineStr">
        <is>
          <t>{4}{R}</t>
        </is>
      </c>
      <c r="F18" s="11" t="inlineStr">
        <is>
          <t>Vermelho</t>
        </is>
      </c>
      <c r="G18" s="8" t="n">
        <v>0.08</v>
      </c>
      <c r="H18" s="11" t="inlineStr">
        <is>
          <t>Time Spiral Remastered (TSR)</t>
        </is>
      </c>
      <c r="I18" s="11" t="inlineStr">
        <is>
          <t>Não</t>
        </is>
      </c>
      <c r="J18" s="11" t="n">
        <v>2021</v>
      </c>
      <c r="K18" s="10" t="n">
        <v>46026</v>
      </c>
      <c r="L18" s="11" t="n">
        <v>1</v>
      </c>
      <c r="M18" s="8">
        <f>L18*G18</f>
        <v/>
      </c>
      <c r="N18" s="11" t="inlineStr">
        <is>
          <t>Bulk Shopee</t>
        </is>
      </c>
    </row>
    <row r="19">
      <c r="A19" s="11" t="inlineStr">
        <is>
          <t>Utopia Vow / Promessa Utópica</t>
        </is>
      </c>
      <c r="B19" s="11" t="inlineStr">
        <is>
          <t>Enchantment — Aura / Encantamento — Aura</t>
        </is>
      </c>
      <c r="C19" s="11" t="inlineStr">
        <is>
          <t>Common / Comum</t>
        </is>
      </c>
      <c r="D19" s="11" t="inlineStr">
        <is>
          <t>Enchant creature Enchanted creature can't attack or block. Enchanted creature has "{T}: Add one mana of any color." / Encantar criatura A criatura encantada não pode atacar nem bloquear. A criatura encantada tem "{T}: Adicione um mana de qualquer cor".</t>
        </is>
      </c>
      <c r="E19" s="11" t="inlineStr">
        <is>
          <t>{1}{G}</t>
        </is>
      </c>
      <c r="F19" s="11" t="inlineStr">
        <is>
          <t>Verde</t>
        </is>
      </c>
      <c r="G19" s="8" t="n">
        <v>0.13</v>
      </c>
      <c r="H19" s="11" t="inlineStr">
        <is>
          <t>Time Spiral Remastered (TSR)</t>
        </is>
      </c>
      <c r="I19" s="11" t="inlineStr">
        <is>
          <t>Não</t>
        </is>
      </c>
      <c r="J19" s="11" t="n">
        <v>2021</v>
      </c>
      <c r="L19" s="11" t="n">
        <v>1</v>
      </c>
      <c r="M19" s="8">
        <f>L19*G19</f>
        <v/>
      </c>
      <c r="N19" s="11" t="inlineStr">
        <is>
          <t>Bulk Shopee</t>
        </is>
      </c>
    </row>
    <row r="20">
      <c r="A20" s="11" t="inlineStr">
        <is>
          <t>Regenesis / Regênese</t>
        </is>
      </c>
      <c r="B20" s="11" t="inlineStr">
        <is>
          <t>Instant / Mágica Instantânea</t>
        </is>
      </c>
      <c r="C20" s="11" t="inlineStr">
        <is>
          <t>Uncommon / Incomum</t>
        </is>
      </c>
      <c r="D20" s="11" t="inlineStr">
        <is>
          <t>Return up to two target permanent cards from your graveyard to your hand. / Devolva até dois cards de permanente alvo de seu cemitério para sua mão.</t>
        </is>
      </c>
      <c r="E20" s="11" t="inlineStr">
        <is>
          <t>{3}{G}{G}</t>
        </is>
      </c>
      <c r="F20" s="11" t="inlineStr">
        <is>
          <t>Verde</t>
        </is>
      </c>
      <c r="G20" s="8" t="n">
        <v>0.05</v>
      </c>
      <c r="H20" s="11" t="inlineStr">
        <is>
          <t>Ravnica Allegiance (RNA)</t>
        </is>
      </c>
      <c r="I20" s="11" t="inlineStr">
        <is>
          <t>Não</t>
        </is>
      </c>
      <c r="J20" s="11" t="n">
        <v>2019</v>
      </c>
      <c r="L20" s="11" t="n">
        <v>1</v>
      </c>
      <c r="M20" s="8">
        <f>L20*G20</f>
        <v/>
      </c>
      <c r="N20" s="11" t="inlineStr">
        <is>
          <t>Bulk Shopee</t>
        </is>
      </c>
    </row>
    <row r="21">
      <c r="A21" s="11" t="inlineStr">
        <is>
          <t>Mindmelter / Funde-mentes</t>
        </is>
      </c>
      <c r="B21" s="11" t="inlineStr">
        <is>
          <t>Creature — Eldrazi Drone / Criatura — Eldrazi Zangão</t>
        </is>
      </c>
      <c r="C21" s="11" t="inlineStr">
        <is>
          <t>Uncommon / Incomum</t>
        </is>
      </c>
      <c r="D21" s="11"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21" s="11" t="inlineStr">
        <is>
          <t>{1}{U}{B}</t>
        </is>
      </c>
      <c r="F21" s="11" t="inlineStr">
        <is>
          <t>Preto, Azul</t>
        </is>
      </c>
      <c r="G21" s="8" t="n">
        <v>0.08</v>
      </c>
      <c r="H21" s="11" t="inlineStr">
        <is>
          <t>Oath of the Gatewatch (OGW)</t>
        </is>
      </c>
      <c r="I21" s="11" t="inlineStr">
        <is>
          <t>Não</t>
        </is>
      </c>
      <c r="J21" s="11" t="n">
        <v>2016</v>
      </c>
      <c r="K21" s="10" t="n">
        <v>46055</v>
      </c>
      <c r="L21" s="11" t="n">
        <v>1</v>
      </c>
      <c r="M21" s="8">
        <f>L21*G21</f>
        <v/>
      </c>
      <c r="N21" s="11" t="inlineStr">
        <is>
          <t>Bulk Shopee</t>
        </is>
      </c>
    </row>
    <row r="22">
      <c r="A22" s="11" t="inlineStr">
        <is>
          <t>Consulate Turret / Torreão do Consulado</t>
        </is>
      </c>
      <c r="B22" s="11" t="inlineStr">
        <is>
          <t>Artifact / Artefato</t>
        </is>
      </c>
      <c r="C22" s="11" t="inlineStr">
        <is>
          <t>Common / Comum</t>
        </is>
      </c>
      <c r="D22" s="11" t="inlineStr">
        <is>
          <t>{T}: You get {E} (an energy counter). {T}, Pay {E}{E}{E}: This artifact deals 2 damage to target player or planeswalker. / {T}: Você recebe {E} (um marcador de energia). {T}, Pague {E}{E}{E}: Torreão do Consulado causa 2 pontos de dano ao jogador alvo.</t>
        </is>
      </c>
      <c r="E22" s="11" t="inlineStr">
        <is>
          <t>{3}</t>
        </is>
      </c>
      <c r="F22" s="11" t="inlineStr">
        <is>
          <t>Incolor</t>
        </is>
      </c>
      <c r="G22" s="8" t="n">
        <v>0.03</v>
      </c>
      <c r="H22" s="11" t="inlineStr">
        <is>
          <t>Aether Revolt (AER)</t>
        </is>
      </c>
      <c r="I22" s="11" t="inlineStr">
        <is>
          <t>Não</t>
        </is>
      </c>
      <c r="J22" s="11" t="n">
        <v>2017</v>
      </c>
      <c r="L22" s="11" t="n">
        <v>1</v>
      </c>
      <c r="M22" s="8">
        <f>L22*G22</f>
        <v/>
      </c>
      <c r="N22" s="11" t="inlineStr">
        <is>
          <t>Bulk Shopee</t>
        </is>
      </c>
    </row>
    <row r="23">
      <c r="A23" s="11" t="inlineStr">
        <is>
          <t>Commander's Sphere / Esfera do Comandante</t>
        </is>
      </c>
      <c r="B23" s="11" t="inlineStr">
        <is>
          <t>Artifact / Artefato</t>
        </is>
      </c>
      <c r="C23" s="11" t="inlineStr">
        <is>
          <t>Common / Comum</t>
        </is>
      </c>
      <c r="D23" s="11" t="inlineStr">
        <is>
          <t>{T}: Add one mana of any color in your commander's color identity. Sacrifice this artifact: Draw a card. / {T}: Adicione um mana de qualquer cor da identidade de cor de seu comandante. Sacrifique Esfera do Comandante: Compre um card.</t>
        </is>
      </c>
      <c r="E23" s="11" t="inlineStr">
        <is>
          <t>{3}</t>
        </is>
      </c>
      <c r="F23" s="11" t="inlineStr">
        <is>
          <t>Incolor</t>
        </is>
      </c>
      <c r="G23" s="8" t="n">
        <v>0.5</v>
      </c>
      <c r="H23" s="11" t="inlineStr">
        <is>
          <t>Commander 2019 (C19)</t>
        </is>
      </c>
      <c r="I23" s="11" t="inlineStr">
        <is>
          <t>Não</t>
        </is>
      </c>
      <c r="J23" s="11" t="n">
        <v>2019</v>
      </c>
      <c r="L23" s="11" t="n">
        <v>1</v>
      </c>
      <c r="M23" s="8">
        <f>L23*G23</f>
        <v/>
      </c>
      <c r="N23" s="11" t="inlineStr">
        <is>
          <t>Bulk Shopee</t>
        </is>
      </c>
    </row>
    <row r="24">
      <c r="A24" s="11" t="inlineStr">
        <is>
          <t>Spiked Pit Trap / Armadilha do Poço com Estacas</t>
        </is>
      </c>
      <c r="B24" s="11" t="inlineStr">
        <is>
          <t>Artifact / Artefato</t>
        </is>
      </c>
      <c r="C24" s="11" t="inlineStr">
        <is>
          <t>Common / Comum</t>
        </is>
      </c>
      <c r="D24" s="11"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24" s="11" t="inlineStr">
        <is>
          <t>{1}</t>
        </is>
      </c>
      <c r="F24" s="11" t="inlineStr">
        <is>
          <t>Incolor</t>
        </is>
      </c>
      <c r="G24" s="8" t="n">
        <v>0.06</v>
      </c>
      <c r="H24" s="11" t="inlineStr">
        <is>
          <t>Adventures in the Forgotten Realms (AFR)</t>
        </is>
      </c>
      <c r="I24" s="11" t="inlineStr">
        <is>
          <t>Não</t>
        </is>
      </c>
      <c r="J24" s="11" t="n">
        <v>2021</v>
      </c>
      <c r="L24" s="11" t="n">
        <v>1</v>
      </c>
      <c r="M24" s="8">
        <f>L24*G24</f>
        <v/>
      </c>
      <c r="N24" s="11" t="inlineStr">
        <is>
          <t>Bulk Shopee</t>
        </is>
      </c>
    </row>
    <row r="25">
      <c r="A25" s="11" t="inlineStr">
        <is>
          <t>Sky Tether / Corrente Celeste</t>
        </is>
      </c>
      <c r="B25" s="11" t="inlineStr">
        <is>
          <t>Enchantment — Aura / Encantamento — Aura</t>
        </is>
      </c>
      <c r="C25" s="11" t="inlineStr">
        <is>
          <t>Uncommon / Incomum</t>
        </is>
      </c>
      <c r="D25" s="11" t="inlineStr">
        <is>
          <t>Enchant creature Enchanted creature has defender and loses flying. / Encantar criatura A criatura encantada tem defensor e perde voar.</t>
        </is>
      </c>
      <c r="E25" s="11" t="inlineStr">
        <is>
          <t>{W}</t>
        </is>
      </c>
      <c r="F25" s="11" t="inlineStr">
        <is>
          <t>Branco</t>
        </is>
      </c>
      <c r="G25" s="8" t="n">
        <v>0.03</v>
      </c>
      <c r="H25" s="11" t="inlineStr">
        <is>
          <t>Ravnica Allegiance (RNA)</t>
        </is>
      </c>
      <c r="I25" s="11" t="inlineStr">
        <is>
          <t>Não</t>
        </is>
      </c>
      <c r="J25" s="11" t="n">
        <v>2019</v>
      </c>
      <c r="L25" s="11" t="n">
        <v>1</v>
      </c>
      <c r="M25" s="8">
        <f>L25*G25</f>
        <v/>
      </c>
      <c r="N25" s="11" t="inlineStr">
        <is>
          <t>Bulk Shopee</t>
        </is>
      </c>
    </row>
    <row r="26">
      <c r="A26" s="11" t="inlineStr">
        <is>
          <t>Deepcavern Imp / Diabrete de Gruta Profunda</t>
        </is>
      </c>
      <c r="B26" s="11" t="inlineStr">
        <is>
          <t>Creature — Imp Rebel / Criatura — Diabrete Rebelde</t>
        </is>
      </c>
      <c r="C26" s="11" t="inlineStr">
        <is>
          <t>Common / Comum</t>
        </is>
      </c>
      <c r="D26" s="11"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26" s="11" t="inlineStr">
        <is>
          <t>{2}{B}</t>
        </is>
      </c>
      <c r="F26" s="11" t="inlineStr">
        <is>
          <t>Preto</t>
        </is>
      </c>
      <c r="G26" s="8" t="n">
        <v>0.06</v>
      </c>
      <c r="H26" s="11" t="inlineStr">
        <is>
          <t>Time Spiral Remastered (TSR)</t>
        </is>
      </c>
      <c r="I26" s="11" t="inlineStr">
        <is>
          <t>Não</t>
        </is>
      </c>
      <c r="J26" s="11" t="n">
        <v>2021</v>
      </c>
      <c r="K26" s="10" t="n">
        <v>46055</v>
      </c>
      <c r="L26" s="11" t="n">
        <v>1</v>
      </c>
      <c r="M26" s="8">
        <f>L26*G26</f>
        <v/>
      </c>
      <c r="N26" s="11" t="inlineStr">
        <is>
          <t>Bulk Shopee</t>
        </is>
      </c>
    </row>
    <row r="27">
      <c r="A27" s="11" t="inlineStr">
        <is>
          <t>Bellowing Saddlebrute / Ginete Brutal Urrante</t>
        </is>
      </c>
      <c r="B27" s="11" t="inlineStr">
        <is>
          <t>Creature — Orc Warrior / Criatura — Orc Guerreiro</t>
        </is>
      </c>
      <c r="C27" s="11" t="inlineStr">
        <is>
          <t>Uncommon / Incomum</t>
        </is>
      </c>
      <c r="D27" s="11" t="inlineStr">
        <is>
          <t>Raid — When this creature enters, you lose 4 life unless you attacked this turn. / Raide — Quando Ginete Brutal Urrante entra no campo de batalha, você perde 4 pontos de vida, a menos que você tenha atacado com uma criatura neste turno.</t>
        </is>
      </c>
      <c r="E27" s="11" t="inlineStr">
        <is>
          <t>{3}{B}</t>
        </is>
      </c>
      <c r="F27" s="11" t="inlineStr">
        <is>
          <t>Preto</t>
        </is>
      </c>
      <c r="G27" s="8" t="n">
        <v>0.05</v>
      </c>
      <c r="H27" s="11" t="inlineStr">
        <is>
          <t>Khans of Tarkir (KTK)</t>
        </is>
      </c>
      <c r="I27" s="11" t="inlineStr">
        <is>
          <t>Não</t>
        </is>
      </c>
      <c r="J27" s="11" t="n">
        <v>2014</v>
      </c>
      <c r="K27" s="10" t="n">
        <v>46146</v>
      </c>
      <c r="L27" s="11" t="n">
        <v>1</v>
      </c>
      <c r="M27" s="8">
        <f>L27*G27</f>
        <v/>
      </c>
      <c r="N27" s="11" t="inlineStr">
        <is>
          <t>Bulk Shopee</t>
        </is>
      </c>
    </row>
    <row r="28">
      <c r="A28" s="11" t="inlineStr">
        <is>
          <t>Enhanced Surveillance / Vigilância Reforçada</t>
        </is>
      </c>
      <c r="B28" s="11" t="inlineStr">
        <is>
          <t>Enchantment / Encantamento</t>
        </is>
      </c>
      <c r="C28" s="11" t="inlineStr">
        <is>
          <t>Uncommon / Incomum</t>
        </is>
      </c>
      <c r="D28" s="11"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28" s="11" t="inlineStr">
        <is>
          <t>{1}{U}</t>
        </is>
      </c>
      <c r="F28" s="11" t="inlineStr">
        <is>
          <t>Azul</t>
        </is>
      </c>
      <c r="G28" s="8" t="n">
        <v>0.06</v>
      </c>
      <c r="H28" s="11" t="inlineStr">
        <is>
          <t>Guilds of Ravnica (GRN)</t>
        </is>
      </c>
      <c r="I28" s="11" t="inlineStr">
        <is>
          <t>Não</t>
        </is>
      </c>
      <c r="J28" s="11" t="n">
        <v>2018</v>
      </c>
      <c r="L28" s="11" t="n">
        <v>1</v>
      </c>
      <c r="M28" s="8">
        <f>L28*G28</f>
        <v/>
      </c>
      <c r="N28" s="11" t="inlineStr">
        <is>
          <t>Bulk Shopee</t>
        </is>
      </c>
    </row>
    <row r="29">
      <c r="A29" s="11" t="inlineStr">
        <is>
          <t>Spontaneous Mutation / Mutação Espontânea</t>
        </is>
      </c>
      <c r="B29" s="11" t="inlineStr">
        <is>
          <t>Enchantment — Aura / Encantamento — Aura</t>
        </is>
      </c>
      <c r="C29" s="11" t="inlineStr">
        <is>
          <t>Common / Comum</t>
        </is>
      </c>
      <c r="D29" s="11"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29" s="11" t="inlineStr">
        <is>
          <t>{U}</t>
        </is>
      </c>
      <c r="F29" s="11" t="inlineStr">
        <is>
          <t>Azul</t>
        </is>
      </c>
      <c r="G29" s="8" t="n">
        <v>0.04</v>
      </c>
      <c r="H29" s="11" t="inlineStr">
        <is>
          <t>Commander Legends (CMR)</t>
        </is>
      </c>
      <c r="I29" s="11" t="inlineStr">
        <is>
          <t>Não</t>
        </is>
      </c>
      <c r="J29" s="11" t="n">
        <v>2020</v>
      </c>
      <c r="L29" s="11" t="n">
        <v>1</v>
      </c>
      <c r="M29" s="8">
        <f>L29*G29</f>
        <v/>
      </c>
      <c r="N29" s="11" t="inlineStr">
        <is>
          <t>Bulk Shopee</t>
        </is>
      </c>
    </row>
    <row r="30">
      <c r="A30" s="11" t="inlineStr">
        <is>
          <t>Quench / Arrefecer</t>
        </is>
      </c>
      <c r="B30" s="11" t="inlineStr">
        <is>
          <t>Instant / Mágica Instantânea</t>
        </is>
      </c>
      <c r="C30" s="11" t="inlineStr">
        <is>
          <t>Common / Comum</t>
        </is>
      </c>
      <c r="D30" s="11" t="inlineStr">
        <is>
          <t>Counter target spell unless its controller pays {2}. / Anule a mágica alvo, a menos que seu controlador pague {2}.</t>
        </is>
      </c>
      <c r="E30" s="11" t="inlineStr">
        <is>
          <t>{1}{U}</t>
        </is>
      </c>
      <c r="F30" s="11" t="inlineStr">
        <is>
          <t>Azul</t>
        </is>
      </c>
      <c r="G30" s="8" t="n">
        <v>0.04</v>
      </c>
      <c r="H30" s="11" t="inlineStr">
        <is>
          <t>Ravnica Allegiance (RNA)</t>
        </is>
      </c>
      <c r="I30" s="11" t="inlineStr">
        <is>
          <t>Não</t>
        </is>
      </c>
      <c r="J30" s="11" t="n">
        <v>2019</v>
      </c>
      <c r="L30" s="11" t="n">
        <v>1</v>
      </c>
      <c r="M30" s="8">
        <f>L30*G30</f>
        <v/>
      </c>
      <c r="N30" s="11" t="inlineStr">
        <is>
          <t>Bulk Shopee</t>
        </is>
      </c>
    </row>
    <row r="31">
      <c r="A31" s="11" t="inlineStr">
        <is>
          <t>Dagger Caster / Lançadora de Adagas</t>
        </is>
      </c>
      <c r="B31" s="11" t="inlineStr">
        <is>
          <t>Creature — Lizard Rogue / Criatura — Viashino Ladino</t>
        </is>
      </c>
      <c r="C31" s="11" t="inlineStr">
        <is>
          <t>Uncommon / Incomum</t>
        </is>
      </c>
      <c r="D31" s="11"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31" s="11" t="inlineStr">
        <is>
          <t>{3}{R}</t>
        </is>
      </c>
      <c r="F31" s="11" t="inlineStr">
        <is>
          <t>Vermelho</t>
        </is>
      </c>
      <c r="G31" s="8" t="n">
        <v>0.03</v>
      </c>
      <c r="H31" s="11" t="inlineStr">
        <is>
          <t>Ravnica Allegiance (RNA)</t>
        </is>
      </c>
      <c r="I31" s="11" t="inlineStr">
        <is>
          <t>Não</t>
        </is>
      </c>
      <c r="J31" s="11" t="n">
        <v>2019</v>
      </c>
      <c r="K31" s="10" t="n">
        <v>46083</v>
      </c>
      <c r="L31" s="11" t="n">
        <v>1</v>
      </c>
      <c r="M31" s="8">
        <f>L31*G31</f>
        <v/>
      </c>
      <c r="N31" s="11" t="inlineStr">
        <is>
          <t>Bulk Shopee</t>
        </is>
      </c>
    </row>
    <row r="32">
      <c r="A32" s="11" t="inlineStr">
        <is>
          <t>Strength in Numbers / Força em Números</t>
        </is>
      </c>
      <c r="B32" s="11" t="inlineStr">
        <is>
          <t>Instant / Mágica Instantânea</t>
        </is>
      </c>
      <c r="C32" s="11" t="inlineStr">
        <is>
          <t>Common / Comum</t>
        </is>
      </c>
      <c r="D32" s="11" t="inlineStr">
        <is>
          <t>Until end of turn, target creature gains trample and gets +X/+X, where X is the number of attacking creatures. / Até o final do turno, a criatura alvo ganha atropelar e recebe +X/+X, sendo X o número de criaturas atacantes.</t>
        </is>
      </c>
      <c r="E32" s="11" t="inlineStr">
        <is>
          <t>{1}{G}</t>
        </is>
      </c>
      <c r="F32" s="11" t="inlineStr">
        <is>
          <t>Verde</t>
        </is>
      </c>
      <c r="G32" s="8" t="n">
        <v>0.08</v>
      </c>
      <c r="H32" s="11" t="inlineStr">
        <is>
          <t>Time Spiral Remastered (TSR)</t>
        </is>
      </c>
      <c r="I32" s="11" t="inlineStr">
        <is>
          <t>Não</t>
        </is>
      </c>
      <c r="J32" s="11" t="n">
        <v>2021</v>
      </c>
      <c r="L32" s="11" t="n">
        <v>1</v>
      </c>
      <c r="M32" s="8">
        <f>L32*G32</f>
        <v/>
      </c>
      <c r="N32" s="11" t="inlineStr">
        <is>
          <t>Bulk Shopee</t>
        </is>
      </c>
    </row>
    <row r="33">
      <c r="A33" s="11" t="inlineStr">
        <is>
          <t>Root Snare / Armadilha de Raízes</t>
        </is>
      </c>
      <c r="B33" s="11" t="inlineStr">
        <is>
          <t>Instant / Mágica Instantânea</t>
        </is>
      </c>
      <c r="C33" s="11" t="inlineStr">
        <is>
          <t>Common / Comum</t>
        </is>
      </c>
      <c r="D33" s="11" t="inlineStr">
        <is>
          <t>Prevent all combat damage that would be dealt this turn. / Previna todo o dano de combate que seria causado neste turno.</t>
        </is>
      </c>
      <c r="E33" s="11" t="inlineStr">
        <is>
          <t>{1}{G}</t>
        </is>
      </c>
      <c r="F33" s="11" t="inlineStr">
        <is>
          <t>Verde</t>
        </is>
      </c>
      <c r="G33" s="8" t="n">
        <v>0.06</v>
      </c>
      <c r="H33" s="11" t="inlineStr">
        <is>
          <t>Ravnica Allegiance (RNA)</t>
        </is>
      </c>
      <c r="I33" s="11" t="inlineStr">
        <is>
          <t>Não</t>
        </is>
      </c>
      <c r="J33" s="11" t="n">
        <v>2019</v>
      </c>
      <c r="L33" s="11" t="n">
        <v>1</v>
      </c>
      <c r="M33" s="8">
        <f>L33*G33</f>
        <v/>
      </c>
      <c r="N33" s="11" t="inlineStr">
        <is>
          <t>Bulk Shopee</t>
        </is>
      </c>
    </row>
    <row r="34">
      <c r="A34" s="11" t="inlineStr">
        <is>
          <t>Orzhov Guildgate / Portão da Guilda Orzhov</t>
        </is>
      </c>
      <c r="B34" s="11" t="inlineStr">
        <is>
          <t>Land — Gate / Terreno — Portão</t>
        </is>
      </c>
      <c r="C34" s="11" t="inlineStr">
        <is>
          <t>Common / Comum</t>
        </is>
      </c>
      <c r="D34" s="11" t="inlineStr">
        <is>
          <t>This land enters tapped. {T}: Add {W} or {B}. / Portão da Guilda Orzhov entra no campo de batalha virado. {T}: Adicione {W} ou {B}.</t>
        </is>
      </c>
      <c r="F34" s="11" t="inlineStr">
        <is>
          <t>Preto, Branco</t>
        </is>
      </c>
      <c r="G34" s="8" t="n">
        <v>0.09</v>
      </c>
      <c r="H34" s="11" t="inlineStr">
        <is>
          <t>Dragon's Maze (DGM)</t>
        </is>
      </c>
      <c r="I34" s="11" t="inlineStr">
        <is>
          <t>Não</t>
        </is>
      </c>
      <c r="J34" s="11" t="n">
        <v>2013</v>
      </c>
      <c r="L34" s="11" t="n">
        <v>1</v>
      </c>
      <c r="M34" s="8">
        <f>L34*G34</f>
        <v/>
      </c>
      <c r="N34" s="11" t="inlineStr">
        <is>
          <t>Bulk Shopee</t>
        </is>
      </c>
    </row>
    <row r="35">
      <c r="A35" s="11" t="inlineStr">
        <is>
          <t>Shard of Broken Glass / Fragmento de Vidro</t>
        </is>
      </c>
      <c r="B35" s="11" t="inlineStr">
        <is>
          <t>Artifact — Equipment / Artefato — Equipamento</t>
        </is>
      </c>
      <c r="C35" s="11" t="inlineStr">
        <is>
          <t>Common / Comum</t>
        </is>
      </c>
      <c r="D35" s="11"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35" s="11" t="inlineStr">
        <is>
          <t>{1}</t>
        </is>
      </c>
      <c r="F35" s="11" t="inlineStr">
        <is>
          <t>Incolor</t>
        </is>
      </c>
      <c r="G35" s="8" t="n">
        <v>0.05</v>
      </c>
      <c r="H35" s="11" t="inlineStr">
        <is>
          <t>Shadows over Innistrad (SOI)</t>
        </is>
      </c>
      <c r="I35" s="11" t="inlineStr">
        <is>
          <t>Não</t>
        </is>
      </c>
      <c r="J35" s="11" t="n">
        <v>2016</v>
      </c>
      <c r="L35" s="11" t="n">
        <v>1</v>
      </c>
      <c r="M35" s="8">
        <f>L35*G35</f>
        <v/>
      </c>
      <c r="N35" s="11" t="inlineStr">
        <is>
          <t>Bulk Shopee</t>
        </is>
      </c>
    </row>
    <row r="36">
      <c r="A36" s="11" t="inlineStr">
        <is>
          <t>Silent Dart / Dardo de Pulso</t>
        </is>
      </c>
      <c r="B36" s="11" t="inlineStr">
        <is>
          <t>Artifact / Artefato</t>
        </is>
      </c>
      <c r="C36" s="11" t="inlineStr">
        <is>
          <t>Uncommon / Incomum</t>
        </is>
      </c>
      <c r="D36" s="11" t="inlineStr">
        <is>
          <t>{4}, {T}, Sacrifice this artifact: It deals 3 damage to target creature. / {4}, {T}, sacrifique Dardo de Pulso: Ele causa 3 pontos de dano à criatura alvo.</t>
        </is>
      </c>
      <c r="E36" s="11" t="inlineStr">
        <is>
          <t>{1}</t>
        </is>
      </c>
      <c r="F36" s="11" t="inlineStr">
        <is>
          <t>Incolor</t>
        </is>
      </c>
      <c r="G36" s="8" t="n">
        <v>0.03</v>
      </c>
      <c r="H36" s="11" t="inlineStr">
        <is>
          <t>Guilds of Ravnica (GRN)</t>
        </is>
      </c>
      <c r="I36" s="11" t="inlineStr">
        <is>
          <t>Não</t>
        </is>
      </c>
      <c r="J36" s="11" t="n">
        <v>2018</v>
      </c>
      <c r="L36" s="11" t="n">
        <v>1</v>
      </c>
      <c r="M36" s="8">
        <f>L36*G36</f>
        <v/>
      </c>
      <c r="N36" s="11" t="inlineStr">
        <is>
          <t>Bulk Shopee</t>
        </is>
      </c>
    </row>
    <row r="37">
      <c r="A37" s="11" t="inlineStr">
        <is>
          <t>Angelic Purge / Purgação Angelical</t>
        </is>
      </c>
      <c r="B37" s="11" t="inlineStr">
        <is>
          <t>Sorcery / Feitiço</t>
        </is>
      </c>
      <c r="C37" s="11" t="inlineStr">
        <is>
          <t>Common / Comum</t>
        </is>
      </c>
      <c r="D37" s="11" t="inlineStr">
        <is>
          <t>As an additional cost to cast this spell, sacrifice a permanent. Exile target artifact, creature, or enchantment. / Como custo adicional para conjurar Purgação Angelical, sacrifique uma permanente. Exile o artefato, criatura ou encantamento alvo.</t>
        </is>
      </c>
      <c r="E37" s="11" t="inlineStr">
        <is>
          <t>{2}{W}</t>
        </is>
      </c>
      <c r="F37" s="11" t="inlineStr">
        <is>
          <t>Branco</t>
        </is>
      </c>
      <c r="G37" s="8" t="n">
        <v>0.05</v>
      </c>
      <c r="H37" s="11" t="inlineStr">
        <is>
          <t>Shadows over Innistrad (SOI)</t>
        </is>
      </c>
      <c r="I37" s="11" t="inlineStr">
        <is>
          <t>Não</t>
        </is>
      </c>
      <c r="J37" s="11" t="n">
        <v>2016</v>
      </c>
      <c r="L37" s="11" t="n">
        <v>1</v>
      </c>
      <c r="M37" s="8">
        <f>L37*G37</f>
        <v/>
      </c>
      <c r="N37" s="11" t="inlineStr">
        <is>
          <t>Bulk Shopee</t>
        </is>
      </c>
    </row>
    <row r="38">
      <c r="A38" s="11" t="inlineStr">
        <is>
          <t>Ampryn Tactician / Estrategista Ampryn</t>
        </is>
      </c>
      <c r="B38" s="11" t="inlineStr">
        <is>
          <t>Creature — Human Soldier / Criatura — Humano Soldado</t>
        </is>
      </c>
      <c r="C38" s="11" t="inlineStr">
        <is>
          <t>Common / Comum</t>
        </is>
      </c>
      <c r="D38" s="11" t="inlineStr">
        <is>
          <t>When this creature enters, creatures you control get +1/+1 until end of turn. / Quando Estrategista Ampryn entra no campo de batalha, as criaturas que você controla recebem +1/+1 até o final do turno.</t>
        </is>
      </c>
      <c r="E38" s="11" t="inlineStr">
        <is>
          <t>{2}{W}{W}</t>
        </is>
      </c>
      <c r="F38" s="11" t="inlineStr">
        <is>
          <t>Branco</t>
        </is>
      </c>
      <c r="G38" s="8" t="n">
        <v>0.06</v>
      </c>
      <c r="H38" s="11" t="inlineStr">
        <is>
          <t>Magic Origins (ORI)</t>
        </is>
      </c>
      <c r="I38" s="11" t="inlineStr">
        <is>
          <t>Não</t>
        </is>
      </c>
      <c r="J38" s="11" t="n">
        <v>2015</v>
      </c>
      <c r="K38" s="10" t="n">
        <v>46084</v>
      </c>
      <c r="L38" s="11" t="n">
        <v>1</v>
      </c>
      <c r="M38" s="8">
        <f>L38*G38</f>
        <v/>
      </c>
      <c r="N38" s="11" t="inlineStr">
        <is>
          <t>Bulk Shopee</t>
        </is>
      </c>
    </row>
    <row r="39">
      <c r="A39" s="11" t="inlineStr">
        <is>
          <t>Seismic Rupture / Ruptura Sísmica</t>
        </is>
      </c>
      <c r="B39" s="11" t="inlineStr">
        <is>
          <t>Sorcery / Feitiço</t>
        </is>
      </c>
      <c r="C39" s="11" t="inlineStr">
        <is>
          <t>Uncommon / Incomum</t>
        </is>
      </c>
      <c r="D39" s="11" t="inlineStr">
        <is>
          <t>Seismic Rupture deals 2 damage to each creature without flying. / Ruptura Sísmica causa 2 pontos de dano a cada criatura sem voar.</t>
        </is>
      </c>
      <c r="E39" s="11" t="inlineStr">
        <is>
          <t>{2}{R}</t>
        </is>
      </c>
      <c r="F39" s="11" t="inlineStr">
        <is>
          <t>Vermelho</t>
        </is>
      </c>
      <c r="G39" s="8" t="n">
        <v>0.06</v>
      </c>
      <c r="H39" s="11" t="inlineStr">
        <is>
          <t>Dragons of Tarkir (DTK)</t>
        </is>
      </c>
      <c r="I39" s="11" t="inlineStr">
        <is>
          <t>Não</t>
        </is>
      </c>
      <c r="J39" s="11" t="n">
        <v>2015</v>
      </c>
      <c r="L39" s="11" t="n">
        <v>1</v>
      </c>
      <c r="M39" s="8">
        <f>L39*G39</f>
        <v/>
      </c>
      <c r="N39" s="11" t="inlineStr">
        <is>
          <t>Bulk Shopee</t>
        </is>
      </c>
    </row>
    <row r="40">
      <c r="A40" s="11" t="inlineStr">
        <is>
          <t>Servant of the Scale / Servo da Escama</t>
        </is>
      </c>
      <c r="B40" s="11" t="inlineStr">
        <is>
          <t>Creature — Human Soldier / Criatura — Humano Soldado</t>
        </is>
      </c>
      <c r="C40" s="11" t="inlineStr">
        <is>
          <t>Common / Comum</t>
        </is>
      </c>
      <c r="D40" s="11" t="inlineStr">
        <is>
          <t>This creature enters with a +1/+1 counter on it. When this creature dies, put X +1/+1 counters on target creature you control, where X is the number of +1/+1 counters on this creature. / Servo da Escama entra no campo de batalha com um marcador +1/+1. Quando Servo da Escama morrer, coloque X marcadores +1/+1 na criatura alvo que você controla, sendo X o número de marcadores +1/+1 em Servo da Escama.</t>
        </is>
      </c>
      <c r="E40" s="11" t="inlineStr">
        <is>
          <t>{G}</t>
        </is>
      </c>
      <c r="F40" s="11" t="inlineStr">
        <is>
          <t>Verde</t>
        </is>
      </c>
      <c r="G40" s="8" t="n">
        <v>0.08</v>
      </c>
      <c r="H40" s="11" t="inlineStr">
        <is>
          <t>Dragons of Tarkir (DTK)</t>
        </is>
      </c>
      <c r="I40" s="11" t="inlineStr">
        <is>
          <t>Não</t>
        </is>
      </c>
      <c r="J40" s="11" t="n">
        <v>2015</v>
      </c>
      <c r="K40" s="11" t="inlineStr">
        <is>
          <t>0/0</t>
        </is>
      </c>
      <c r="L40" s="11" t="n">
        <v>1</v>
      </c>
      <c r="M40" s="8">
        <f>L40*G40</f>
        <v/>
      </c>
      <c r="N40" s="11" t="inlineStr">
        <is>
          <t>Bulk Shopee</t>
        </is>
      </c>
    </row>
    <row r="41">
      <c r="A41" s="11" t="inlineStr">
        <is>
          <t>Strongarm Monk / Monge Braço-forte</t>
        </is>
      </c>
      <c r="B41" s="11" t="inlineStr">
        <is>
          <t>Creature — Human Monk / Criatura — Humano Monge</t>
        </is>
      </c>
      <c r="C41" s="11" t="inlineStr">
        <is>
          <t>Uncommon / Incomum</t>
        </is>
      </c>
      <c r="D41" s="11" t="inlineStr">
        <is>
          <t>Whenever you cast a noncreature spell, creatures you control get +1/+1 until end of turn. / Toda vez que você conjura uma mágica que não seja de criatura, as criaturas que você controla recebem +1/+1 até o final do turno.</t>
        </is>
      </c>
      <c r="E41" s="11" t="inlineStr">
        <is>
          <t>{4}{W}</t>
        </is>
      </c>
      <c r="F41" s="11" t="inlineStr">
        <is>
          <t>Branco</t>
        </is>
      </c>
      <c r="G41" s="8" t="n">
        <v>0.06</v>
      </c>
      <c r="H41" s="11" t="inlineStr">
        <is>
          <t>Dragons of Tarkir (DTK)</t>
        </is>
      </c>
      <c r="I41" s="11" t="inlineStr">
        <is>
          <t>Não</t>
        </is>
      </c>
      <c r="J41" s="11" t="n">
        <v>2015</v>
      </c>
      <c r="K41" s="10" t="n">
        <v>46084</v>
      </c>
      <c r="L41" s="11" t="n">
        <v>1</v>
      </c>
      <c r="M41" s="8">
        <f>L41*G41</f>
        <v/>
      </c>
      <c r="N41" s="11" t="inlineStr">
        <is>
          <t>Bulk Shopee</t>
        </is>
      </c>
    </row>
    <row r="42">
      <c r="A42" s="11" t="inlineStr">
        <is>
          <t>Seek the Horizon / Procurar o Horizonte</t>
        </is>
      </c>
      <c r="B42" s="11" t="inlineStr">
        <is>
          <t>Sorcery / Feitiço</t>
        </is>
      </c>
      <c r="C42" s="11" t="inlineStr">
        <is>
          <t>Uncommon / Incomum</t>
        </is>
      </c>
      <c r="D42" s="11" t="inlineStr">
        <is>
          <t>Search your library for up to three basic land cards, reveal them, put them into your hand, then shuffle. / Procure em seu grimório até três cards de terreno básico, revele-os e coloque-os em sua mão. Depois, embaralhe seu grimório.</t>
        </is>
      </c>
      <c r="E42" s="11" t="inlineStr">
        <is>
          <t>{3}{G}</t>
        </is>
      </c>
      <c r="F42" s="11" t="inlineStr">
        <is>
          <t>Verde</t>
        </is>
      </c>
      <c r="G42" s="8" t="n">
        <v>0.05</v>
      </c>
      <c r="H42" s="11" t="inlineStr">
        <is>
          <t>Khans of Tarkir (KTK)</t>
        </is>
      </c>
      <c r="I42" s="11" t="inlineStr">
        <is>
          <t>Não</t>
        </is>
      </c>
      <c r="J42" s="11" t="n">
        <v>2014</v>
      </c>
      <c r="L42" s="11" t="n">
        <v>1</v>
      </c>
      <c r="M42" s="8">
        <f>L42*G42</f>
        <v/>
      </c>
      <c r="N42" s="11" t="inlineStr">
        <is>
          <t>Bulk Shopee</t>
        </is>
      </c>
    </row>
    <row r="43">
      <c r="A43" s="11" t="inlineStr">
        <is>
          <t>Mindstab / Apunhala-mentes</t>
        </is>
      </c>
      <c r="B43" s="11" t="inlineStr">
        <is>
          <t>Sorcery / Feitiço</t>
        </is>
      </c>
      <c r="C43" s="11" t="inlineStr">
        <is>
          <t>Common / Comum</t>
        </is>
      </c>
      <c r="D43" s="11"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43" s="11" t="inlineStr">
        <is>
          <t>{5}{B}</t>
        </is>
      </c>
      <c r="F43" s="11" t="inlineStr">
        <is>
          <t>Preto</t>
        </is>
      </c>
      <c r="G43" s="8" t="n">
        <v>0.09</v>
      </c>
      <c r="H43" s="11" t="inlineStr">
        <is>
          <t>Time Spiral Remastered (TSR)</t>
        </is>
      </c>
      <c r="I43" s="11" t="inlineStr">
        <is>
          <t>Não</t>
        </is>
      </c>
      <c r="J43" s="11" t="n">
        <v>2021</v>
      </c>
      <c r="L43" s="11" t="n">
        <v>1</v>
      </c>
      <c r="M43" s="8">
        <f>L43*G43</f>
        <v/>
      </c>
      <c r="N43" s="11" t="inlineStr">
        <is>
          <t>Bulk Shopee</t>
        </is>
      </c>
    </row>
    <row r="44">
      <c r="A44" s="11" t="inlineStr">
        <is>
          <t>Spire Mangler / Desmembrador da Torre</t>
        </is>
      </c>
      <c r="B44" s="11" t="inlineStr">
        <is>
          <t>Creature — Insect / Criatura — Inseto</t>
        </is>
      </c>
      <c r="C44" s="11" t="inlineStr">
        <is>
          <t>Uncommon / Incomum</t>
        </is>
      </c>
      <c r="D44" s="11" t="inlineStr">
        <is>
          <t>Flash Flying When this creature enters, target creature you control with flying gets +2/+0 until end of turn. / Lampejo Voar Quando Desmembrador da Torre entra no campo de batalha, a criatura alvo que você controla com voar recebe +2/+0 até o final do turno.</t>
        </is>
      </c>
      <c r="E44" s="11" t="inlineStr">
        <is>
          <t>{2}{B}</t>
        </is>
      </c>
      <c r="F44" s="11" t="inlineStr">
        <is>
          <t>Preto</t>
        </is>
      </c>
      <c r="G44" s="8" t="n">
        <v>0.03</v>
      </c>
      <c r="H44" s="11" t="inlineStr">
        <is>
          <t>Ravnica Allegiance (RNA)</t>
        </is>
      </c>
      <c r="I44" s="11" t="inlineStr">
        <is>
          <t>Não</t>
        </is>
      </c>
      <c r="J44" s="11" t="n">
        <v>2019</v>
      </c>
      <c r="K44" s="10" t="n">
        <v>46024</v>
      </c>
      <c r="L44" s="11" t="n">
        <v>1</v>
      </c>
      <c r="M44" s="8">
        <f>L44*G44</f>
        <v/>
      </c>
      <c r="N44" s="11" t="inlineStr">
        <is>
          <t>Bulk Shopee</t>
        </is>
      </c>
    </row>
    <row r="45">
      <c r="A45" s="11" t="inlineStr">
        <is>
          <t>Marauder's Axe / Machado do Saqueador</t>
        </is>
      </c>
      <c r="B45" s="11" t="inlineStr">
        <is>
          <t>Artifact — Equipment / Artefato — Equipamento</t>
        </is>
      </c>
      <c r="C45" s="11" t="inlineStr">
        <is>
          <t>Common / Comum</t>
        </is>
      </c>
      <c r="D45" s="11" t="inlineStr">
        <is>
          <t>Equipped creature gets +2/+0. Equip {2} ({2}: Attach to target creature you control. Equip only as a sorcery.) / A criatura equipada recebe +2/+0. Equipar {2} ({2}: Anexe este equipamento à criatura alvo que você controla. Equipe somente como um feitiço.)</t>
        </is>
      </c>
      <c r="E45" s="11" t="inlineStr">
        <is>
          <t>{2}</t>
        </is>
      </c>
      <c r="F45" s="11" t="inlineStr">
        <is>
          <t>Incolor</t>
        </is>
      </c>
      <c r="G45" s="8" t="n">
        <v>0.03</v>
      </c>
      <c r="H45" s="11" t="inlineStr">
        <is>
          <t>Core Set 2019 (M19)</t>
        </is>
      </c>
      <c r="I45" s="11" t="inlineStr">
        <is>
          <t>Não</t>
        </is>
      </c>
      <c r="J45" s="11" t="n">
        <v>2018</v>
      </c>
      <c r="L45" s="11" t="n">
        <v>1</v>
      </c>
      <c r="M45" s="8">
        <f>L45*G45</f>
        <v/>
      </c>
      <c r="N45" s="11" t="inlineStr">
        <is>
          <t>Bulk Shopee</t>
        </is>
      </c>
    </row>
    <row r="46">
      <c r="A46" s="11" t="inlineStr">
        <is>
          <t>Pilfering Imp / Diabrete Afanador</t>
        </is>
      </c>
      <c r="B46" s="11" t="inlineStr">
        <is>
          <t>Creature — Imp / Criatura — Diabrete</t>
        </is>
      </c>
      <c r="C46" s="11" t="inlineStr">
        <is>
          <t>Uncommon / Incomum</t>
        </is>
      </c>
      <c r="D46" s="11"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46" s="11" t="inlineStr">
        <is>
          <t>{B}</t>
        </is>
      </c>
      <c r="F46" s="11" t="inlineStr">
        <is>
          <t>Preto</t>
        </is>
      </c>
      <c r="G46" s="8" t="n">
        <v>0.06</v>
      </c>
      <c r="H46" s="11" t="inlineStr">
        <is>
          <t>Guilds of Ravnica (GRN)</t>
        </is>
      </c>
      <c r="I46" s="11" t="inlineStr">
        <is>
          <t>Não</t>
        </is>
      </c>
      <c r="J46" s="11" t="n">
        <v>2018</v>
      </c>
      <c r="K46" s="10" t="n">
        <v>46023</v>
      </c>
      <c r="L46" s="11" t="n">
        <v>1</v>
      </c>
      <c r="M46" s="8">
        <f>L46*G46</f>
        <v/>
      </c>
      <c r="N46" s="11" t="inlineStr">
        <is>
          <t>Bulk Shopee</t>
        </is>
      </c>
    </row>
    <row r="47">
      <c r="A47" s="11" t="inlineStr">
        <is>
          <t>Tolarian Sentinel / Sentinela Tolariana</t>
        </is>
      </c>
      <c r="B47" s="11" t="inlineStr">
        <is>
          <t>Creature — Human Spellshaper / Criatura — Humano Magimodelador</t>
        </is>
      </c>
      <c r="C47" s="11" t="inlineStr">
        <is>
          <t>Common / Comum</t>
        </is>
      </c>
      <c r="D47" s="11" t="inlineStr">
        <is>
          <t>Flying {U}, {T}, Discard a card: Return target permanent you control to its owner's hand. / Voar {U}, {T}, descarte um card: Devolva a permanente alvo que você controla para a mão de seu dono.</t>
        </is>
      </c>
      <c r="E47" s="11" t="inlineStr">
        <is>
          <t>{3}{U}</t>
        </is>
      </c>
      <c r="F47" s="11" t="inlineStr">
        <is>
          <t>Azul</t>
        </is>
      </c>
      <c r="G47" s="8" t="n">
        <v>0.1</v>
      </c>
      <c r="H47" s="11" t="inlineStr">
        <is>
          <t>Time Spiral Remastered (TSR)</t>
        </is>
      </c>
      <c r="I47" s="11" t="inlineStr">
        <is>
          <t>Não</t>
        </is>
      </c>
      <c r="J47" s="11" t="n">
        <v>2021</v>
      </c>
      <c r="K47" s="10" t="n">
        <v>46082</v>
      </c>
      <c r="L47" s="11" t="n">
        <v>1</v>
      </c>
      <c r="M47" s="8">
        <f>L47*G47</f>
        <v/>
      </c>
      <c r="N47" s="11" t="inlineStr">
        <is>
          <t>Bulk Shopee</t>
        </is>
      </c>
    </row>
    <row r="48">
      <c r="A48" s="11" t="inlineStr">
        <is>
          <t>Rain of Rust / Chuva de Ferrugem</t>
        </is>
      </c>
      <c r="B48" s="11" t="inlineStr">
        <is>
          <t>Instant / Mágica Instantânea</t>
        </is>
      </c>
      <c r="C48" s="11" t="inlineStr">
        <is>
          <t>Common / Comum</t>
        </is>
      </c>
      <c r="D48" s="11" t="inlineStr">
        <is>
          <t>Choose one — • Destroy target artifact. • Destroy target land. Entwine {3}{R} (Choose both if you pay the entwine cost.) / Escolha um Destrói o artefato alvo; ou destrói o terreno alvo. Entrelaçar {3}{R} (Escolha ambos se pagar o custo de entrelaçar.)</t>
        </is>
      </c>
      <c r="E48" s="11" t="inlineStr">
        <is>
          <t>{3}{R}{R}</t>
        </is>
      </c>
      <c r="F48" s="11" t="inlineStr">
        <is>
          <t>Vermelho</t>
        </is>
      </c>
      <c r="G48" s="8" t="n">
        <v>0.04</v>
      </c>
      <c r="H48" s="11" t="inlineStr">
        <is>
          <t>Fifth Dawn (5DN)</t>
        </is>
      </c>
      <c r="I48" s="11" t="inlineStr">
        <is>
          <t>Não</t>
        </is>
      </c>
      <c r="J48" s="11" t="n">
        <v>2004</v>
      </c>
      <c r="L48" s="11" t="n">
        <v>1</v>
      </c>
      <c r="M48" s="8">
        <f>L48*G48</f>
        <v/>
      </c>
      <c r="N48" s="11" t="inlineStr">
        <is>
          <t>Bulk Shopee</t>
        </is>
      </c>
    </row>
    <row r="49">
      <c r="A49" s="11" t="inlineStr">
        <is>
          <t>Mardu Banner / Estandarte Mardu</t>
        </is>
      </c>
      <c r="B49" s="11" t="inlineStr">
        <is>
          <t>Artifact / Artefato</t>
        </is>
      </c>
      <c r="C49" s="11" t="inlineStr">
        <is>
          <t>Common / Comum</t>
        </is>
      </c>
      <c r="D49" s="11" t="inlineStr">
        <is>
          <t>{T}: Add {R}, {W}, or {B}. {R}{W}{B}, {T}, Sacrifice this artifact: Draw a card. / {T}: Adicione {R}, {W} ou {B} à sua reserva de mana. {R}{W}{B}, {T}, Sacrifique Estandarte Mardu: Compre um card.</t>
        </is>
      </c>
      <c r="E49" s="11" t="inlineStr">
        <is>
          <t>{3}</t>
        </is>
      </c>
      <c r="F49" s="11" t="inlineStr">
        <is>
          <t>Preto, Vermelho, Branco</t>
        </is>
      </c>
      <c r="G49" s="8" t="n">
        <v>0.08</v>
      </c>
      <c r="H49" s="11" t="inlineStr">
        <is>
          <t>Khans of Tarkir (KTK)</t>
        </is>
      </c>
      <c r="I49" s="11" t="inlineStr">
        <is>
          <t>Não</t>
        </is>
      </c>
      <c r="J49" s="11" t="n">
        <v>2014</v>
      </c>
      <c r="L49" s="11" t="n">
        <v>1</v>
      </c>
      <c r="M49" s="8">
        <f>L49*G49</f>
        <v/>
      </c>
      <c r="N49" s="11" t="inlineStr">
        <is>
          <t>Bulk Shopee</t>
        </is>
      </c>
    </row>
    <row r="50">
      <c r="A50" s="11" t="inlineStr">
        <is>
          <t>Rakshasa Gravecaller / Evocador de Túmulos Rakshasa</t>
        </is>
      </c>
      <c r="B50" s="11" t="inlineStr">
        <is>
          <t>Creature — Demon / Criatura — Felino Demônio</t>
        </is>
      </c>
      <c r="C50" s="11" t="inlineStr">
        <is>
          <t>Uncommon / Incomum</t>
        </is>
      </c>
      <c r="D50" s="11"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50" s="11" t="inlineStr">
        <is>
          <t>{4}{B}</t>
        </is>
      </c>
      <c r="F50" s="11" t="inlineStr">
        <is>
          <t>Preto</t>
        </is>
      </c>
      <c r="G50" s="8" t="n">
        <v>0.08</v>
      </c>
      <c r="H50" s="11" t="inlineStr">
        <is>
          <t>Dragons of Tarkir (DTK)</t>
        </is>
      </c>
      <c r="I50" s="11" t="inlineStr">
        <is>
          <t>Não</t>
        </is>
      </c>
      <c r="J50" s="11" t="n">
        <v>2015</v>
      </c>
      <c r="K50" s="10" t="n">
        <v>46176</v>
      </c>
      <c r="L50" s="11" t="n">
        <v>1</v>
      </c>
      <c r="M50" s="8">
        <f>L50*G50</f>
        <v/>
      </c>
      <c r="N50" s="11" t="inlineStr">
        <is>
          <t>Bulk Shopee</t>
        </is>
      </c>
    </row>
    <row r="51">
      <c r="A51" s="11" t="inlineStr">
        <is>
          <t>Consecrate // Consume / Devotar // Devorar</t>
        </is>
      </c>
      <c r="B51" s="11" t="inlineStr">
        <is>
          <t>Instant // Sorcery / Mágica Instantânea</t>
        </is>
      </c>
      <c r="C51" s="11" t="inlineStr">
        <is>
          <t>Uncommon / Incomum</t>
        </is>
      </c>
      <c r="D51" s="11" t="inlineStr">
        <is>
          <t>Consecrate: Exile target card from a graveyard. Draw a card. // Consume: Target player sacrifices a creature with the greatest power among creatures they control. You gain life equal to its power. / Exile o card alvo de um cemitério. Compre um card.</t>
        </is>
      </c>
      <c r="E51" s="11" t="inlineStr">
        <is>
          <t>{1}{W/B} // {2}{W}{B}</t>
        </is>
      </c>
      <c r="F51" s="11" t="inlineStr">
        <is>
          <t>Preto, Branco</t>
        </is>
      </c>
      <c r="G51" s="8" t="n">
        <v>0.1</v>
      </c>
      <c r="H51" s="11" t="inlineStr">
        <is>
          <t>Ravnica Allegiance (RNA)</t>
        </is>
      </c>
      <c r="I51" s="11" t="inlineStr">
        <is>
          <t>Não</t>
        </is>
      </c>
      <c r="J51" s="11" t="n">
        <v>2019</v>
      </c>
      <c r="L51" s="11" t="n">
        <v>1</v>
      </c>
      <c r="M51" s="8">
        <f>L51*G51</f>
        <v/>
      </c>
      <c r="N51" s="11" t="inlineStr">
        <is>
          <t>Bulk Shopee</t>
        </is>
      </c>
    </row>
    <row r="52">
      <c r="A52" s="11" t="inlineStr">
        <is>
          <t>Magma Spray / Esguicho de Magma</t>
        </is>
      </c>
      <c r="B52" s="11" t="inlineStr">
        <is>
          <t>Instant / Mágica Instantânea</t>
        </is>
      </c>
      <c r="C52" s="11" t="inlineStr">
        <is>
          <t>Common / Comum</t>
        </is>
      </c>
      <c r="D52" s="11" t="inlineStr">
        <is>
          <t>Magma Spray deals 2 damage to target creature. If that creature would die this turn, exile it instead. / Esguicho de Magma causa 2 pontos de dano à criatura alvo. Se aquela criatura for morrer neste turno, em vez disso, exile-a.</t>
        </is>
      </c>
      <c r="E52" s="11" t="inlineStr">
        <is>
          <t>{R}</t>
        </is>
      </c>
      <c r="F52" s="11" t="inlineStr">
        <is>
          <t>Vermelho</t>
        </is>
      </c>
      <c r="G52" s="8" t="n">
        <v>0.06</v>
      </c>
      <c r="H52" s="11" t="inlineStr">
        <is>
          <t>Amonkhet (AKH)</t>
        </is>
      </c>
      <c r="I52" s="11" t="inlineStr">
        <is>
          <t>Não</t>
        </is>
      </c>
      <c r="J52" s="11" t="n">
        <v>2017</v>
      </c>
      <c r="L52" s="11" t="n">
        <v>1</v>
      </c>
      <c r="M52" s="8">
        <f>L52*G52</f>
        <v/>
      </c>
      <c r="N52" s="11" t="inlineStr">
        <is>
          <t>Bulk Shopee</t>
        </is>
      </c>
    </row>
    <row r="53">
      <c r="A53" s="11" t="inlineStr">
        <is>
          <t>Gremlin Infestation / Infestação de Gremlins</t>
        </is>
      </c>
      <c r="B53" s="11" t="inlineStr">
        <is>
          <t>Enchantment — Aura / Encantamento — Aura</t>
        </is>
      </c>
      <c r="C53" s="11" t="inlineStr">
        <is>
          <t>Uncommon / Incomum</t>
        </is>
      </c>
      <c r="D53" s="11"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53" s="11" t="inlineStr">
        <is>
          <t>{3}{R}</t>
        </is>
      </c>
      <c r="F53" s="11" t="inlineStr">
        <is>
          <t>Vermelho</t>
        </is>
      </c>
      <c r="G53" s="8" t="n">
        <v>0.03</v>
      </c>
      <c r="H53" s="11" t="inlineStr">
        <is>
          <t>Aether Revolt (AER)</t>
        </is>
      </c>
      <c r="I53" s="11" t="inlineStr">
        <is>
          <t>Não</t>
        </is>
      </c>
      <c r="J53" s="11" t="n">
        <v>2017</v>
      </c>
      <c r="L53" s="11" t="n">
        <v>1</v>
      </c>
      <c r="M53" s="8">
        <f>L53*G53</f>
        <v/>
      </c>
      <c r="N53" s="11" t="inlineStr">
        <is>
          <t>Bulk Shopee</t>
        </is>
      </c>
    </row>
    <row r="54">
      <c r="A54" s="11" t="inlineStr">
        <is>
          <t>Mogg Flunkies / Moggs Confusos</t>
        </is>
      </c>
      <c r="B54" s="11" t="inlineStr">
        <is>
          <t>Creature — Goblin / Criatura — Goblin</t>
        </is>
      </c>
      <c r="C54" s="11" t="inlineStr">
        <is>
          <t>Common / Comum</t>
        </is>
      </c>
      <c r="D54" s="11" t="inlineStr">
        <is>
          <t>This creature can't attack or block alone. / Moggs Confusos não pode atacar nem bloquear sozinho.</t>
        </is>
      </c>
      <c r="E54" s="11" t="inlineStr">
        <is>
          <t>{1}{R}</t>
        </is>
      </c>
      <c r="F54" s="11" t="inlineStr">
        <is>
          <t>Vermelho</t>
        </is>
      </c>
      <c r="G54" s="8" t="n">
        <v>0.06</v>
      </c>
      <c r="H54" s="11" t="inlineStr">
        <is>
          <t>Masters 25 (A25)</t>
        </is>
      </c>
      <c r="I54" s="11" t="inlineStr">
        <is>
          <t>Não</t>
        </is>
      </c>
      <c r="J54" s="11" t="n">
        <v>2018</v>
      </c>
      <c r="K54" s="10" t="n">
        <v>46084</v>
      </c>
      <c r="L54" s="11" t="n">
        <v>1</v>
      </c>
      <c r="M54" s="8">
        <f>L54*G54</f>
        <v/>
      </c>
      <c r="N54" s="11" t="inlineStr">
        <is>
          <t>Bulk Shopee</t>
        </is>
      </c>
    </row>
    <row r="56">
      <c r="A56" s="12" t="inlineStr">
        <is>
          <t>Item</t>
        </is>
      </c>
      <c r="B56" s="12" t="inlineStr">
        <is>
          <t>Quantidade</t>
        </is>
      </c>
      <c r="D56" s="12" t="inlineStr">
        <is>
          <t>Raridade</t>
        </is>
      </c>
      <c r="E56" s="12" t="inlineStr">
        <is>
          <t>Quantidade</t>
        </is>
      </c>
      <c r="G56" s="12" t="inlineStr">
        <is>
          <t>Cor</t>
        </is>
      </c>
      <c r="H56" s="12" t="inlineStr">
        <is>
          <t>Quantidade</t>
        </is>
      </c>
    </row>
    <row r="57">
      <c r="A57" s="11" t="inlineStr">
        <is>
          <t>Total de cartas</t>
        </is>
      </c>
      <c r="B57" s="13" t="n">
        <v>53</v>
      </c>
      <c r="D57" s="11" t="inlineStr">
        <is>
          <t>Comum</t>
        </is>
      </c>
      <c r="E57" s="13" t="n">
        <v>32</v>
      </c>
      <c r="G57" s="11" t="inlineStr">
        <is>
          <t>Preto</t>
        </is>
      </c>
      <c r="H57" s="13" t="n">
        <v>14</v>
      </c>
    </row>
    <row r="58">
      <c r="A58" s="11" t="inlineStr">
        <is>
          <t>Cartas únicas</t>
        </is>
      </c>
      <c r="B58" s="13" t="n">
        <v>53</v>
      </c>
      <c r="D58" s="11" t="inlineStr">
        <is>
          <t>Incomum</t>
        </is>
      </c>
      <c r="E58" s="13" t="n">
        <v>20</v>
      </c>
      <c r="G58" s="11" t="inlineStr">
        <is>
          <t>Vermelho</t>
        </is>
      </c>
      <c r="H58" s="13" t="n">
        <v>12</v>
      </c>
    </row>
    <row r="59">
      <c r="A59" s="11" t="inlineStr">
        <is>
          <t>Foil / Sim</t>
        </is>
      </c>
      <c r="B59" s="13" t="n">
        <v>2</v>
      </c>
      <c r="D59" s="11" t="inlineStr">
        <is>
          <t>Rara</t>
        </is>
      </c>
      <c r="E59" s="13" t="n">
        <v>1</v>
      </c>
      <c r="G59" s="11" t="inlineStr">
        <is>
          <t>Branco</t>
        </is>
      </c>
      <c r="H59" s="13" t="n">
        <v>11</v>
      </c>
    </row>
    <row r="60">
      <c r="A60" s="11" t="inlineStr">
        <is>
          <t>Não foil</t>
        </is>
      </c>
      <c r="B60" s="13" t="n">
        <v>51</v>
      </c>
      <c r="G60" s="11" t="inlineStr">
        <is>
          <t>Azul</t>
        </is>
      </c>
      <c r="H60" s="13" t="n">
        <v>10</v>
      </c>
    </row>
    <row r="61">
      <c r="A61" s="11" t="inlineStr">
        <is>
          <t>Valor total aproximado</t>
        </is>
      </c>
      <c r="B61" s="13" t="inlineStr">
        <is>
          <t>R$ 4,75</t>
        </is>
      </c>
      <c r="G61" s="11" t="inlineStr">
        <is>
          <t>Verde</t>
        </is>
      </c>
      <c r="H61" s="13" t="n">
        <v>8</v>
      </c>
    </row>
    <row r="62">
      <c r="A62" s="11" t="inlineStr">
        <is>
          <t>Valor médio por carta</t>
        </is>
      </c>
      <c r="B62" s="13" t="inlineStr">
        <is>
          <t>R$ 0,09</t>
        </is>
      </c>
      <c r="G62" s="11" t="inlineStr">
        <is>
          <t>Incolor</t>
        </is>
      </c>
      <c r="H62" s="13" t="n">
        <v>8</v>
      </c>
    </row>
    <row r="63">
      <c r="A63" s="11" t="inlineStr">
        <is>
          <t>Raras</t>
        </is>
      </c>
      <c r="B63" s="13" t="n">
        <v>1</v>
      </c>
    </row>
    <row r="64">
      <c r="A64" s="11" t="inlineStr">
        <is>
          <t>Míticas</t>
        </is>
      </c>
      <c r="B64" s="13" t="n">
        <v>0</v>
      </c>
    </row>
    <row r="66">
      <c r="A66" s="12" t="inlineStr">
        <is>
          <t>Tipo</t>
        </is>
      </c>
      <c r="B66" s="12" t="inlineStr">
        <is>
          <t>Quantidade</t>
        </is>
      </c>
      <c r="D66" s="12" t="inlineStr">
        <is>
          <t>Cor / Identidade exibida</t>
        </is>
      </c>
      <c r="E66" s="14" t="inlineStr">
        <is>
          <t>Quantidade</t>
        </is>
      </c>
    </row>
    <row r="67">
      <c r="A67" s="11" t="inlineStr">
        <is>
          <t>Criatura</t>
        </is>
      </c>
      <c r="B67" s="13" t="n">
        <v>18</v>
      </c>
      <c r="D67" s="11" t="inlineStr">
        <is>
          <t>Azul</t>
        </is>
      </c>
      <c r="E67" s="13" t="n">
        <v>8</v>
      </c>
    </row>
    <row r="68">
      <c r="A68" s="11" t="inlineStr">
        <is>
          <t>Instantânea</t>
        </is>
      </c>
      <c r="B68" s="13" t="n">
        <v>11</v>
      </c>
      <c r="D68" s="11" t="inlineStr">
        <is>
          <t>Branco</t>
        </is>
      </c>
      <c r="E68" s="13" t="n">
        <v>8</v>
      </c>
    </row>
    <row r="69">
      <c r="A69" s="11" t="inlineStr">
        <is>
          <t>Artefato</t>
        </is>
      </c>
      <c r="B69" s="13" t="n">
        <v>9</v>
      </c>
      <c r="D69" s="11" t="inlineStr">
        <is>
          <t>Incolor</t>
        </is>
      </c>
      <c r="E69" s="13" t="n">
        <v>8</v>
      </c>
    </row>
    <row r="70">
      <c r="A70" s="11" t="inlineStr">
        <is>
          <t>Encantamento</t>
        </is>
      </c>
      <c r="B70" s="13" t="n">
        <v>8</v>
      </c>
      <c r="D70" s="11" t="inlineStr">
        <is>
          <t>Preto</t>
        </is>
      </c>
      <c r="E70" s="13" t="n">
        <v>7</v>
      </c>
    </row>
    <row r="71">
      <c r="A71" s="11" t="inlineStr">
        <is>
          <t>Feitiço</t>
        </is>
      </c>
      <c r="B71" s="13" t="n">
        <v>7</v>
      </c>
      <c r="D71" s="11" t="inlineStr">
        <is>
          <t>Verde</t>
        </is>
      </c>
      <c r="E71" s="13" t="n">
        <v>7</v>
      </c>
    </row>
    <row r="72">
      <c r="A72" s="11" t="inlineStr">
        <is>
          <t>Terreno</t>
        </is>
      </c>
      <c r="B72" s="13" t="n">
        <v>3</v>
      </c>
      <c r="D72" s="11" t="inlineStr">
        <is>
          <t>Vermelho</t>
        </is>
      </c>
      <c r="E72" s="13" t="n">
        <v>7</v>
      </c>
    </row>
    <row r="73">
      <c r="D73" s="11" t="inlineStr">
        <is>
          <t>Preto, Vermelho</t>
        </is>
      </c>
      <c r="E73" s="13" t="n">
        <v>3</v>
      </c>
    </row>
    <row r="74">
      <c r="D74" s="11" t="inlineStr">
        <is>
          <t>Preto, Branco</t>
        </is>
      </c>
      <c r="E74" s="13" t="n">
        <v>2</v>
      </c>
    </row>
    <row r="75">
      <c r="D75" s="11" t="inlineStr">
        <is>
          <t>Preto, Azul</t>
        </is>
      </c>
      <c r="E75" s="13" t="n">
        <v>1</v>
      </c>
    </row>
    <row r="76">
      <c r="D76" s="11" t="inlineStr">
        <is>
          <t>Preto, Vermelho, Branco</t>
        </is>
      </c>
      <c r="E76" s="13" t="n">
        <v>1</v>
      </c>
    </row>
    <row r="77">
      <c r="D77" s="11" t="inlineStr">
        <is>
          <t>Verde, Vermelho, Azul</t>
        </is>
      </c>
      <c r="E77" s="13" t="n">
        <v>1</v>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90"/>
  <sheetViews>
    <sheetView workbookViewId="0">
      <pane ySplit="1" topLeftCell="A2" activePane="bottomLeft" state="frozen"/>
      <selection pane="bottomLeft" activeCell="B3" sqref="B3"/>
    </sheetView>
  </sheetViews>
  <sheetFormatPr baseColWidth="8" defaultColWidth="12.63" defaultRowHeight="15.75" customHeight="1"/>
  <cols>
    <col width="36.75" customWidth="1" style="18" min="1" max="1"/>
    <col width="30.63" customWidth="1" style="18" min="2" max="2"/>
    <col width="17.75" customWidth="1" style="18" min="3" max="3"/>
    <col width="10.5" customWidth="1" style="18" min="5" max="5"/>
    <col width="18.38" customWidth="1" style="18" min="6" max="6"/>
    <col width="12" customWidth="1" style="18" min="7" max="7"/>
    <col width="31.63" customWidth="1" style="18" min="8" max="8"/>
    <col width="6.13" customWidth="1" style="18" min="9" max="9"/>
    <col width="4.75" customWidth="1" style="18" min="10" max="10"/>
    <col width="5.75" customWidth="1" style="18" min="11" max="11"/>
    <col width="3.88" customWidth="1" style="18" min="12" max="12"/>
    <col width="8.5" customWidth="1" style="18" min="13" max="13"/>
    <col width="3.75" customWidth="1" style="18" min="14" max="14"/>
    <col width="6.88" customWidth="1" style="18" min="15"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11" t="inlineStr">
        <is>
          <t>The Wasp, Winsome Avenger</t>
        </is>
      </c>
      <c r="B2" s="11" t="inlineStr">
        <is>
          <t>Legendary Creature — Human Hero</t>
        </is>
      </c>
      <c r="C2" s="11" t="inlineStr">
        <is>
          <t>Rare / Rara</t>
        </is>
      </c>
      <c r="D2" s="11" t="inlineStr">
        <is>
          <t>Flash Flying When The Wasp enters, target Hero gains hexproof until end of turn. Whenever The Wasp attacks, tap target creature defending player controls.</t>
        </is>
      </c>
      <c r="E2" s="11" t="inlineStr">
        <is>
          <t>{1}{U}</t>
        </is>
      </c>
      <c r="F2" s="11" t="inlineStr">
        <is>
          <t>Azul</t>
        </is>
      </c>
      <c r="G2" s="11" t="n">
        <v>6.56</v>
      </c>
      <c r="H2" s="11" t="inlineStr">
        <is>
          <t>Marvel Super Heroes Commander (MSC)</t>
        </is>
      </c>
      <c r="I2" s="11" t="inlineStr">
        <is>
          <t>Não</t>
        </is>
      </c>
      <c r="J2" s="11" t="n">
        <v>2026</v>
      </c>
      <c r="K2" s="10" t="n">
        <v>46024</v>
      </c>
      <c r="L2" s="11" t="n">
        <v>1</v>
      </c>
    </row>
    <row r="3">
      <c r="A3" s="11" t="inlineStr">
        <is>
          <t>Austere Command / Comando Austero</t>
        </is>
      </c>
      <c r="B3" s="11" t="inlineStr">
        <is>
          <t>Sorcery / Feitiço</t>
        </is>
      </c>
      <c r="C3" s="11" t="inlineStr">
        <is>
          <t>Rare / Rara</t>
        </is>
      </c>
      <c r="D3" s="11"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11" t="inlineStr">
        <is>
          <t>{4}{W}{W}</t>
        </is>
      </c>
      <c r="F3" s="11" t="inlineStr">
        <is>
          <t>Branco</t>
        </is>
      </c>
      <c r="G3" s="11" t="n">
        <v>2.76</v>
      </c>
      <c r="H3" s="11" t="inlineStr">
        <is>
          <t>Marvel Super Heroes Commander (MSC)</t>
        </is>
      </c>
      <c r="I3" s="11" t="inlineStr">
        <is>
          <t>Não</t>
        </is>
      </c>
      <c r="J3" s="11" t="n">
        <v>2026</v>
      </c>
      <c r="L3" s="11" t="n">
        <v>1</v>
      </c>
    </row>
    <row r="4">
      <c r="A4" s="17" t="inlineStr">
        <is>
          <t>Captain America, Team Leader</t>
        </is>
      </c>
      <c r="B4" s="17" t="inlineStr">
        <is>
          <t>Legendary Creature — Human Soldier Hero</t>
        </is>
      </c>
      <c r="C4" s="17" t="inlineStr">
        <is>
          <t>Mythic / Mítica</t>
        </is>
      </c>
      <c r="D4" s="17" t="inlineStr">
        <is>
          <t>Whenever another Hero you control enters, it gains vigilance and haste until end of turn. Put a +1/+1 counter on that Hero and a +1/+1 counter on Captain America.</t>
        </is>
      </c>
      <c r="E4" s="17" t="inlineStr">
        <is>
          <t>{R}{W}{U}</t>
        </is>
      </c>
      <c r="F4" s="17" t="inlineStr">
        <is>
          <t>Vermelho, Azul, Branco</t>
        </is>
      </c>
      <c r="G4" s="17" t="n">
        <v>19.99</v>
      </c>
      <c r="H4" s="17" t="inlineStr">
        <is>
          <t>Marvel Super Heroes Commander (MSC)</t>
        </is>
      </c>
      <c r="I4" s="17" t="inlineStr">
        <is>
          <t>Sim</t>
        </is>
      </c>
      <c r="J4" s="17" t="n">
        <v>2026</v>
      </c>
      <c r="K4" s="16" t="n">
        <v>46084</v>
      </c>
      <c r="L4" s="17" t="n">
        <v>1</v>
      </c>
      <c r="M4" s="17" t="n"/>
      <c r="N4" s="17" t="n"/>
      <c r="O4" s="17" t="n"/>
      <c r="P4" s="17" t="n"/>
      <c r="Q4" s="17" t="n"/>
      <c r="R4" s="17" t="n"/>
      <c r="S4" s="17" t="n"/>
      <c r="T4" s="17" t="n"/>
      <c r="U4" s="17" t="n"/>
      <c r="V4" s="17" t="n"/>
      <c r="W4" s="17" t="n"/>
      <c r="X4" s="17" t="n"/>
      <c r="Y4" s="17" t="n"/>
      <c r="Z4" s="17" t="n"/>
    </row>
    <row r="5">
      <c r="A5" s="11" t="inlineStr">
        <is>
          <t>Vision, Synthezoid Avenger</t>
        </is>
      </c>
      <c r="B5" s="11" t="inlineStr">
        <is>
          <t>Legendary Artifact Creature — Robot Hero</t>
        </is>
      </c>
      <c r="C5" s="11" t="inlineStr">
        <is>
          <t>Rare / Rara</t>
        </is>
      </c>
      <c r="D5" s="11" t="inlineStr">
        <is>
          <t>Flying Whenever a player casts a spell, if it isn't that player's turn, choose one — • Put a +1/+1 counter on Vision. • Vision phases out. (Treat him and anything attached to him as though they don't exist until your next turn.)</t>
        </is>
      </c>
      <c r="E5" s="11" t="inlineStr">
        <is>
          <t>{4}</t>
        </is>
      </c>
      <c r="F5" s="11" t="inlineStr">
        <is>
          <t>Incolor</t>
        </is>
      </c>
      <c r="G5" s="11" t="n">
        <v>11.4</v>
      </c>
      <c r="H5" s="11" t="inlineStr">
        <is>
          <t>Marvel Super Heroes Commander (MSC)</t>
        </is>
      </c>
      <c r="I5" s="11" t="inlineStr">
        <is>
          <t>Não</t>
        </is>
      </c>
      <c r="J5" s="11" t="n">
        <v>2026</v>
      </c>
      <c r="K5" s="10" t="n">
        <v>46084</v>
      </c>
      <c r="L5" s="11" t="n">
        <v>1</v>
      </c>
    </row>
    <row r="6">
      <c r="A6" s="11" t="inlineStr">
        <is>
          <t>Exotic Orchard / Pomar Exótico</t>
        </is>
      </c>
      <c r="B6" s="11" t="inlineStr">
        <is>
          <t>Land / Terreno</t>
        </is>
      </c>
      <c r="C6" s="11" t="inlineStr">
        <is>
          <t>Rare / Rara</t>
        </is>
      </c>
      <c r="D6" s="11" t="inlineStr">
        <is>
          <t>{T}: Add one mana of any color that a land an opponent controls could produce. / {T}: Adicione um mana de qualquer cor que um terreno controlado por um oponente possa gerar.</t>
        </is>
      </c>
      <c r="F6" s="11" t="inlineStr">
        <is>
          <t>Incolor</t>
        </is>
      </c>
      <c r="G6" s="11" t="n">
        <v>1.38</v>
      </c>
      <c r="H6" s="11" t="inlineStr">
        <is>
          <t>Marvel Super Heroes Commander (MSC)</t>
        </is>
      </c>
      <c r="I6" s="11" t="inlineStr">
        <is>
          <t>Não</t>
        </is>
      </c>
      <c r="J6" s="11" t="n">
        <v>2026</v>
      </c>
      <c r="L6" s="11" t="n">
        <v>1</v>
      </c>
    </row>
    <row r="7">
      <c r="A7" s="11" t="inlineStr">
        <is>
          <t>Rip Apart / Fender</t>
        </is>
      </c>
      <c r="B7" s="11" t="inlineStr">
        <is>
          <t>Sorcery / Feitiço</t>
        </is>
      </c>
      <c r="C7" s="11" t="inlineStr">
        <is>
          <t>Uncommon / Incomum</t>
        </is>
      </c>
      <c r="D7" s="11" t="inlineStr">
        <is>
          <t>Choose one — • Rip Apart deals 3 damage to target creature or planeswalker. • Destroy target artifact or enchantment. / Escolha um — • Fender causa 3 pontos de dano à criatura ou ao planeswalker alvo. • Destrua o artefato ou o encantamento alvo.</t>
        </is>
      </c>
      <c r="E7" s="11" t="inlineStr">
        <is>
          <t>{R}{W}</t>
        </is>
      </c>
      <c r="F7" s="11" t="inlineStr">
        <is>
          <t>Vermelho, Branco</t>
        </is>
      </c>
      <c r="G7" s="11" t="n">
        <v>0.49</v>
      </c>
      <c r="H7" s="11" t="inlineStr">
        <is>
          <t>Marvel Super Heroes Commander (MSC)</t>
        </is>
      </c>
      <c r="I7" s="11" t="inlineStr">
        <is>
          <t>Não</t>
        </is>
      </c>
      <c r="J7" s="11" t="n">
        <v>2026</v>
      </c>
      <c r="L7" s="11" t="n">
        <v>1</v>
      </c>
    </row>
    <row r="8">
      <c r="A8" s="11" t="inlineStr">
        <is>
          <t>Bastion Protector / Protetora do Bastião</t>
        </is>
      </c>
      <c r="B8" s="11" t="inlineStr">
        <is>
          <t>Creature — Human Soldier / Criatura — Humano Soldado</t>
        </is>
      </c>
      <c r="C8" s="11" t="inlineStr">
        <is>
          <t>Rare / Rara</t>
        </is>
      </c>
      <c r="D8" s="11" t="inlineStr">
        <is>
          <t>Commander creatures you control get +2/+2 and have indestructible. / As criaturas comandantes que você controla recebem +2/+2 e têm indestrutível.</t>
        </is>
      </c>
      <c r="E8" s="11" t="inlineStr">
        <is>
          <t>{2}{W}</t>
        </is>
      </c>
      <c r="F8" s="11" t="inlineStr">
        <is>
          <t>Branco</t>
        </is>
      </c>
      <c r="G8" s="11" t="n">
        <v>2.76</v>
      </c>
      <c r="H8" s="11" t="inlineStr">
        <is>
          <t>Marvel Super Heroes Commander (MSC)</t>
        </is>
      </c>
      <c r="I8" s="11" t="inlineStr">
        <is>
          <t>Não</t>
        </is>
      </c>
      <c r="J8" s="11" t="n">
        <v>2026</v>
      </c>
      <c r="K8" s="10" t="n">
        <v>46084</v>
      </c>
      <c r="L8" s="11" t="n">
        <v>1</v>
      </c>
    </row>
    <row r="9">
      <c r="A9" s="11" t="inlineStr">
        <is>
          <t>Plains // Plains / Planície</t>
        </is>
      </c>
      <c r="B9" s="11" t="inlineStr">
        <is>
          <t>Card // Card / Terreno Básico — Planície</t>
        </is>
      </c>
      <c r="C9" s="11" t="inlineStr">
        <is>
          <t>Common / Comum</t>
        </is>
      </c>
      <c r="F9" s="11" t="inlineStr">
        <is>
          <t>Branca</t>
        </is>
      </c>
      <c r="G9" s="11" t="n">
        <v>0.25</v>
      </c>
      <c r="H9" s="11" t="inlineStr">
        <is>
          <t>Marvel Super Heroes Commander (MSC)</t>
        </is>
      </c>
      <c r="I9" s="11" t="inlineStr">
        <is>
          <t>Não</t>
        </is>
      </c>
      <c r="J9" s="11" t="n">
        <v>2026</v>
      </c>
      <c r="L9" s="11" t="n">
        <v>3</v>
      </c>
    </row>
    <row r="10">
      <c r="A10" s="11" t="inlineStr">
        <is>
          <t>Folk Hero / Herói do Povo</t>
        </is>
      </c>
      <c r="B10" s="11" t="inlineStr">
        <is>
          <t>Legendary Enchantment — Background / Encantamento Lendário — Antecedente</t>
        </is>
      </c>
      <c r="C10" s="11" t="inlineStr">
        <is>
          <t>Mythic / Mítica</t>
        </is>
      </c>
      <c r="D10" s="11"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11" t="inlineStr">
        <is>
          <t>{1}{W}</t>
        </is>
      </c>
      <c r="F10" s="11" t="inlineStr">
        <is>
          <t>Branco</t>
        </is>
      </c>
      <c r="G10" s="11" t="n">
        <v>20.81</v>
      </c>
      <c r="H10" s="11" t="inlineStr">
        <is>
          <t>Marvel Super Heroes Commander (MSC)</t>
        </is>
      </c>
      <c r="I10" s="11" t="inlineStr">
        <is>
          <t>Não</t>
        </is>
      </c>
      <c r="J10" s="11" t="n">
        <v>2026</v>
      </c>
      <c r="L10" s="11" t="n">
        <v>1</v>
      </c>
    </row>
    <row r="11">
      <c r="A11" s="11" t="inlineStr">
        <is>
          <t>Scavenger Grounds / Território dos Necrófagos</t>
        </is>
      </c>
      <c r="B11" s="11" t="inlineStr">
        <is>
          <t>Land — Desert / Terreno — Deserto</t>
        </is>
      </c>
      <c r="C11" s="11" t="inlineStr">
        <is>
          <t>Rare / Rara</t>
        </is>
      </c>
      <c r="D11" s="11" t="inlineStr">
        <is>
          <t>{T}: Add {C}. {2}, {T}, Sacrifice a Desert: Exile all graveyards. / {T}: Adicione {C} à sua reserva de mana. {2}, {T}, sacrifique um Deserto: Exile todos os cards de todos os cemitérios.</t>
        </is>
      </c>
      <c r="F11" s="11" t="inlineStr">
        <is>
          <t>Incolor</t>
        </is>
      </c>
      <c r="G11" s="11" t="n">
        <v>2.88</v>
      </c>
      <c r="H11" s="11" t="inlineStr">
        <is>
          <t>Marvel Super Heroes Commander (MSC)</t>
        </is>
      </c>
      <c r="I11" s="11" t="inlineStr">
        <is>
          <t>Não</t>
        </is>
      </c>
      <c r="J11" s="11" t="n">
        <v>2026</v>
      </c>
      <c r="L11" s="11" t="n">
        <v>1</v>
      </c>
    </row>
    <row r="12">
      <c r="A12" s="11" t="inlineStr">
        <is>
          <t>Coastal Peak</t>
        </is>
      </c>
      <c r="B12" s="11" t="inlineStr">
        <is>
          <t>Land — Island Mountain</t>
        </is>
      </c>
      <c r="C12" s="11" t="inlineStr">
        <is>
          <t>Rare / Rara</t>
        </is>
      </c>
      <c r="D12" s="11" t="inlineStr">
        <is>
          <t>({T}: Add {U} or {R}.) This land enters tapped. Cycling {2} ({2}, Discard this card: Draw a card.)</t>
        </is>
      </c>
      <c r="F12" s="11" t="inlineStr">
        <is>
          <t>Vermelho, Azul</t>
        </is>
      </c>
      <c r="G12" s="11" t="n">
        <v>3.3</v>
      </c>
      <c r="H12" s="11" t="inlineStr">
        <is>
          <t>Marvel Super Heroes Commander (MSC)</t>
        </is>
      </c>
      <c r="I12" s="11" t="inlineStr">
        <is>
          <t>Não</t>
        </is>
      </c>
      <c r="J12" s="11" t="n">
        <v>2026</v>
      </c>
      <c r="L12" s="11" t="n">
        <v>1</v>
      </c>
    </row>
    <row r="13">
      <c r="A13" s="11" t="inlineStr">
        <is>
          <t>Scarlet Witch, Chaotic Avenger</t>
        </is>
      </c>
      <c r="B13" s="11" t="inlineStr">
        <is>
          <t>Legendary Creature — Mutant Warlock Hero</t>
        </is>
      </c>
      <c r="C13" s="11" t="inlineStr">
        <is>
          <t>Rare / Rara</t>
        </is>
      </c>
      <c r="D13" s="11" t="inlineStr">
        <is>
          <t>Flying Whenever Scarlet Witch deals combat damage to a player, look at the top two cards of your library, then exile them face down. Then you may cast a Hero or noncreature spell from among cards exiled with Scarlet Witch without paying its mana cost.</t>
        </is>
      </c>
      <c r="E13" s="11" t="inlineStr">
        <is>
          <t>{2}{U}{R}</t>
        </is>
      </c>
      <c r="F13" s="11" t="inlineStr">
        <is>
          <t>Vermelho, Azul</t>
        </is>
      </c>
      <c r="G13" s="11" t="n">
        <v>5.64</v>
      </c>
      <c r="H13" s="11" t="inlineStr">
        <is>
          <t>Marvel Super Heroes Commander (MSC)</t>
        </is>
      </c>
      <c r="I13" s="11" t="inlineStr">
        <is>
          <t>Não</t>
        </is>
      </c>
      <c r="J13" s="11" t="n">
        <v>2026</v>
      </c>
      <c r="K13" s="10" t="n">
        <v>46084</v>
      </c>
      <c r="L13" s="11" t="n">
        <v>1</v>
      </c>
    </row>
    <row r="14">
      <c r="A14" s="11" t="inlineStr">
        <is>
          <t>Unclaimed Territory / Território Não Reivindicado</t>
        </is>
      </c>
      <c r="B14" s="11" t="inlineStr">
        <is>
          <t>Land / Terreno</t>
        </is>
      </c>
      <c r="C14" s="11" t="inlineStr">
        <is>
          <t>Uncommon / Incomum</t>
        </is>
      </c>
      <c r="D14" s="11" t="inlineStr">
        <is>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is>
      </c>
      <c r="F14" s="11" t="inlineStr">
        <is>
          <t>Incolor</t>
        </is>
      </c>
      <c r="G14" s="11" t="n">
        <v>1.78</v>
      </c>
      <c r="H14" s="11" t="inlineStr">
        <is>
          <t>Marvel Super Heroes Commander (MSC)</t>
        </is>
      </c>
      <c r="I14" s="11" t="inlineStr">
        <is>
          <t>Não</t>
        </is>
      </c>
      <c r="J14" s="11" t="n">
        <v>2026</v>
      </c>
      <c r="L14" s="11" t="n">
        <v>1</v>
      </c>
    </row>
    <row r="15">
      <c r="A15" s="11" t="inlineStr">
        <is>
          <t>Captain Mar-Vell, Space-Born</t>
        </is>
      </c>
      <c r="B15" s="11" t="inlineStr">
        <is>
          <t>Legendary Creature — Kree Soldier Hero</t>
        </is>
      </c>
      <c r="C15" s="11" t="inlineStr">
        <is>
          <t>Uncommon / Incomum</t>
        </is>
      </c>
      <c r="D15" s="11" t="inlineStr">
        <is>
          <t>Flying, vigilance Cosmic Awareness — As long as an opponent has cast a spell this turn, you may cast spells as though they had flash.</t>
        </is>
      </c>
      <c r="E15" s="11" t="inlineStr">
        <is>
          <t>{4}{W}</t>
        </is>
      </c>
      <c r="F15" s="11" t="inlineStr">
        <is>
          <t>Branco</t>
        </is>
      </c>
      <c r="G15" s="11" t="n">
        <v>0.25</v>
      </c>
      <c r="H15" s="11" t="inlineStr">
        <is>
          <t>Marvel Super Heroes (MSH)</t>
        </is>
      </c>
      <c r="I15" s="11" t="inlineStr">
        <is>
          <t>Não</t>
        </is>
      </c>
      <c r="J15" s="11" t="n">
        <v>2026</v>
      </c>
      <c r="K15" s="10" t="n">
        <v>46116</v>
      </c>
      <c r="L15" s="11" t="n">
        <v>1</v>
      </c>
    </row>
    <row r="16">
      <c r="A16" s="11" t="inlineStr">
        <is>
          <t>Mystic Monastery / Monastério Místico</t>
        </is>
      </c>
      <c r="B16" s="11" t="inlineStr">
        <is>
          <t>Land / Terreno</t>
        </is>
      </c>
      <c r="C16" s="11" t="inlineStr">
        <is>
          <t>Uncommon / Incomum</t>
        </is>
      </c>
      <c r="D16" s="11" t="inlineStr">
        <is>
          <t>This land enters tapped. {T}: Add {U}, {R}, or {W}. / Monastério Místico entra no campo de batalha virado. {T}: Adicione {U}, {R} ou {W} à sua reserva de mana.</t>
        </is>
      </c>
      <c r="F16" s="11" t="inlineStr">
        <is>
          <t>Vermelho, Azul, Branco</t>
        </is>
      </c>
      <c r="G16" s="11" t="n">
        <v>0.4</v>
      </c>
      <c r="H16" s="11" t="inlineStr">
        <is>
          <t>Marvel Super Heroes Commander (MSC)</t>
        </is>
      </c>
      <c r="I16" s="11" t="inlineStr">
        <is>
          <t>Não</t>
        </is>
      </c>
      <c r="J16" s="11" t="n">
        <v>2026</v>
      </c>
      <c r="L16" s="11" t="n">
        <v>1</v>
      </c>
    </row>
    <row r="17">
      <c r="A17" s="11" t="inlineStr">
        <is>
          <t>Thor, Asgard's Avenger</t>
        </is>
      </c>
      <c r="B17" s="11" t="inlineStr">
        <is>
          <t>Legendary Creature — God Warrior Hero</t>
        </is>
      </c>
      <c r="C17" s="11" t="inlineStr">
        <is>
          <t>Rare / Rara</t>
        </is>
      </c>
      <c r="D17" s="11" t="inlineStr">
        <is>
          <t>Flying If another source you control would deal damage to an opponent or a permanent an opponent controls, it deals that much damage plus 1 instead.</t>
        </is>
      </c>
      <c r="E17" s="11" t="inlineStr">
        <is>
          <t>{2}{R}{R}</t>
        </is>
      </c>
      <c r="F17" s="11" t="inlineStr">
        <is>
          <t>Vermelho</t>
        </is>
      </c>
      <c r="G17" s="11" t="n">
        <v>18.75</v>
      </c>
      <c r="H17" s="11" t="inlineStr">
        <is>
          <t>Marvel Super Heroes Commander (MSC)</t>
        </is>
      </c>
      <c r="I17" s="11" t="inlineStr">
        <is>
          <t>Não</t>
        </is>
      </c>
      <c r="J17" s="11" t="n">
        <v>2026</v>
      </c>
      <c r="K17" s="10" t="n">
        <v>46116</v>
      </c>
      <c r="L17" s="11" t="n">
        <v>1</v>
      </c>
    </row>
    <row r="18">
      <c r="A18" s="11" t="inlineStr">
        <is>
          <t>Avengers Quinjet</t>
        </is>
      </c>
      <c r="B18" s="11" t="inlineStr">
        <is>
          <t>Artifact — Vehicle</t>
        </is>
      </c>
      <c r="C18" s="11" t="inlineStr">
        <is>
          <t>Rare / Rara</t>
        </is>
      </c>
      <c r="D18" s="11" t="inlineStr">
        <is>
          <t>Flying Whenever this Vehicle enters or attacks, choose one — • You may put a Hero creature card from your hand onto the battlefield. • Return target Hero creature card from your graveyard to your hand. Crew 3</t>
        </is>
      </c>
      <c r="E18" s="11" t="inlineStr">
        <is>
          <t>{5}</t>
        </is>
      </c>
      <c r="F18" s="11" t="inlineStr">
        <is>
          <t>Incolor</t>
        </is>
      </c>
      <c r="G18" s="11" t="n">
        <v>2.72</v>
      </c>
      <c r="H18" s="11" t="inlineStr">
        <is>
          <t>Marvel Super Heroes Commander (MSC)</t>
        </is>
      </c>
      <c r="I18" s="11" t="inlineStr">
        <is>
          <t>Não</t>
        </is>
      </c>
      <c r="J18" s="11" t="n">
        <v>2026</v>
      </c>
      <c r="K18" s="10" t="n">
        <v>46116</v>
      </c>
      <c r="L18" s="11" t="n">
        <v>1</v>
      </c>
    </row>
    <row r="19">
      <c r="A19" s="11" t="inlineStr">
        <is>
          <t>Hulkbuster Armor</t>
        </is>
      </c>
      <c r="B19" s="11" t="inlineStr">
        <is>
          <t>Legendary Artifact — Equipment</t>
        </is>
      </c>
      <c r="C19" s="11" t="inlineStr">
        <is>
          <t>Rare / Rara</t>
        </is>
      </c>
      <c r="D19" s="11" t="inlineStr">
        <is>
          <t>Equipped creature has base power and toughness 9/9 and has flying. Equip Hero {3} Equip {6}</t>
        </is>
      </c>
      <c r="E19" s="11" t="inlineStr">
        <is>
          <t>{4}</t>
        </is>
      </c>
      <c r="F19" s="11" t="inlineStr">
        <is>
          <t>Incolor</t>
        </is>
      </c>
      <c r="G19" s="11" t="n">
        <v>9.4</v>
      </c>
      <c r="H19" s="11" t="inlineStr">
        <is>
          <t>Marvel Super Heroes Commander (MSC)</t>
        </is>
      </c>
      <c r="I19" s="11" t="inlineStr">
        <is>
          <t>Não</t>
        </is>
      </c>
      <c r="J19" s="11" t="n">
        <v>2026</v>
      </c>
      <c r="L19" s="11" t="n">
        <v>1</v>
      </c>
    </row>
    <row r="20">
      <c r="A20" s="11" t="inlineStr">
        <is>
          <t>Mountain / Montanha</t>
        </is>
      </c>
      <c r="B20" s="11" t="inlineStr">
        <is>
          <t>Basic Land — Mountain / Terreno Básico — Montanha</t>
        </is>
      </c>
      <c r="C20" s="11" t="inlineStr">
        <is>
          <t>Common / Comum</t>
        </is>
      </c>
      <c r="D20" s="11" t="inlineStr">
        <is>
          <t>({T}: Add {R}.) / R</t>
        </is>
      </c>
      <c r="F20" s="11" t="inlineStr">
        <is>
          <t>Vermelho</t>
        </is>
      </c>
      <c r="G20" s="11" t="n">
        <v>0.25</v>
      </c>
      <c r="H20" s="11" t="inlineStr">
        <is>
          <t>Marvel Super Heroes (MSH)</t>
        </is>
      </c>
      <c r="I20" s="11" t="inlineStr">
        <is>
          <t>Não</t>
        </is>
      </c>
      <c r="J20" s="11" t="n">
        <v>2026</v>
      </c>
      <c r="L20" s="11" t="n">
        <v>5</v>
      </c>
    </row>
    <row r="21">
      <c r="A21" s="11" t="inlineStr">
        <is>
          <t>Port Town / Cidade Portuária</t>
        </is>
      </c>
      <c r="B21" s="11" t="inlineStr">
        <is>
          <t>Land / Terreno</t>
        </is>
      </c>
      <c r="C21" s="11" t="inlineStr">
        <is>
          <t>Rare / Rara</t>
        </is>
      </c>
      <c r="D21" s="11" t="inlineStr">
        <is>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is>
      </c>
      <c r="F21" s="11" t="inlineStr">
        <is>
          <t>Azul, Branco</t>
        </is>
      </c>
      <c r="G21" s="11" t="n">
        <v>1.68</v>
      </c>
      <c r="H21" s="11" t="inlineStr">
        <is>
          <t>Marvel Super Heroes Commander (MSC)</t>
        </is>
      </c>
      <c r="I21" s="11" t="inlineStr">
        <is>
          <t>Não</t>
        </is>
      </c>
      <c r="J21" s="11" t="n">
        <v>2026</v>
      </c>
      <c r="L21" s="11" t="n">
        <v>1</v>
      </c>
    </row>
    <row r="22">
      <c r="A22" s="11" t="inlineStr">
        <is>
          <t>Thought Vessel / Receptáculo de Pensamentos</t>
        </is>
      </c>
      <c r="B22" s="11" t="inlineStr">
        <is>
          <t>Artifact / Artefato</t>
        </is>
      </c>
      <c r="C22" s="11" t="inlineStr">
        <is>
          <t>Uncommon / Incomum</t>
        </is>
      </c>
      <c r="D22" s="11" t="inlineStr">
        <is>
          <t>You have no maximum hand size. {T}: Add {C}. / Não há limite para o número máximo de cards em sua mão. {T}: Adicione {C}.</t>
        </is>
      </c>
      <c r="E22" s="11" t="inlineStr">
        <is>
          <t>{2}</t>
        </is>
      </c>
      <c r="F22" s="11" t="inlineStr">
        <is>
          <t>Incolor</t>
        </is>
      </c>
      <c r="G22" s="11" t="n">
        <v>8.09</v>
      </c>
      <c r="H22" s="11" t="inlineStr">
        <is>
          <t>Marvel Super Heroes Commander (MSC)</t>
        </is>
      </c>
      <c r="I22" s="11" t="inlineStr">
        <is>
          <t>Não</t>
        </is>
      </c>
      <c r="J22" s="11" t="n">
        <v>2026</v>
      </c>
      <c r="L22" s="11" t="n">
        <v>1</v>
      </c>
    </row>
    <row r="23">
      <c r="A23" s="11" t="inlineStr">
        <is>
          <t>Jocasta, Automaton Avenger</t>
        </is>
      </c>
      <c r="B23" s="11" t="inlineStr">
        <is>
          <t>Legendary Artifact Creature — Robot Hero</t>
        </is>
      </c>
      <c r="C23" s="11" t="inlineStr">
        <is>
          <t>Rare / Rara</t>
        </is>
      </c>
      <c r="D23" s="11" t="inlineStr">
        <is>
          <t>Flying Whenever your commander deals combat damage to a player, put a +1/+1 counter on Jocasta. Whenever you attack with your commander, if this card is in your graveyard, you may return it to the battlefield tapped and attacking.</t>
        </is>
      </c>
      <c r="E23" s="11" t="inlineStr">
        <is>
          <t>{3}</t>
        </is>
      </c>
      <c r="F23" s="11" t="inlineStr">
        <is>
          <t>Incolor</t>
        </is>
      </c>
      <c r="G23" s="11" t="n">
        <v>9.359999999999999</v>
      </c>
      <c r="H23" s="11" t="inlineStr">
        <is>
          <t>Marvel Super Heroes Commander (MSC)</t>
        </is>
      </c>
      <c r="I23" s="11" t="inlineStr">
        <is>
          <t>Não</t>
        </is>
      </c>
      <c r="J23" s="11" t="n">
        <v>2026</v>
      </c>
      <c r="K23" s="10" t="n">
        <v>46055</v>
      </c>
      <c r="L23" s="11" t="n">
        <v>1</v>
      </c>
    </row>
    <row r="24">
      <c r="A24" s="11" t="inlineStr">
        <is>
          <t>Raise the Palisade / Erguer a Paliçada</t>
        </is>
      </c>
      <c r="B24" s="11" t="inlineStr">
        <is>
          <t>Sorcery / Feitiço</t>
        </is>
      </c>
      <c r="C24" s="11" t="inlineStr">
        <is>
          <t>Rare / Rara</t>
        </is>
      </c>
      <c r="D24" s="11" t="inlineStr">
        <is>
          <t>Choose a creature type. Return all creatures that aren't of the chosen type to their owners' hands. / Escolha um tipo de criatura. Devolva todas as criaturas que não sejam do tipo escolhido para a mão de seus donos.</t>
        </is>
      </c>
      <c r="E24" s="11" t="inlineStr">
        <is>
          <t>{4}{U}</t>
        </is>
      </c>
      <c r="F24" s="11" t="inlineStr">
        <is>
          <t>Azul</t>
        </is>
      </c>
      <c r="G24" s="11" t="n">
        <v>51.75</v>
      </c>
      <c r="H24" s="11" t="inlineStr">
        <is>
          <t>Marvel Super Heroes Commander (MSC)</t>
        </is>
      </c>
      <c r="I24" s="11" t="inlineStr">
        <is>
          <t>Não</t>
        </is>
      </c>
      <c r="J24" s="11" t="n">
        <v>2026</v>
      </c>
      <c r="L24" s="11" t="n">
        <v>1</v>
      </c>
    </row>
    <row r="25">
      <c r="A25" s="11" t="inlineStr">
        <is>
          <t>Plains / Planície</t>
        </is>
      </c>
      <c r="B25" s="11" t="inlineStr">
        <is>
          <t>Basic Land — Plains / Terreno Básico — Planície</t>
        </is>
      </c>
      <c r="C25" s="11" t="inlineStr">
        <is>
          <t>Common / Comum</t>
        </is>
      </c>
      <c r="D25" s="11" t="inlineStr">
        <is>
          <t>({T}: Add {W}.) / W</t>
        </is>
      </c>
      <c r="F25" s="11" t="inlineStr">
        <is>
          <t>Branco</t>
        </is>
      </c>
      <c r="G25" s="11" t="n">
        <v>0.25</v>
      </c>
      <c r="H25" s="11" t="inlineStr">
        <is>
          <t>Marvel Super Heroes (MSH)</t>
        </is>
      </c>
      <c r="I25" s="11" t="inlineStr">
        <is>
          <t>Não</t>
        </is>
      </c>
      <c r="J25" s="11" t="n">
        <v>2026</v>
      </c>
      <c r="L25" s="11" t="n">
        <v>1</v>
      </c>
    </row>
    <row r="26">
      <c r="A26" s="11" t="inlineStr">
        <is>
          <t>Shang-Chi and the Ten Rings</t>
        </is>
      </c>
      <c r="B26" s="11" t="inlineStr">
        <is>
          <t>Legendary Creature — Human Warrior Hero</t>
        </is>
      </c>
      <c r="C26" s="11" t="inlineStr">
        <is>
          <t>Rare / Rara</t>
        </is>
      </c>
      <c r="D26" s="11" t="inlineStr">
        <is>
          <t>First strike Whenever you draw a card, put a +1/+1 counter on Shang-Chi. When the tenth +1/+1 counter is put on Shang-Chi, you draw five cards and gain 5 life.</t>
        </is>
      </c>
      <c r="E26" s="11" t="inlineStr">
        <is>
          <t>{1}{W}{U}</t>
        </is>
      </c>
      <c r="F26" s="11" t="inlineStr">
        <is>
          <t>Azul, Branco</t>
        </is>
      </c>
      <c r="G26" s="11" t="n">
        <v>5.4</v>
      </c>
      <c r="H26" s="11" t="inlineStr">
        <is>
          <t>Marvel Super Heroes Commander (MSC)</t>
        </is>
      </c>
      <c r="I26" s="11" t="inlineStr">
        <is>
          <t>Não</t>
        </is>
      </c>
      <c r="J26" s="11" t="n">
        <v>2026</v>
      </c>
      <c r="K26" s="10" t="n">
        <v>46055</v>
      </c>
      <c r="L26" s="11" t="n">
        <v>1</v>
      </c>
    </row>
    <row r="27">
      <c r="A27" s="11" t="inlineStr">
        <is>
          <t>Door of Destinies / Porta dos Destinos</t>
        </is>
      </c>
      <c r="B27" s="11" t="inlineStr">
        <is>
          <t>Artifact / Artefato</t>
        </is>
      </c>
      <c r="C27" s="11" t="inlineStr">
        <is>
          <t>Rare / Rara</t>
        </is>
      </c>
      <c r="D27" s="11" t="inlineStr">
        <is>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is>
      </c>
      <c r="E27" s="11" t="inlineStr">
        <is>
          <t>{4}</t>
        </is>
      </c>
      <c r="F27" s="11" t="inlineStr">
        <is>
          <t>Incolor</t>
        </is>
      </c>
      <c r="G27" s="11" t="n">
        <v>13.61</v>
      </c>
      <c r="H27" s="11" t="inlineStr">
        <is>
          <t>Marvel Super Heroes Commander (MSC)</t>
        </is>
      </c>
      <c r="I27" s="11" t="inlineStr">
        <is>
          <t>Não</t>
        </is>
      </c>
      <c r="J27" s="11" t="n">
        <v>2026</v>
      </c>
      <c r="L27" s="11" t="n">
        <v>1</v>
      </c>
    </row>
    <row r="28">
      <c r="A28" s="11" t="inlineStr">
        <is>
          <t>Glacial Fortress / Fortaleza Glacial</t>
        </is>
      </c>
      <c r="B28" s="11" t="inlineStr">
        <is>
          <t>Land / Terreno</t>
        </is>
      </c>
      <c r="C28" s="11" t="inlineStr">
        <is>
          <t>Rare / Rara</t>
        </is>
      </c>
      <c r="D28" s="11" t="inlineStr">
        <is>
          <t>This land enters tapped unless you control a Plains or an Island. {T}: Add {W} or {U}. / Fortaleza Glacial entra no campo de batalha virado a menos que você controle uma Planície ou uma Ilha. {T}: Adicione {W} ou {U} à sua reserva de mana.</t>
        </is>
      </c>
      <c r="F28" s="11" t="inlineStr">
        <is>
          <t>Azul, Branco</t>
        </is>
      </c>
      <c r="G28" s="11" t="n">
        <v>2.92</v>
      </c>
      <c r="H28" s="11" t="inlineStr">
        <is>
          <t>Marvel Super Heroes Commander (MSC)</t>
        </is>
      </c>
      <c r="I28" s="11" t="inlineStr">
        <is>
          <t>Não</t>
        </is>
      </c>
      <c r="J28" s="11" t="n">
        <v>2026</v>
      </c>
      <c r="L28" s="11" t="n">
        <v>1</v>
      </c>
    </row>
    <row r="29">
      <c r="A29" s="11" t="inlineStr">
        <is>
          <t>Tome of Legends</t>
        </is>
      </c>
      <c r="B29" s="11" t="inlineStr">
        <is>
          <t>Artifact — Book</t>
        </is>
      </c>
      <c r="C29" s="11" t="inlineStr">
        <is>
          <t>Rare / Rara</t>
        </is>
      </c>
      <c r="D29" s="11" t="inlineStr">
        <is>
          <t>This artifact enters with a page counter on it. Whenever your commander enters or attacks, put a page counter on this artifact. {1}, {T}, Remove a page counter from this artifact: Draw a card.</t>
        </is>
      </c>
      <c r="E29" s="11" t="inlineStr">
        <is>
          <t>{2}</t>
        </is>
      </c>
      <c r="F29" s="11" t="inlineStr">
        <is>
          <t>Incolor</t>
        </is>
      </c>
      <c r="G29" s="11" t="n">
        <v>1.77</v>
      </c>
      <c r="H29" s="11" t="inlineStr">
        <is>
          <t>Marvel Super Heroes Commander (MSC)</t>
        </is>
      </c>
      <c r="I29" s="11" t="inlineStr">
        <is>
          <t>Não</t>
        </is>
      </c>
      <c r="J29" s="11" t="n">
        <v>2026</v>
      </c>
      <c r="L29" s="11" t="n">
        <v>1</v>
      </c>
    </row>
    <row r="30">
      <c r="A30" s="11" t="inlineStr">
        <is>
          <t>Dismantling Wave / Onda Desmanteladora</t>
        </is>
      </c>
      <c r="B30" s="11" t="inlineStr">
        <is>
          <t>Sorcery / Feitiço</t>
        </is>
      </c>
      <c r="C30" s="11" t="inlineStr">
        <is>
          <t>Rare / Rara</t>
        </is>
      </c>
      <c r="D30" s="11" t="inlineStr">
        <is>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is>
      </c>
      <c r="E30" s="11" t="inlineStr">
        <is>
          <t>{2}{W}</t>
        </is>
      </c>
      <c r="F30" s="11" t="inlineStr">
        <is>
          <t>Branco</t>
        </is>
      </c>
      <c r="G30" s="11" t="n">
        <v>1.42</v>
      </c>
      <c r="H30" s="11" t="inlineStr">
        <is>
          <t>Marvel Super Heroes Commander (MSC)</t>
        </is>
      </c>
      <c r="I30" s="11" t="inlineStr">
        <is>
          <t>Não</t>
        </is>
      </c>
      <c r="J30" s="11" t="n">
        <v>2026</v>
      </c>
      <c r="L30" s="11" t="n">
        <v>1</v>
      </c>
    </row>
    <row r="31">
      <c r="A31" s="11" t="inlineStr">
        <is>
          <t>Rescue, Pepper Potts</t>
        </is>
      </c>
      <c r="B31" s="11" t="inlineStr">
        <is>
          <t>Legendary Artifact Creature — Human Hero</t>
        </is>
      </c>
      <c r="C31" s="11" t="inlineStr">
        <is>
          <t>Uncommon / Incomum</t>
        </is>
      </c>
      <c r="D31" s="11" t="inlineStr">
        <is>
          <t>Flash Flying When Rescue enters, return up to one other target artifact or creature you control to its owner's hand. If it was an artifact, put a +1/+1 counter on Rescue.</t>
        </is>
      </c>
      <c r="E31" s="11" t="inlineStr">
        <is>
          <t>{1}{U}</t>
        </is>
      </c>
      <c r="F31" s="11" t="inlineStr">
        <is>
          <t>Azul</t>
        </is>
      </c>
      <c r="G31" s="11" t="n">
        <v>0.85</v>
      </c>
      <c r="H31" s="11" t="inlineStr">
        <is>
          <t>Marvel Super Heroes Commander (MSC)</t>
        </is>
      </c>
      <c r="I31" s="11" t="inlineStr">
        <is>
          <t>Não</t>
        </is>
      </c>
      <c r="J31" s="11" t="n">
        <v>2026</v>
      </c>
      <c r="K31" s="10" t="n">
        <v>46024</v>
      </c>
      <c r="L31" s="11" t="n">
        <v>1</v>
      </c>
    </row>
    <row r="32">
      <c r="A32" s="11" t="inlineStr">
        <is>
          <t>Command Tower / Torre de Comando</t>
        </is>
      </c>
      <c r="B32" s="11" t="inlineStr">
        <is>
          <t>Land / Terreno</t>
        </is>
      </c>
      <c r="C32" s="11" t="inlineStr">
        <is>
          <t>Common / Comum</t>
        </is>
      </c>
      <c r="D32" s="11" t="inlineStr">
        <is>
          <t>{T}: Add one mana of any color in your commander's color identity. / {T}: Adicione um mana de qualquer cor da identidade de cor de seu comandante.</t>
        </is>
      </c>
      <c r="F32" s="11" t="inlineStr">
        <is>
          <t>Incolor</t>
        </is>
      </c>
      <c r="G32" s="11" t="n">
        <v>1.96</v>
      </c>
      <c r="H32" s="11" t="inlineStr">
        <is>
          <t>Marvel Super Heroes Commander (MSC)</t>
        </is>
      </c>
      <c r="I32" s="11" t="inlineStr">
        <is>
          <t>Não</t>
        </is>
      </c>
      <c r="J32" s="11" t="n">
        <v>2026</v>
      </c>
      <c r="L32" s="11" t="n">
        <v>1</v>
      </c>
    </row>
    <row r="33">
      <c r="A33" s="11" t="inlineStr">
        <is>
          <t>Quicksilver, Speedster</t>
        </is>
      </c>
      <c r="B33" s="11" t="inlineStr">
        <is>
          <t>Legendary Creature — Mutant Hero</t>
        </is>
      </c>
      <c r="C33" s="11" t="inlineStr">
        <is>
          <t>Rare / Rara</t>
        </is>
      </c>
      <c r="D33" s="11" t="inlineStr">
        <is>
          <t>Flash Double strike, haste As long as Quicksilver is tapped, you may cast spells as though they had flash.</t>
        </is>
      </c>
      <c r="E33" s="11" t="inlineStr">
        <is>
          <t>{3}{U}{R}</t>
        </is>
      </c>
      <c r="F33" s="11" t="inlineStr">
        <is>
          <t>Vermelho, Azul</t>
        </is>
      </c>
      <c r="G33" s="11" t="n">
        <v>9.34</v>
      </c>
      <c r="H33" s="11" t="inlineStr">
        <is>
          <t>Marvel Super Heroes Commander (MSC)</t>
        </is>
      </c>
      <c r="I33" s="11" t="inlineStr">
        <is>
          <t>Não</t>
        </is>
      </c>
      <c r="J33" s="11" t="n">
        <v>2026</v>
      </c>
      <c r="K33" s="10" t="n">
        <v>46115</v>
      </c>
      <c r="L33" s="11" t="n">
        <v>1</v>
      </c>
    </row>
    <row r="34">
      <c r="A34" s="11" t="inlineStr">
        <is>
          <t>Make Your Move / Faça Sua Jogada</t>
        </is>
      </c>
      <c r="B34" s="11" t="inlineStr">
        <is>
          <t>Instant / Mágica Instantânea</t>
        </is>
      </c>
      <c r="C34" s="11" t="inlineStr">
        <is>
          <t>Common / Comum</t>
        </is>
      </c>
      <c r="D34" s="11" t="inlineStr">
        <is>
          <t>Destroy target artifact, enchantment, or creature with power 4 or greater. / Destrua o artefato, o encantamento ou a criatura com poder igual ou superior a 4 alvo.</t>
        </is>
      </c>
      <c r="E34" s="11" t="inlineStr">
        <is>
          <t>{2}{W}</t>
        </is>
      </c>
      <c r="F34" s="11" t="inlineStr">
        <is>
          <t>Branco</t>
        </is>
      </c>
      <c r="G34" s="11" t="n">
        <v>0.14</v>
      </c>
      <c r="H34" s="11" t="inlineStr">
        <is>
          <t>Marvel Super Heroes Commander (MSC)</t>
        </is>
      </c>
      <c r="I34" s="11" t="inlineStr">
        <is>
          <t>Não</t>
        </is>
      </c>
      <c r="J34" s="11" t="n">
        <v>2026</v>
      </c>
      <c r="L34" s="11" t="n">
        <v>1</v>
      </c>
    </row>
    <row r="35">
      <c r="A35" s="11" t="inlineStr">
        <is>
          <t>Island / Ilha</t>
        </is>
      </c>
      <c r="B35" s="11" t="inlineStr">
        <is>
          <t>Basic Land — Island / Terreno Básico — Ilha</t>
        </is>
      </c>
      <c r="C35" s="11" t="inlineStr">
        <is>
          <t>Common / Comum</t>
        </is>
      </c>
      <c r="D35" s="11" t="inlineStr">
        <is>
          <t>({T}: Add {U}.) / U</t>
        </is>
      </c>
      <c r="F35" s="11" t="inlineStr">
        <is>
          <t>Azul</t>
        </is>
      </c>
      <c r="G35" s="11" t="n">
        <v>0.25</v>
      </c>
      <c r="H35" s="11" t="inlineStr">
        <is>
          <t>Marvel Super Heroes (MSH)</t>
        </is>
      </c>
      <c r="I35" s="11" t="inlineStr">
        <is>
          <t>Não</t>
        </is>
      </c>
      <c r="J35" s="11" t="n">
        <v>2026</v>
      </c>
      <c r="L35" s="11" t="n">
        <v>5</v>
      </c>
    </row>
    <row r="36">
      <c r="A36" s="11" t="inlineStr">
        <is>
          <t>Plains / Planície</t>
        </is>
      </c>
      <c r="B36" s="11" t="inlineStr">
        <is>
          <t>Basic Land — Plains / Terreno Básico — Planície</t>
        </is>
      </c>
      <c r="C36" s="11" t="inlineStr">
        <is>
          <t>Common / Comum</t>
        </is>
      </c>
      <c r="D36" s="11" t="inlineStr">
        <is>
          <t>({T}: Add {W}.) / W</t>
        </is>
      </c>
      <c r="F36" s="11" t="inlineStr">
        <is>
          <t>Branco</t>
        </is>
      </c>
      <c r="G36" s="11" t="n">
        <v>0.25</v>
      </c>
      <c r="H36" s="11" t="inlineStr">
        <is>
          <t>Marvel Super Heroes (MSH)</t>
        </is>
      </c>
      <c r="I36" s="11" t="inlineStr">
        <is>
          <t>Não</t>
        </is>
      </c>
      <c r="J36" s="11" t="n">
        <v>2026</v>
      </c>
      <c r="L36" s="11" t="n">
        <v>2</v>
      </c>
    </row>
    <row r="37">
      <c r="A37" s="11" t="inlineStr">
        <is>
          <t>Secluded Courtyard / Pátio Reservado</t>
        </is>
      </c>
      <c r="B37" s="11" t="inlineStr">
        <is>
          <t>Land / Terreno</t>
        </is>
      </c>
      <c r="C37" s="11" t="inlineStr">
        <is>
          <t>Uncommon / Incomum</t>
        </is>
      </c>
      <c r="D37" s="11"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37" s="11" t="inlineStr">
        <is>
          <t>Incolor</t>
        </is>
      </c>
      <c r="G37" s="11" t="n">
        <v>7.9</v>
      </c>
      <c r="H37" s="11" t="inlineStr">
        <is>
          <t>Marvel Super Heroes Commander (MSC)</t>
        </is>
      </c>
      <c r="I37" s="11" t="inlineStr">
        <is>
          <t>Não</t>
        </is>
      </c>
      <c r="J37" s="11" t="n">
        <v>2026</v>
      </c>
      <c r="L37" s="11" t="n">
        <v>1</v>
      </c>
    </row>
    <row r="38">
      <c r="A38" s="11" t="inlineStr">
        <is>
          <t>Love on the Battlefield</t>
        </is>
      </c>
      <c r="B38" s="11" t="inlineStr">
        <is>
          <t>Enchantment</t>
        </is>
      </c>
      <c r="C38" s="11" t="inlineStr">
        <is>
          <t>Rare / Rara</t>
        </is>
      </c>
      <c r="D38" s="11" t="inlineStr">
        <is>
          <t>Whenever you attack with exactly two creatures, those creatures gain first strike until end of turn, then draw a card. Whenever either of those creatures deals combat damage to a player this combat, put a +1/+1 counter on it.</t>
        </is>
      </c>
      <c r="E38" s="11" t="inlineStr">
        <is>
          <t>{1}{U}{R}</t>
        </is>
      </c>
      <c r="F38" s="11" t="inlineStr">
        <is>
          <t>Vermelho, Azul</t>
        </is>
      </c>
      <c r="G38" s="11" t="n">
        <v>7.95</v>
      </c>
      <c r="H38" s="11" t="inlineStr">
        <is>
          <t>Marvel Super Heroes Commander (MSC)</t>
        </is>
      </c>
      <c r="I38" s="11" t="inlineStr">
        <is>
          <t>Não</t>
        </is>
      </c>
      <c r="J38" s="11" t="n">
        <v>2026</v>
      </c>
      <c r="L38" s="11" t="n">
        <v>1</v>
      </c>
    </row>
    <row r="39">
      <c r="A39" s="11" t="inlineStr">
        <is>
          <t>Gift of Immortality / Dádiva da Imortalidade</t>
        </is>
      </c>
      <c r="B39" s="11" t="inlineStr">
        <is>
          <t>Enchantment — Aura / Encantamento — Aura</t>
        </is>
      </c>
      <c r="C39" s="11" t="inlineStr">
        <is>
          <t>Rare / Rara</t>
        </is>
      </c>
      <c r="D39" s="11" t="inlineStr">
        <is>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is>
      </c>
      <c r="E39" s="11" t="inlineStr">
        <is>
          <t>{2}{W}</t>
        </is>
      </c>
      <c r="F39" s="11" t="inlineStr">
        <is>
          <t>Branco</t>
        </is>
      </c>
      <c r="G39" s="11" t="n">
        <v>3.75</v>
      </c>
      <c r="H39" s="11" t="inlineStr">
        <is>
          <t>Marvel Super Heroes Commander (MSC)</t>
        </is>
      </c>
      <c r="I39" s="11" t="inlineStr">
        <is>
          <t>Não</t>
        </is>
      </c>
      <c r="J39" s="11" t="n">
        <v>2026</v>
      </c>
      <c r="L39" s="11" t="n">
        <v>1</v>
      </c>
    </row>
    <row r="40">
      <c r="A40" s="11" t="inlineStr">
        <is>
          <t>Path of Ancestry / Caminho da Ascendência</t>
        </is>
      </c>
      <c r="B40" s="11" t="inlineStr">
        <is>
          <t>Land / Terreno</t>
        </is>
      </c>
      <c r="C40" s="11" t="inlineStr">
        <is>
          <t>Common / Comum</t>
        </is>
      </c>
      <c r="D40" s="11"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0" s="11" t="inlineStr">
        <is>
          <t>Incolor</t>
        </is>
      </c>
      <c r="G40" s="11" t="n">
        <v>0.59</v>
      </c>
      <c r="H40" s="11" t="inlineStr">
        <is>
          <t>Marvel Super Heroes Commander (MSC)</t>
        </is>
      </c>
      <c r="I40" s="11" t="inlineStr">
        <is>
          <t>Não</t>
        </is>
      </c>
      <c r="J40" s="11" t="n">
        <v>2026</v>
      </c>
      <c r="L40" s="11" t="n">
        <v>1</v>
      </c>
    </row>
    <row r="41">
      <c r="A41" s="11" t="inlineStr">
        <is>
          <t>Frostboil Snarl / Liame da Pirogeada</t>
        </is>
      </c>
      <c r="B41" s="11" t="inlineStr">
        <is>
          <t>Land / Terreno</t>
        </is>
      </c>
      <c r="C41" s="11" t="inlineStr">
        <is>
          <t>Rare / Rara</t>
        </is>
      </c>
      <c r="D41" s="11" t="inlineStr">
        <is>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is>
      </c>
      <c r="F41" s="11" t="inlineStr">
        <is>
          <t>Vermelho, Azul</t>
        </is>
      </c>
      <c r="G41" s="11" t="n">
        <v>1.78</v>
      </c>
      <c r="H41" s="11" t="inlineStr">
        <is>
          <t>Marvel Super Heroes Commander (MSC)</t>
        </is>
      </c>
      <c r="I41" s="11" t="inlineStr">
        <is>
          <t>Não</t>
        </is>
      </c>
      <c r="J41" s="11" t="n">
        <v>2026</v>
      </c>
      <c r="L41" s="11" t="n">
        <v>1</v>
      </c>
    </row>
    <row r="42">
      <c r="A42" s="11" t="inlineStr">
        <is>
          <t>Photon, Mighty Marvel</t>
        </is>
      </c>
      <c r="B42" s="11" t="inlineStr">
        <is>
          <t>Legendary Creature — Human Hero</t>
        </is>
      </c>
      <c r="C42" s="11" t="inlineStr">
        <is>
          <t>Rare / Rara</t>
        </is>
      </c>
      <c r="D42" s="11" t="inlineStr">
        <is>
          <t>Flying Whenever Photon deals combat damage to a player, add that much mana of any one color. Until end of turn, you don't lose this mana as steps and phases end.</t>
        </is>
      </c>
      <c r="E42" s="11" t="inlineStr">
        <is>
          <t>{3}{R}</t>
        </is>
      </c>
      <c r="F42" s="11" t="inlineStr">
        <is>
          <t>Vermelho</t>
        </is>
      </c>
      <c r="G42" s="11" t="n">
        <v>2.82</v>
      </c>
      <c r="H42" s="11" t="inlineStr">
        <is>
          <t>Marvel Super Heroes Commander (MSC)</t>
        </is>
      </c>
      <c r="I42" s="11" t="inlineStr">
        <is>
          <t>Não</t>
        </is>
      </c>
      <c r="J42" s="11" t="n">
        <v>2026</v>
      </c>
      <c r="K42" s="10" t="n">
        <v>46114</v>
      </c>
      <c r="L42" s="11" t="n">
        <v>1</v>
      </c>
    </row>
    <row r="43">
      <c r="A43" s="11" t="inlineStr">
        <is>
          <t>Hawkeye, Avenging Archer</t>
        </is>
      </c>
      <c r="B43" s="11" t="inlineStr">
        <is>
          <t>Legendary Creature — Human Archer Hero</t>
        </is>
      </c>
      <c r="C43" s="11" t="inlineStr">
        <is>
          <t>Rare / Rara</t>
        </is>
      </c>
      <c r="D43" s="11" t="inlineStr">
        <is>
          <t>Reach Whenever a creature an opponent controls dies, if Hawkeye dealt damage to it this turn, draw a card. {T}: Hawkeye deals 1 damage to any target.</t>
        </is>
      </c>
      <c r="E43" s="11" t="inlineStr">
        <is>
          <t>{2}{U}{R}</t>
        </is>
      </c>
      <c r="F43" s="11" t="inlineStr">
        <is>
          <t>Vermelho, Azul</t>
        </is>
      </c>
      <c r="G43" s="11" t="n">
        <v>2.67</v>
      </c>
      <c r="H43" s="11" t="inlineStr">
        <is>
          <t>Marvel Super Heroes Commander (MSC)</t>
        </is>
      </c>
      <c r="I43" s="11" t="inlineStr">
        <is>
          <t>Não</t>
        </is>
      </c>
      <c r="J43" s="11" t="n">
        <v>2026</v>
      </c>
      <c r="K43" s="10" t="n">
        <v>46115</v>
      </c>
      <c r="L43" s="11" t="n">
        <v>1</v>
      </c>
    </row>
    <row r="44">
      <c r="A44" s="11" t="inlineStr">
        <is>
          <t>Swords to Plowshares / Espadas em Arados</t>
        </is>
      </c>
      <c r="B44" s="11" t="inlineStr">
        <is>
          <t>Instant / Mágica Instantânea</t>
        </is>
      </c>
      <c r="C44" s="11" t="inlineStr">
        <is>
          <t>Uncommon / Incomum</t>
        </is>
      </c>
      <c r="D44" s="11" t="inlineStr">
        <is>
          <t>Exile target creature. Its controller gains life equal to its power. / Exile a criatura alvo. O controlador da criatura ganha uma quantidade de pontos de vida igual ao poder dela.</t>
        </is>
      </c>
      <c r="E44" s="11" t="inlineStr">
        <is>
          <t>{W}</t>
        </is>
      </c>
      <c r="F44" s="11" t="inlineStr">
        <is>
          <t>Branco</t>
        </is>
      </c>
      <c r="G44" s="11" t="n">
        <v>12.46</v>
      </c>
      <c r="H44" s="11" t="inlineStr">
        <is>
          <t>Marvel Super Heroes Commander (MSC)</t>
        </is>
      </c>
      <c r="I44" s="11" t="inlineStr">
        <is>
          <t>Não</t>
        </is>
      </c>
      <c r="J44" s="11" t="n">
        <v>2026</v>
      </c>
      <c r="L44" s="11" t="n">
        <v>1</v>
      </c>
    </row>
    <row r="45">
      <c r="A45" s="11" t="inlineStr">
        <is>
          <t>Glittering Massif</t>
        </is>
      </c>
      <c r="B45" s="11" t="inlineStr">
        <is>
          <t>Land — Mountain Plains</t>
        </is>
      </c>
      <c r="C45" s="11" t="inlineStr">
        <is>
          <t>Rare / Rara</t>
        </is>
      </c>
      <c r="D45" s="11" t="inlineStr">
        <is>
          <t>({T}: Add {R} or {W}.) This land enters tapped. Cycling {2} ({2}, Discard this card: Draw a card.)</t>
        </is>
      </c>
      <c r="F45" s="11" t="inlineStr">
        <is>
          <t>Vermelho, Branco</t>
        </is>
      </c>
      <c r="G45" s="11" t="n">
        <v>2.91</v>
      </c>
      <c r="H45" s="11" t="inlineStr">
        <is>
          <t>Marvel Super Heroes Commander (MSC)</t>
        </is>
      </c>
      <c r="I45" s="11" t="inlineStr">
        <is>
          <t>Não</t>
        </is>
      </c>
      <c r="J45" s="11" t="n">
        <v>2026</v>
      </c>
      <c r="L45" s="11" t="n">
        <v>1</v>
      </c>
    </row>
    <row r="46">
      <c r="A46" s="11" t="inlineStr">
        <is>
          <t>Talisman of Progress / Talismã do Progresso</t>
        </is>
      </c>
      <c r="B46" s="11" t="inlineStr">
        <is>
          <t>Artifact / Artefato</t>
        </is>
      </c>
      <c r="C46" s="11" t="inlineStr">
        <is>
          <t>Uncommon / Incomum</t>
        </is>
      </c>
      <c r="D46" s="11" t="inlineStr">
        <is>
          <t>{T}: Add {C}. {T}: Add {W} or {U}. This artifact deals 1 damage to you. / {T}: Adicione {C}. {T}: Adicione {W} ou {U}. Talismã do Progresso causa 1 ponto de dano a você.</t>
        </is>
      </c>
      <c r="E46" s="11" t="inlineStr">
        <is>
          <t>{2}</t>
        </is>
      </c>
      <c r="F46" s="11" t="inlineStr">
        <is>
          <t>Azul, Branco</t>
        </is>
      </c>
      <c r="G46" s="11" t="n">
        <v>5.63</v>
      </c>
      <c r="H46" s="11" t="inlineStr">
        <is>
          <t>Marvel Super Heroes Commander (MSC)</t>
        </is>
      </c>
      <c r="I46" s="11" t="inlineStr">
        <is>
          <t>Não</t>
        </is>
      </c>
      <c r="J46" s="11" t="n">
        <v>2026</v>
      </c>
      <c r="L46" s="11" t="n">
        <v>1</v>
      </c>
    </row>
    <row r="47">
      <c r="A47" s="11" t="inlineStr">
        <is>
          <t>Director Nick Fury</t>
        </is>
      </c>
      <c r="B47" s="11" t="inlineStr">
        <is>
          <t>Legendary Creature — Human Spy Hero</t>
        </is>
      </c>
      <c r="C47" s="11" t="inlineStr">
        <is>
          <t>Mythic / Mítica</t>
        </is>
      </c>
      <c r="D47" s="11" t="inlineStr">
        <is>
          <t>Hero spells you cast cost {1} less to cast. Whenever you attack, look at the top four cards of your library. You may reveal a Hero card from among them and put that card into your hand. Put the rest on the bottom of your library in a random order.</t>
        </is>
      </c>
      <c r="E47" s="11" t="inlineStr">
        <is>
          <t>{U}{R}{W}</t>
        </is>
      </c>
      <c r="F47" s="11" t="inlineStr">
        <is>
          <t>Vermelho, Azul, Branco</t>
        </is>
      </c>
      <c r="G47" s="11" t="n">
        <v>7.51</v>
      </c>
      <c r="H47" s="11" t="inlineStr">
        <is>
          <t>Marvel Super Heroes Commander (MSC)</t>
        </is>
      </c>
      <c r="I47" s="11" t="inlineStr">
        <is>
          <t>Não</t>
        </is>
      </c>
      <c r="J47" s="11" t="n">
        <v>2026</v>
      </c>
      <c r="K47" s="10" t="n">
        <v>46114</v>
      </c>
      <c r="L47" s="11" t="n">
        <v>1</v>
      </c>
    </row>
    <row r="48">
      <c r="A48" s="11" t="inlineStr">
        <is>
          <t>Scorched Geyser</t>
        </is>
      </c>
      <c r="B48" s="11" t="inlineStr">
        <is>
          <t>Land — Island Mountain</t>
        </is>
      </c>
      <c r="C48" s="11" t="inlineStr">
        <is>
          <t>Rare / Rara</t>
        </is>
      </c>
      <c r="D48" s="11" t="inlineStr">
        <is>
          <t>({T}: Add {U} or {R}.) This land enters tapped unless you control two or more basic lands.</t>
        </is>
      </c>
      <c r="F48" s="11" t="inlineStr">
        <is>
          <t>Vermelho, Azul</t>
        </is>
      </c>
      <c r="G48" s="11" t="n">
        <v>8</v>
      </c>
      <c r="H48" s="11" t="inlineStr">
        <is>
          <t>Marvel Super Heroes Commander (MSC)</t>
        </is>
      </c>
      <c r="I48" s="11" t="inlineStr">
        <is>
          <t>Não</t>
        </is>
      </c>
      <c r="J48" s="11" t="n">
        <v>2026</v>
      </c>
      <c r="L48" s="11" t="n">
        <v>1</v>
      </c>
    </row>
    <row r="49">
      <c r="A49" s="11" t="inlineStr">
        <is>
          <t>Secluded Courtyard / Pátio Reservado</t>
        </is>
      </c>
      <c r="B49" s="11" t="inlineStr">
        <is>
          <t>Land / Terreno</t>
        </is>
      </c>
      <c r="C49" s="11" t="inlineStr">
        <is>
          <t>Uncommon / Incomum</t>
        </is>
      </c>
      <c r="D49" s="11"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49" s="11" t="inlineStr">
        <is>
          <t>Incolor</t>
        </is>
      </c>
      <c r="G49" s="11" t="n">
        <v>1.8</v>
      </c>
      <c r="H49" s="11" t="inlineStr">
        <is>
          <t>Marvel Super Heroes Commander (MSC)</t>
        </is>
      </c>
      <c r="I49" s="11" t="inlineStr">
        <is>
          <t>Não</t>
        </is>
      </c>
      <c r="J49" s="11" t="n">
        <v>2026</v>
      </c>
      <c r="L49" s="11" t="n">
        <v>1</v>
      </c>
    </row>
    <row r="50">
      <c r="A50" s="11" t="inlineStr">
        <is>
          <t>Destroy Evil / Destruir o Mal</t>
        </is>
      </c>
      <c r="B50" s="11" t="inlineStr">
        <is>
          <t>Instant / Mágica Instantânea</t>
        </is>
      </c>
      <c r="C50" s="11" t="inlineStr">
        <is>
          <t>Common / Comum</t>
        </is>
      </c>
      <c r="D50" s="11" t="inlineStr">
        <is>
          <t>Choose one — • Destroy target creature with toughness 4 or greater. • Destroy target enchantment. / Escolha um — • Destrua a criatura alvo com resistência igual ou superior a 4. • Destrua o encantamento alvo.</t>
        </is>
      </c>
      <c r="E50" s="11" t="inlineStr">
        <is>
          <t>{1}{W}</t>
        </is>
      </c>
      <c r="F50" s="11" t="inlineStr">
        <is>
          <t>Branco</t>
        </is>
      </c>
      <c r="G50" s="11" t="n">
        <v>1.22</v>
      </c>
      <c r="H50" s="11" t="inlineStr">
        <is>
          <t>Marvel Super Heroes Commander (MSC)</t>
        </is>
      </c>
      <c r="I50" s="11" t="inlineStr">
        <is>
          <t>Não</t>
        </is>
      </c>
      <c r="J50" s="11" t="n">
        <v>2026</v>
      </c>
      <c r="L50" s="11" t="n">
        <v>1</v>
      </c>
    </row>
    <row r="51">
      <c r="A51" s="11" t="inlineStr">
        <is>
          <t>Furycalm Snarl / Liame da Calmafuriosa</t>
        </is>
      </c>
      <c r="B51" s="11" t="inlineStr">
        <is>
          <t>Land / Terreno</t>
        </is>
      </c>
      <c r="C51" s="11" t="inlineStr">
        <is>
          <t>Rare / Rara</t>
        </is>
      </c>
      <c r="D51" s="11" t="inlineStr">
        <is>
          <t>As this land enters, you may reveal a Mountain or Plains card from your hand. If you don't, this land enters tapped. {T}: Add {R} or {W}. / Conforme Liame da Calmafuriosa entra no campo de batalha, você pode revelar um card de Montanha ou Planície de sua mão. Se não fizer isso, Liame da Calmafuriosa entrará no campo de batalha virado. {T}: Adicione {R} ou {W}.</t>
        </is>
      </c>
      <c r="F51" s="11" t="inlineStr">
        <is>
          <t>Vermelho, Branco</t>
        </is>
      </c>
      <c r="G51" s="11" t="n">
        <v>1.44</v>
      </c>
      <c r="H51" s="11" t="inlineStr">
        <is>
          <t>Marvel Super Heroes Commander (MSC)</t>
        </is>
      </c>
      <c r="I51" s="11" t="inlineStr">
        <is>
          <t>Não</t>
        </is>
      </c>
      <c r="J51" s="11" t="n">
        <v>2026</v>
      </c>
      <c r="L51" s="11" t="n">
        <v>1</v>
      </c>
    </row>
    <row r="52">
      <c r="A52" s="11" t="inlineStr">
        <is>
          <t>Captain Marvel, Apex Avenger</t>
        </is>
      </c>
      <c r="B52" s="11" t="inlineStr">
        <is>
          <t>Legendary Creature — Human Kree Hero</t>
        </is>
      </c>
      <c r="C52" s="11" t="inlineStr">
        <is>
          <t>Rare / Rara</t>
        </is>
      </c>
      <c r="D52" s="11" t="inlineStr">
        <is>
          <t>Flying, double strike, indestructible Whenever you put one or more counters on another creature, if it's not a Kree, you may put the same number and kind of counters on Captain Marvel.</t>
        </is>
      </c>
      <c r="E52" s="11" t="inlineStr">
        <is>
          <t>{5}{R}{W}</t>
        </is>
      </c>
      <c r="F52" s="11" t="inlineStr">
        <is>
          <t>Vermelho, Branco</t>
        </is>
      </c>
      <c r="G52" s="11" t="n">
        <v>4.5</v>
      </c>
      <c r="H52" s="11" t="inlineStr">
        <is>
          <t>Marvel Super Heroes Commander (MSC)</t>
        </is>
      </c>
      <c r="I52" s="11" t="inlineStr">
        <is>
          <t>Não</t>
        </is>
      </c>
      <c r="J52" s="11" t="n">
        <v>2026</v>
      </c>
      <c r="K52" s="10" t="n">
        <v>46116</v>
      </c>
      <c r="L52" s="11" t="n">
        <v>1</v>
      </c>
    </row>
    <row r="53">
      <c r="A53" s="11" t="inlineStr">
        <is>
          <t>Black Widow, Agile Avenger</t>
        </is>
      </c>
      <c r="B53" s="11" t="inlineStr">
        <is>
          <t>Legendary Creature — Human Spy Hero</t>
        </is>
      </c>
      <c r="C53" s="11" t="inlineStr">
        <is>
          <t>Rare / Rara</t>
        </is>
      </c>
      <c r="D53" s="11" t="inlineStr">
        <is>
          <t>Menace Whenever an opponent draws their second card each turn, put a +1/+1 counter on Black Widow and you draw a card.</t>
        </is>
      </c>
      <c r="E53" s="11" t="inlineStr">
        <is>
          <t>{1}{R}{W}</t>
        </is>
      </c>
      <c r="F53" s="11" t="inlineStr">
        <is>
          <t>Vermelho, Branco</t>
        </is>
      </c>
      <c r="G53" s="11" t="n">
        <v>76.90000000000001</v>
      </c>
      <c r="H53" s="11" t="inlineStr">
        <is>
          <t>Marvel Super Heroes Commander (MSC)</t>
        </is>
      </c>
      <c r="I53" s="11" t="inlineStr">
        <is>
          <t>Não</t>
        </is>
      </c>
      <c r="J53" s="11" t="n">
        <v>2026</v>
      </c>
      <c r="K53" s="10" t="n">
        <v>46055</v>
      </c>
      <c r="L53" s="11" t="n">
        <v>1</v>
      </c>
    </row>
    <row r="54">
      <c r="A54" s="11" t="inlineStr">
        <is>
          <t>Ant-Man, Elusive Avenger</t>
        </is>
      </c>
      <c r="B54" s="11" t="inlineStr">
        <is>
          <t>Legendary Creature — Human Rogue Hero</t>
        </is>
      </c>
      <c r="C54" s="11" t="inlineStr">
        <is>
          <t>Rare / Rara</t>
        </is>
      </c>
      <c r="D54" s="11" t="inlineStr">
        <is>
          <t>Ant-Man can't be blocked by creatures with greater power. Whenever Ant-Man deals combat damage to a player, create that many Treasure tokens.</t>
        </is>
      </c>
      <c r="E54" s="11" t="inlineStr">
        <is>
          <t>{1}{U}{R}</t>
        </is>
      </c>
      <c r="F54" s="11" t="inlineStr">
        <is>
          <t>Vermelho, Azul</t>
        </is>
      </c>
      <c r="G54" s="11" t="n">
        <v>3.5</v>
      </c>
      <c r="H54" s="11" t="inlineStr">
        <is>
          <t>Marvel Super Heroes Commander (MSC)</t>
        </is>
      </c>
      <c r="I54" s="11" t="inlineStr">
        <is>
          <t>Não</t>
        </is>
      </c>
      <c r="J54" s="11" t="n">
        <v>2026</v>
      </c>
      <c r="K54" s="10" t="n">
        <v>46054</v>
      </c>
      <c r="L54" s="11" t="n">
        <v>1</v>
      </c>
    </row>
    <row r="55">
      <c r="A55" s="11" t="inlineStr">
        <is>
          <t>Prairie Stream / Riacho da Pradaria</t>
        </is>
      </c>
      <c r="B55" s="11" t="inlineStr">
        <is>
          <t>Land — Plains Island / Terreno — Planície Ilha</t>
        </is>
      </c>
      <c r="C55" s="11" t="inlineStr">
        <is>
          <t>Rare / Rara</t>
        </is>
      </c>
      <c r="D55" s="11" t="inlineStr">
        <is>
          <t>({T}: Add {W} or {U}.) This land enters tapped unless you control two or more basic lands. / ({T}: Adicione {W} ou {U} à sua reserva de mana.)Riacho da Pradaria entra no campo de batalha virado a menos que você controle dois ou mais terrenos básicos.</t>
        </is>
      </c>
      <c r="F55" s="11" t="inlineStr">
        <is>
          <t>Azul, Branco</t>
        </is>
      </c>
      <c r="G55" s="11" t="n">
        <v>1.44</v>
      </c>
      <c r="H55" s="11" t="inlineStr">
        <is>
          <t>Marvel Super Heroes Commander (MSC)</t>
        </is>
      </c>
      <c r="I55" s="11" t="inlineStr">
        <is>
          <t>Não</t>
        </is>
      </c>
      <c r="J55" s="11" t="n">
        <v>2026</v>
      </c>
      <c r="L55" s="11" t="n">
        <v>1</v>
      </c>
    </row>
    <row r="56">
      <c r="A56" s="11" t="inlineStr">
        <is>
          <t>Arcane Denial / Contradição Arcana</t>
        </is>
      </c>
      <c r="B56" s="11" t="inlineStr">
        <is>
          <t>Instant / Mágica Instantânea</t>
        </is>
      </c>
      <c r="C56" s="11" t="inlineStr">
        <is>
          <t>Common / Comum</t>
        </is>
      </c>
      <c r="D56" s="11" t="inlineStr">
        <is>
          <t>Counter target spell. Its controller may draw up to two cards at the beginning of the next turn's upkeep. You draw a card at the beginning of the next turn's upkeep. / Anule a mágica alvo. Seu controlador pode comprar até dois cards no início da manutenção do próximo turno. Você compra um card no início da manutenção do próximo turno.</t>
        </is>
      </c>
      <c r="E56" s="11" t="inlineStr">
        <is>
          <t>{1}{U}</t>
        </is>
      </c>
      <c r="F56" s="11" t="inlineStr">
        <is>
          <t>Azul</t>
        </is>
      </c>
      <c r="G56" s="11" t="n">
        <v>11.25</v>
      </c>
      <c r="H56" s="11" t="inlineStr">
        <is>
          <t>Marvel Super Heroes Commander (MSC)</t>
        </is>
      </c>
      <c r="I56" s="11" t="inlineStr">
        <is>
          <t>Não</t>
        </is>
      </c>
      <c r="J56" s="11" t="n">
        <v>2026</v>
      </c>
      <c r="L56" s="11" t="n">
        <v>1</v>
      </c>
    </row>
    <row r="57">
      <c r="A57" s="11" t="inlineStr">
        <is>
          <t>Avengers Tower</t>
        </is>
      </c>
      <c r="B57" s="11" t="inlineStr">
        <is>
          <t>Land</t>
        </is>
      </c>
      <c r="C57" s="11" t="inlineStr">
        <is>
          <t>Uncommon / Incomum</t>
        </is>
      </c>
      <c r="D57" s="11" t="inlineStr">
        <is>
          <t>{T}: Add {C}. {T}: Add one mana of any color. Spend this mana only to cast a Hero spell or to activate an ability of a Hero source. {4}, {T}: Look at the top three cards of your library. You may reveal a Hero card from among them and put it into your hand. Put the rest on the bottom of your library in any order.</t>
        </is>
      </c>
      <c r="F57" s="11" t="inlineStr">
        <is>
          <t>Incolor</t>
        </is>
      </c>
      <c r="G57" s="11" t="n">
        <v>0.25</v>
      </c>
      <c r="H57" s="11" t="inlineStr">
        <is>
          <t>Marvel Super Heroes (MSH)</t>
        </is>
      </c>
      <c r="I57" s="11" t="inlineStr">
        <is>
          <t>Não</t>
        </is>
      </c>
      <c r="J57" s="11" t="n">
        <v>2026</v>
      </c>
      <c r="L57" s="11" t="n">
        <v>1</v>
      </c>
    </row>
    <row r="58">
      <c r="A58" s="11" t="inlineStr">
        <is>
          <t>War Machine, Avenging Arsenal</t>
        </is>
      </c>
      <c r="B58" s="11" t="inlineStr">
        <is>
          <t>Legendary Artifact Creature — Human Hero</t>
        </is>
      </c>
      <c r="C58" s="11" t="inlineStr">
        <is>
          <t>Rare / Rara</t>
        </is>
      </c>
      <c r="D58" s="11" t="inlineStr">
        <is>
          <t>Flying Whenever War Machine attacks, attacking modified creatures you control gain double strike until end of turn. (Equipment, Auras you control, and counters are modifications.)</t>
        </is>
      </c>
      <c r="E58" s="11" t="inlineStr">
        <is>
          <t>{4}{R}</t>
        </is>
      </c>
      <c r="F58" s="11" t="inlineStr">
        <is>
          <t>Vermelho</t>
        </is>
      </c>
      <c r="G58" s="11" t="n">
        <v>2.6</v>
      </c>
      <c r="H58" s="11" t="inlineStr">
        <is>
          <t>Marvel Super Heroes Commander (MSC)</t>
        </is>
      </c>
      <c r="I58" s="11" t="inlineStr">
        <is>
          <t>Não</t>
        </is>
      </c>
      <c r="J58" s="11" t="n">
        <v>2026</v>
      </c>
      <c r="K58" s="10" t="n">
        <v>46145</v>
      </c>
      <c r="L58" s="11" t="n">
        <v>1</v>
      </c>
    </row>
    <row r="59">
      <c r="A59" s="11" t="inlineStr">
        <is>
          <t>Kindred Discovery / Descoberta da Estirpe</t>
        </is>
      </c>
      <c r="B59" s="11" t="inlineStr">
        <is>
          <t>Enchantment / Encantamento</t>
        </is>
      </c>
      <c r="C59" s="11" t="inlineStr">
        <is>
          <t>Rare / Rara</t>
        </is>
      </c>
      <c r="D59" s="11" t="inlineStr">
        <is>
          <t>As this enchantment enters, choose a creature type. Whenever a creature you control of the chosen type enters or attacks, draw a card. / Conforme Descoberta da Estirpe entra no campo de batalha, escolha um tipo de criatura. Toda vez que uma criatura que você controla do tipo escolhido entrar no campo de batalha ou atacar, compre um card.</t>
        </is>
      </c>
      <c r="E59" s="11" t="inlineStr">
        <is>
          <t>{3}{U}{U}</t>
        </is>
      </c>
      <c r="F59" s="11" t="inlineStr">
        <is>
          <t>Azul</t>
        </is>
      </c>
      <c r="G59" s="11" t="n">
        <v>44.9</v>
      </c>
      <c r="H59" s="11" t="inlineStr">
        <is>
          <t>Marvel Super Heroes Commander (MSC)</t>
        </is>
      </c>
      <c r="I59" s="11" t="inlineStr">
        <is>
          <t>Não</t>
        </is>
      </c>
      <c r="J59" s="11" t="n">
        <v>2026</v>
      </c>
      <c r="L59" s="11" t="n">
        <v>1</v>
      </c>
    </row>
    <row r="60">
      <c r="A60" s="11" t="inlineStr">
        <is>
          <t>She-Hulk, Wallbreaker</t>
        </is>
      </c>
      <c r="B60" s="11" t="inlineStr">
        <is>
          <t>Legendary Creature — Gamma Hero</t>
        </is>
      </c>
      <c r="C60" s="11" t="inlineStr">
        <is>
          <t>Rare / Rara</t>
        </is>
      </c>
      <c r="D60" s="11" t="inlineStr">
        <is>
          <t>Trample Other Heroes you control have trample. Whenever a Hero you control becomes blocked, put a +1/+1 counter on that Hero for each creature blocking it.</t>
        </is>
      </c>
      <c r="E60" s="11" t="inlineStr">
        <is>
          <t>{5}{R}</t>
        </is>
      </c>
      <c r="F60" s="11" t="inlineStr">
        <is>
          <t>Vermelho</t>
        </is>
      </c>
      <c r="G60" s="11" t="n">
        <v>2.5</v>
      </c>
      <c r="H60" s="11" t="inlineStr">
        <is>
          <t>Marvel Super Heroes Commander (MSC)</t>
        </is>
      </c>
      <c r="I60" s="11" t="inlineStr">
        <is>
          <t>Não</t>
        </is>
      </c>
      <c r="J60" s="11" t="n">
        <v>2026</v>
      </c>
      <c r="K60" s="10" t="n">
        <v>46147</v>
      </c>
      <c r="L60" s="11" t="n">
        <v>1</v>
      </c>
    </row>
    <row r="61">
      <c r="A61" s="11" t="inlineStr">
        <is>
          <t>Arcane Signet / Sinete Arcano</t>
        </is>
      </c>
      <c r="B61" s="11" t="inlineStr">
        <is>
          <t>Artifact / Artefato</t>
        </is>
      </c>
      <c r="C61" s="11" t="inlineStr">
        <is>
          <t>Uncommon / Incomum</t>
        </is>
      </c>
      <c r="D61" s="11" t="inlineStr">
        <is>
          <t>{T}: Add one mana of any color in your commander's color identity. / {T}: Adicione um mana de qualquer cor da identidade de cor de seu comandante.</t>
        </is>
      </c>
      <c r="E61" s="11" t="inlineStr">
        <is>
          <t>{2}</t>
        </is>
      </c>
      <c r="F61" s="11" t="inlineStr">
        <is>
          <t>Incolor</t>
        </is>
      </c>
      <c r="G61" s="11" t="n">
        <v>4.95</v>
      </c>
      <c r="H61" s="11" t="inlineStr">
        <is>
          <t>Marvel Super Heroes Commander (MSC)</t>
        </is>
      </c>
      <c r="I61" s="11" t="inlineStr">
        <is>
          <t>Não</t>
        </is>
      </c>
      <c r="J61" s="11" t="n">
        <v>2026</v>
      </c>
      <c r="L61" s="11" t="n">
        <v>1</v>
      </c>
    </row>
    <row r="62">
      <c r="A62" s="11" t="inlineStr">
        <is>
          <t>Clifftop Retreat / Retiro da Falésia</t>
        </is>
      </c>
      <c r="B62" s="11" t="inlineStr">
        <is>
          <t>Land / Terreno</t>
        </is>
      </c>
      <c r="C62" s="11" t="inlineStr">
        <is>
          <t>Rare / Rara</t>
        </is>
      </c>
      <c r="D62" s="11" t="inlineStr">
        <is>
          <t>This land enters tapped unless you control a Mountain or a Plains. {T}: Add {R} or {W}. / Retiro da Falésia entra no campo de batalha virado, a menos que você controle uma Montanha ou uma Planície. {T}: Adicione {R} ou {W} à sua reserva de mana.</t>
        </is>
      </c>
      <c r="F62" s="11" t="inlineStr">
        <is>
          <t>Vermelho, Branco</t>
        </is>
      </c>
      <c r="G62" s="11" t="n">
        <v>3</v>
      </c>
      <c r="H62" s="11" t="inlineStr">
        <is>
          <t>Marvel Super Heroes Commander (MSC)</t>
        </is>
      </c>
      <c r="I62" s="11" t="inlineStr">
        <is>
          <t>Não</t>
        </is>
      </c>
      <c r="J62" s="11" t="n">
        <v>2026</v>
      </c>
      <c r="L62" s="11" t="n">
        <v>1</v>
      </c>
    </row>
    <row r="63">
      <c r="A63" s="11" t="inlineStr">
        <is>
          <t>Firebird, Blazing Ranger</t>
        </is>
      </c>
      <c r="B63" s="11" t="inlineStr">
        <is>
          <t>Legendary Creature — Human Ranger Hero</t>
        </is>
      </c>
      <c r="C63" s="11" t="inlineStr">
        <is>
          <t>Rare / Rara</t>
        </is>
      </c>
      <c r="D63" s="11" t="inlineStr">
        <is>
          <t>Flying Whenever Firebird attacks, other attacking creatures get +X/+0 until end of turn, where X is Firebird's power.</t>
        </is>
      </c>
      <c r="E63" s="11" t="inlineStr">
        <is>
          <t>{2}{R}</t>
        </is>
      </c>
      <c r="F63" s="11" t="inlineStr">
        <is>
          <t>Vermelho</t>
        </is>
      </c>
      <c r="G63" s="11" t="n">
        <v>1.7</v>
      </c>
      <c r="H63" s="11" t="inlineStr">
        <is>
          <t>Marvel Super Heroes Commander (MSC)</t>
        </is>
      </c>
      <c r="I63" s="11" t="inlineStr">
        <is>
          <t>Não</t>
        </is>
      </c>
      <c r="J63" s="11" t="n">
        <v>2026</v>
      </c>
      <c r="K63" s="10" t="n">
        <v>46082</v>
      </c>
      <c r="L63" s="11" t="n">
        <v>1</v>
      </c>
    </row>
    <row r="64">
      <c r="A64" s="11" t="inlineStr">
        <is>
          <t>Relic of Legends / Relíquia das Lendas</t>
        </is>
      </c>
      <c r="B64" s="11" t="inlineStr">
        <is>
          <t>Artifact / Artefato</t>
        </is>
      </c>
      <c r="C64" s="11" t="inlineStr">
        <is>
          <t>Uncommon / Incomum</t>
        </is>
      </c>
      <c r="D64" s="11" t="inlineStr">
        <is>
          <t>{T}: Add one mana of any color. Tap an untapped legendary creature you control: Add one mana of any color. / {T}: Adicione um mana de qualquer cor. Vire uma criatura lendária desvirada que você controla: Adicione um mana de qualquer cor.</t>
        </is>
      </c>
      <c r="E64" s="11" t="inlineStr">
        <is>
          <t>{3}</t>
        </is>
      </c>
      <c r="F64" s="11" t="inlineStr">
        <is>
          <t>Incolor</t>
        </is>
      </c>
      <c r="G64" s="11" t="n">
        <v>8.449999999999999</v>
      </c>
      <c r="H64" s="11" t="inlineStr">
        <is>
          <t>Marvel Super Heroes Commander (MSC)</t>
        </is>
      </c>
      <c r="I64" s="11" t="inlineStr">
        <is>
          <t>Não</t>
        </is>
      </c>
      <c r="J64" s="11" t="n">
        <v>2026</v>
      </c>
      <c r="L64" s="11" t="n">
        <v>1</v>
      </c>
    </row>
    <row r="65">
      <c r="A65" s="11" t="inlineStr">
        <is>
          <t>West Coast Expansion</t>
        </is>
      </c>
      <c r="B65" s="11" t="inlineStr">
        <is>
          <t>Sorcery</t>
        </is>
      </c>
      <c r="C65" s="11" t="inlineStr">
        <is>
          <t>Rare / Rara</t>
        </is>
      </c>
      <c r="D65" s="11" t="inlineStr">
        <is>
          <t>Draw X cards. If X is 5 or more, you may cast a Hero spell from your hand without paying its mana cost.</t>
        </is>
      </c>
      <c r="E65" s="11" t="inlineStr">
        <is>
          <t>{X}{U}{U}</t>
        </is>
      </c>
      <c r="F65" s="11" t="inlineStr">
        <is>
          <t>Azul</t>
        </is>
      </c>
      <c r="G65" s="11" t="n">
        <v>5.49</v>
      </c>
      <c r="H65" s="11" t="inlineStr">
        <is>
          <t>Marvel Super Heroes Commander (MSC)</t>
        </is>
      </c>
      <c r="I65" s="11" t="inlineStr">
        <is>
          <t>Não</t>
        </is>
      </c>
      <c r="J65" s="11" t="n">
        <v>2026</v>
      </c>
      <c r="L65" s="11" t="n">
        <v>1</v>
      </c>
    </row>
    <row r="66">
      <c r="A66" s="11" t="inlineStr">
        <is>
          <t>Metallic Mimic / Mímico Metálico</t>
        </is>
      </c>
      <c r="B66" s="11" t="inlineStr">
        <is>
          <t>Artifact Creature — Shapeshifter / Criatura Artefato — Metamorfo</t>
        </is>
      </c>
      <c r="C66" s="11" t="inlineStr">
        <is>
          <t>Rare / Rara</t>
        </is>
      </c>
      <c r="D66" s="11" t="inlineStr">
        <is>
          <t>As this creature enters, choose a creature type. This creature is the chosen type in addition to its other types. Each other creature you control of the chosen type enters with an additional +1/+1 counter on it. / Conforme Mímico Metálico entra no campo de batalha, escolha um tipo de criatura. Mímico Metálico é do tipo escolhido além de seus outros tipos. Cada outra criatura do tipo escolhido que você controla entra no campo de batalha com um marcador +1/+1 adicional.</t>
        </is>
      </c>
      <c r="E66" s="11" t="inlineStr">
        <is>
          <t>{2}</t>
        </is>
      </c>
      <c r="F66" s="11" t="inlineStr">
        <is>
          <t>Incolor</t>
        </is>
      </c>
      <c r="G66" s="11" t="n">
        <v>5.64</v>
      </c>
      <c r="H66" s="11" t="inlineStr">
        <is>
          <t>Marvel Super Heroes Commander (MSC)</t>
        </is>
      </c>
      <c r="I66" s="11" t="inlineStr">
        <is>
          <t>Não</t>
        </is>
      </c>
      <c r="J66" s="11" t="n">
        <v>2026</v>
      </c>
      <c r="K66" s="10" t="n">
        <v>46024</v>
      </c>
      <c r="L66" s="11" t="n">
        <v>1</v>
      </c>
    </row>
    <row r="67">
      <c r="A67" s="11" t="inlineStr">
        <is>
          <t>Spectator Seating / Lugar de Espectador</t>
        </is>
      </c>
      <c r="B67" s="11" t="inlineStr">
        <is>
          <t>Land / Terreno</t>
        </is>
      </c>
      <c r="C67" s="11" t="inlineStr">
        <is>
          <t>Rare / Rara</t>
        </is>
      </c>
      <c r="D67" s="11" t="inlineStr">
        <is>
          <t>This land enters tapped unless you have two or more opponents. {T}: Add {R} or {W}. / Lugar de Espectador entra no campo de batalha virado, a menos que você tenha dois ou mais oponentes. {T}: Adicione {R} ou {W}.</t>
        </is>
      </c>
      <c r="F67" s="11" t="inlineStr">
        <is>
          <t>Vermelho, Branco</t>
        </is>
      </c>
      <c r="G67" s="11" t="n">
        <v>44.95</v>
      </c>
      <c r="H67" s="11" t="inlineStr">
        <is>
          <t>Marvel Super Heroes Commander (MSC)</t>
        </is>
      </c>
      <c r="I67" s="11" t="inlineStr">
        <is>
          <t>Não</t>
        </is>
      </c>
      <c r="J67" s="11" t="n">
        <v>2026</v>
      </c>
      <c r="L67" s="11" t="n">
        <v>1</v>
      </c>
    </row>
    <row r="68">
      <c r="A68" s="11" t="inlineStr">
        <is>
          <t>Professor Hulk</t>
        </is>
      </c>
      <c r="B68" s="11" t="inlineStr">
        <is>
          <t>Legendary Creature — Gamma Scientist Hero</t>
        </is>
      </c>
      <c r="C68" s="11" t="inlineStr">
        <is>
          <t>Rare / Rara</t>
        </is>
      </c>
      <c r="D68" s="11" t="inlineStr">
        <is>
          <t>Trample Whenever Professor Hulk deals combat damage to a player, draw that many cards.</t>
        </is>
      </c>
      <c r="E68" s="11" t="inlineStr">
        <is>
          <t>{4}{U}{U}</t>
        </is>
      </c>
      <c r="F68" s="11" t="inlineStr">
        <is>
          <t>Azul</t>
        </is>
      </c>
      <c r="G68" s="11" t="n">
        <v>6.3</v>
      </c>
      <c r="H68" s="11" t="inlineStr">
        <is>
          <t>Marvel Super Heroes Commander (MSC)</t>
        </is>
      </c>
      <c r="I68" s="11" t="inlineStr">
        <is>
          <t>Não</t>
        </is>
      </c>
      <c r="J68" s="11" t="n">
        <v>2026</v>
      </c>
      <c r="K68" s="10" t="n">
        <v>46179</v>
      </c>
      <c r="L68" s="11" t="n">
        <v>1</v>
      </c>
    </row>
    <row r="69">
      <c r="A69" s="11" t="inlineStr">
        <is>
          <t>Sulfur Falls / Cascata de Enxofre</t>
        </is>
      </c>
      <c r="B69" s="11" t="inlineStr">
        <is>
          <t>Land / Terreno</t>
        </is>
      </c>
      <c r="C69" s="11" t="inlineStr">
        <is>
          <t>Rare / Rara</t>
        </is>
      </c>
      <c r="D69" s="11" t="inlineStr">
        <is>
          <t>This land enters tapped unless you control an Island or a Mountain. {T}: Add {U} or {R}. / Cascata de Enxofre entra no campo de batalha virado, a menos que você controle uma Ilha ou uma Montanha. {T}: Adicione {U} ou {R} à sua reserva de mana.</t>
        </is>
      </c>
      <c r="F69" s="11" t="inlineStr">
        <is>
          <t>Vermelho, Azul</t>
        </is>
      </c>
      <c r="G69" s="11" t="n">
        <v>4.25</v>
      </c>
      <c r="H69" s="11" t="inlineStr">
        <is>
          <t>Marvel Super Heroes Commander (MSC)</t>
        </is>
      </c>
      <c r="I69" s="11" t="inlineStr">
        <is>
          <t>Não</t>
        </is>
      </c>
      <c r="J69" s="11" t="n">
        <v>2026</v>
      </c>
      <c r="L69" s="11" t="n">
        <v>1</v>
      </c>
    </row>
    <row r="70">
      <c r="A70" s="11" t="inlineStr">
        <is>
          <t>Reconnaissance Mission / Missão de Reconhecimento</t>
        </is>
      </c>
      <c r="B70" s="11" t="inlineStr">
        <is>
          <t>Enchantment / Encantamento</t>
        </is>
      </c>
      <c r="C70" s="11" t="inlineStr">
        <is>
          <t>Uncommon / Incomum</t>
        </is>
      </c>
      <c r="D70" s="11" t="inlineStr">
        <is>
          <t>Whenever a creature you control deals combat damage to a player, you may draw a card. Cycling {2} ({2}, Discard this card: Draw a card.) / Toda vez que uma criatura que você controla causa dano de combate a um jogador, você pode comprar um card. Reciclar {2} ({2}, descarte este card: Compre um card.)</t>
        </is>
      </c>
      <c r="E70" s="11" t="inlineStr">
        <is>
          <t>{2}{U}{U}</t>
        </is>
      </c>
      <c r="F70" s="11" t="inlineStr">
        <is>
          <t>Azul</t>
        </is>
      </c>
      <c r="G70" s="11" t="n">
        <v>3.5</v>
      </c>
      <c r="H70" s="11" t="inlineStr">
        <is>
          <t>Marvel Super Heroes Commander (MSC)</t>
        </is>
      </c>
      <c r="I70" s="11" t="inlineStr">
        <is>
          <t>Não</t>
        </is>
      </c>
      <c r="J70" s="11" t="n">
        <v>2026</v>
      </c>
      <c r="L70" s="11" t="n">
        <v>1</v>
      </c>
    </row>
    <row r="71">
      <c r="A71" s="11" t="inlineStr">
        <is>
          <t>Jarvis, Earth's Mightiest Butler</t>
        </is>
      </c>
      <c r="B71" s="11" t="inlineStr">
        <is>
          <t>Legendary Creature — Human Advisor</t>
        </is>
      </c>
      <c r="C71" s="11" t="inlineStr">
        <is>
          <t>Rare / Rara</t>
        </is>
      </c>
      <c r="D71" s="11" t="inlineStr">
        <is>
          <t>Whenever you cast a Hero spell, draw a card.</t>
        </is>
      </c>
      <c r="E71" s="11" t="inlineStr">
        <is>
          <t>{2}{U}</t>
        </is>
      </c>
      <c r="F71" s="11" t="inlineStr">
        <is>
          <t>Azul</t>
        </is>
      </c>
      <c r="G71" s="11" t="n">
        <v>5.25</v>
      </c>
      <c r="H71" s="11" t="inlineStr">
        <is>
          <t>Marvel Super Heroes Commander (MSC)</t>
        </is>
      </c>
      <c r="I71" s="11" t="inlineStr">
        <is>
          <t>Não</t>
        </is>
      </c>
      <c r="J71" s="11" t="n">
        <v>2026</v>
      </c>
      <c r="K71" s="10" t="n">
        <v>46113</v>
      </c>
      <c r="L71" s="11" t="n">
        <v>1</v>
      </c>
    </row>
    <row r="72">
      <c r="A72" s="11" t="inlineStr">
        <is>
          <t>Speed, Young Avenger</t>
        </is>
      </c>
      <c r="B72" s="11" t="inlineStr">
        <is>
          <t>Legendary Creature — Mutant Hero</t>
        </is>
      </c>
      <c r="C72" s="11" t="inlineStr">
        <is>
          <t>Uncommon / Incomum</t>
        </is>
      </c>
      <c r="D72" s="11" t="inlineStr">
        <is>
          <t>Haste Whenever you cast a noncreature spell, you may pay {1}. When you do, target creature with haste can't be blocked this turn except by creatures with haste.</t>
        </is>
      </c>
      <c r="E72" s="11" t="inlineStr">
        <is>
          <t>{1}{R}</t>
        </is>
      </c>
      <c r="F72" s="11" t="inlineStr">
        <is>
          <t>Vermelho</t>
        </is>
      </c>
      <c r="G72" s="11" t="n">
        <v>0.22</v>
      </c>
      <c r="H72" s="11" t="inlineStr">
        <is>
          <t>Marvel Super Heroes (MSH)</t>
        </is>
      </c>
      <c r="I72" s="11" t="inlineStr">
        <is>
          <t>Sim</t>
        </is>
      </c>
      <c r="J72" s="11" t="n">
        <v>2026</v>
      </c>
      <c r="K72" s="10" t="n">
        <v>46055</v>
      </c>
      <c r="L72" s="11" t="n">
        <v>1</v>
      </c>
    </row>
    <row r="73">
      <c r="A73" s="11" t="inlineStr">
        <is>
          <t>Iron Man, Armored Avenger</t>
        </is>
      </c>
      <c r="B73" s="11" t="inlineStr">
        <is>
          <t>Legendary Artifact Creature — Human Hero</t>
        </is>
      </c>
      <c r="C73" s="11" t="inlineStr">
        <is>
          <t>Rare / Rara</t>
        </is>
      </c>
      <c r="D73" s="11" t="inlineStr">
        <is>
          <t>Flying Whenever you draw a card, put a +1/+1 counter on target creature. Whenever Iron Man attacks, other attacking modified creatures gain flying until end of turn. (Equipment, Auras you control, and counters are modifications.)</t>
        </is>
      </c>
      <c r="E73" s="11" t="inlineStr">
        <is>
          <t>{3}{U}</t>
        </is>
      </c>
      <c r="F73" s="11" t="inlineStr">
        <is>
          <t>Azul</t>
        </is>
      </c>
      <c r="G73" s="11" t="n">
        <v>13</v>
      </c>
      <c r="H73" s="11" t="inlineStr">
        <is>
          <t>Marvel Super Heroes Commander (MSC)</t>
        </is>
      </c>
      <c r="I73" s="11" t="inlineStr">
        <is>
          <t>Não</t>
        </is>
      </c>
      <c r="J73" s="11" t="n">
        <v>2026</v>
      </c>
      <c r="K73" s="10" t="n">
        <v>46055</v>
      </c>
      <c r="L73" s="11" t="n">
        <v>1</v>
      </c>
    </row>
    <row r="74">
      <c r="A74" s="11" t="inlineStr">
        <is>
          <t>Radiant Summit</t>
        </is>
      </c>
      <c r="B74" s="11" t="inlineStr">
        <is>
          <t>Land — Mountain Plains</t>
        </is>
      </c>
      <c r="C74" s="11" t="inlineStr">
        <is>
          <t>Rare / Rara</t>
        </is>
      </c>
      <c r="D74" s="11" t="inlineStr">
        <is>
          <t>({T}: Add {R} or {W}.) This land enters tapped unless you control two or more basic lands.</t>
        </is>
      </c>
      <c r="F74" s="11" t="inlineStr">
        <is>
          <t>Vermelho, Branco</t>
        </is>
      </c>
      <c r="G74" s="11" t="n">
        <v>5</v>
      </c>
      <c r="H74" s="11" t="inlineStr">
        <is>
          <t>Marvel Super Heroes Commander (MSC)</t>
        </is>
      </c>
      <c r="I74" s="11" t="inlineStr">
        <is>
          <t>Não</t>
        </is>
      </c>
      <c r="J74" s="11" t="n">
        <v>2026</v>
      </c>
      <c r="L74" s="11" t="n">
        <v>1</v>
      </c>
    </row>
    <row r="75">
      <c r="A75" s="11" t="inlineStr">
        <is>
          <t>Patriot, Shield Wielder</t>
        </is>
      </c>
      <c r="B75" s="11" t="inlineStr">
        <is>
          <t>Legendary Creature — Human Hero</t>
        </is>
      </c>
      <c r="C75" s="11" t="inlineStr">
        <is>
          <t>Uncommon / Incomum</t>
        </is>
      </c>
      <c r="D75" s="11" t="inlineStr">
        <is>
          <t>{2}, {T}: Another target creature you control gets +2/+0 and gains hexproof until end of turn. (It can't be the target of spells or abilities your opponents control.)</t>
        </is>
      </c>
      <c r="E75" s="11" t="inlineStr">
        <is>
          <t>{1}{W}</t>
        </is>
      </c>
      <c r="F75" s="11" t="inlineStr">
        <is>
          <t>Branco</t>
        </is>
      </c>
      <c r="G75" s="11" t="n">
        <v>0.17</v>
      </c>
      <c r="H75" s="11" t="inlineStr">
        <is>
          <t>Marvel Super Heroes (MSH)</t>
        </is>
      </c>
      <c r="I75" s="11" t="inlineStr">
        <is>
          <t>Não</t>
        </is>
      </c>
      <c r="J75" s="11" t="n">
        <v>2026</v>
      </c>
      <c r="K75" s="10" t="n">
        <v>46055</v>
      </c>
      <c r="L75" s="11" t="n">
        <v>1</v>
      </c>
    </row>
    <row r="76">
      <c r="A76" s="11" t="inlineStr">
        <is>
          <t>Talisman of Conviction / Talismã da Convicção</t>
        </is>
      </c>
      <c r="B76" s="11" t="inlineStr">
        <is>
          <t>Artifact / Artefato</t>
        </is>
      </c>
      <c r="C76" s="11" t="inlineStr">
        <is>
          <t>Uncommon / Incomum</t>
        </is>
      </c>
      <c r="D76" s="11" t="inlineStr">
        <is>
          <t>{T}: Add {C}. {T}: Add {R} or {W}. This artifact deals 1 damage to you. / {T}: Adicione {C}. {T}: Adicione {R} ou {W}. Talismã da Convicção causa 1 ponto de dano a você.</t>
        </is>
      </c>
      <c r="E76" s="11" t="inlineStr">
        <is>
          <t>{2}</t>
        </is>
      </c>
      <c r="F76" s="11" t="inlineStr">
        <is>
          <t>Vermelho, Branco</t>
        </is>
      </c>
      <c r="G76" s="11" t="n">
        <v>3.56</v>
      </c>
      <c r="H76" s="11" t="inlineStr">
        <is>
          <t>Marvel Super Heroes Commander (MSC)</t>
        </is>
      </c>
      <c r="I76" s="11" t="inlineStr">
        <is>
          <t>Não</t>
        </is>
      </c>
      <c r="J76" s="11" t="n">
        <v>2026</v>
      </c>
      <c r="L76" s="11" t="n">
        <v>1</v>
      </c>
    </row>
    <row r="77">
      <c r="A77" s="11" t="inlineStr">
        <is>
          <t>Irrigated Farmland / Fazendas Irrigadas</t>
        </is>
      </c>
      <c r="B77" s="11" t="inlineStr">
        <is>
          <t>Land — Plains Island / Terreno — Planície Ilha</t>
        </is>
      </c>
      <c r="C77" s="11" t="inlineStr">
        <is>
          <t>Rare / Rara</t>
        </is>
      </c>
      <c r="D77" s="11" t="inlineStr">
        <is>
          <t>({T}: Add {W} or {U}.) This land enters tapped. Cycling {2} ({2}, Discard this card: Draw a card.) / ({T}: Adicione {W} ou {U} à sua reserva de mana.) Fazendas Irrigadas entra no campo de batalha virada. Reciclar {2} ({2}, Descarte este card: Compre um card.)</t>
        </is>
      </c>
      <c r="F77" s="11" t="inlineStr">
        <is>
          <t>Azul, Branco</t>
        </is>
      </c>
      <c r="G77" s="11" t="n">
        <v>1.3</v>
      </c>
      <c r="H77" s="11" t="inlineStr">
        <is>
          <t>Marvel Super Heroes Commander (MSC)</t>
        </is>
      </c>
      <c r="I77" s="11" t="inlineStr">
        <is>
          <t>Não</t>
        </is>
      </c>
      <c r="J77" s="11" t="n">
        <v>2026</v>
      </c>
      <c r="L77" s="11" t="n">
        <v>1</v>
      </c>
    </row>
    <row r="78">
      <c r="A78" s="11" t="inlineStr">
        <is>
          <t>Plaza of Heroes / Praça dos Heróis</t>
        </is>
      </c>
      <c r="B78" s="11" t="inlineStr">
        <is>
          <t>Land / Terreno</t>
        </is>
      </c>
      <c r="C78" s="11" t="inlineStr">
        <is>
          <t>Rare / Rara</t>
        </is>
      </c>
      <c r="D78" s="11" t="inlineStr">
        <is>
          <t>{T}: Add {C}. {T}: Add one mana of any color. Spend this mana only to cast a legendary spell. {T}: Add one mana of any color among legendary permanents you control. {3}, {T}, Exile this land: Target legendary creature gains hexproof and indestructible until end of turn. / {T}: Adicione {C}. {T}: Adicione um mana de qualquer cor. Gaste este mana somente para conjurar uma mágica lendária. {T}: Adicione um mana de qualquer cor entre as permanentes lendárias que você controla. {3}, {T}, exile Praça dos Heróis: A criatura lendária alvo ganha resistência a magia e indestrutível até o final do turno.</t>
        </is>
      </c>
      <c r="F78" s="11" t="inlineStr">
        <is>
          <t>Incolor</t>
        </is>
      </c>
      <c r="G78" s="11" t="n">
        <v>19.25</v>
      </c>
      <c r="H78" s="11" t="inlineStr">
        <is>
          <t>Marvel Super Heroes Commander (MSC)</t>
        </is>
      </c>
      <c r="I78" s="11" t="inlineStr">
        <is>
          <t>Não</t>
        </is>
      </c>
      <c r="J78" s="11" t="n">
        <v>2026</v>
      </c>
      <c r="L78" s="11" t="n">
        <v>1</v>
      </c>
    </row>
    <row r="79">
      <c r="A79" s="11" t="inlineStr">
        <is>
          <t>Hero's Blade / Lâmina do Herói</t>
        </is>
      </c>
      <c r="B79" s="11" t="inlineStr">
        <is>
          <t>Artifact — Equipment / Artefato — Equipamento</t>
        </is>
      </c>
      <c r="C79" s="11" t="inlineStr">
        <is>
          <t>Uncommon / Incomum</t>
        </is>
      </c>
      <c r="D79" s="11" t="inlineStr">
        <is>
          <t>Equipped creature gets +3/+2. Whenever a legendary creature you control enters, you may attach this Equipment to it. Equip {4} ({4}: Attach to target creature you control. Equip only as a sorcery.) / A criatura equipada recebe +3/+2. Toda vez que uma criatura lendária entra no campo de batalha sob seu controle, você pode anexar Lâmina do Herói a ela. Equipar {4}</t>
        </is>
      </c>
      <c r="E79" s="11" t="inlineStr">
        <is>
          <t>{2}</t>
        </is>
      </c>
      <c r="F79" s="11" t="inlineStr">
        <is>
          <t>Incolor</t>
        </is>
      </c>
      <c r="G79" s="11" t="n">
        <v>0.35</v>
      </c>
      <c r="H79" s="11" t="inlineStr">
        <is>
          <t>Marvel Super Heroes Commander (MSC)</t>
        </is>
      </c>
      <c r="I79" s="11" t="inlineStr">
        <is>
          <t>Não</t>
        </is>
      </c>
      <c r="J79" s="11" t="n">
        <v>2026</v>
      </c>
      <c r="L79" s="11" t="n">
        <v>1</v>
      </c>
    </row>
    <row r="80">
      <c r="A80" s="11" t="inlineStr">
        <is>
          <t>Winter Soldier, Reborn Avenger</t>
        </is>
      </c>
      <c r="B80" s="11" t="inlineStr">
        <is>
          <t>Legendary Creature — Human Soldier Hero</t>
        </is>
      </c>
      <c r="C80" s="11" t="inlineStr">
        <is>
          <t>Rare / Rara</t>
        </is>
      </c>
      <c r="D80" s="11" t="inlineStr">
        <is>
          <t>Whenever Winter Soldier attacks, return target creature card with mana value less than or equal to Winter Soldier's power from your graveyard to the battlefield. If a Hero enters this way, it enters with an additional +1/+1 counter on it.</t>
        </is>
      </c>
      <c r="E80" s="11" t="inlineStr">
        <is>
          <t>{4}{W}</t>
        </is>
      </c>
      <c r="F80" s="11" t="inlineStr">
        <is>
          <t>Branco</t>
        </is>
      </c>
      <c r="G80" s="11" t="n">
        <v>3.4</v>
      </c>
      <c r="H80" s="11" t="inlineStr">
        <is>
          <t>Marvel Super Heroes Commander (MSC)</t>
        </is>
      </c>
      <c r="I80" s="11" t="inlineStr">
        <is>
          <t>Não</t>
        </is>
      </c>
      <c r="J80" s="11" t="n">
        <v>2026</v>
      </c>
      <c r="K80" s="10" t="n">
        <v>46145</v>
      </c>
      <c r="L80" s="11" t="n">
        <v>1</v>
      </c>
    </row>
    <row r="81">
      <c r="A81" s="11" t="inlineStr">
        <is>
          <t>Methods of the Mighty</t>
        </is>
      </c>
      <c r="B81" s="11" t="inlineStr">
        <is>
          <t>Instant</t>
        </is>
      </c>
      <c r="C81" s="11" t="inlineStr">
        <is>
          <t>Rare / Rara</t>
        </is>
      </c>
      <c r="D81" s="11" t="inlineStr">
        <is>
          <t>Choose one or more — • Destroy target artifact. • Destroy target tapped creature. • Put a +1/+1 counter on each creature you control.</t>
        </is>
      </c>
      <c r="E81" s="11" t="inlineStr">
        <is>
          <t>{3}{W}</t>
        </is>
      </c>
      <c r="F81" s="11" t="inlineStr">
        <is>
          <t>Branco</t>
        </is>
      </c>
      <c r="G81" s="11" t="n">
        <v>11</v>
      </c>
      <c r="H81" s="11" t="inlineStr">
        <is>
          <t>Marvel Super Heroes Commander (MSC)</t>
        </is>
      </c>
      <c r="I81" s="11" t="inlineStr">
        <is>
          <t>Não</t>
        </is>
      </c>
      <c r="J81" s="11" t="n">
        <v>2026</v>
      </c>
      <c r="L81" s="11" t="n">
        <v>1</v>
      </c>
    </row>
    <row r="82">
      <c r="A82" s="11" t="inlineStr">
        <is>
          <t>Talisman of Creativity / Talismã da Criatividade</t>
        </is>
      </c>
      <c r="B82" s="11" t="inlineStr">
        <is>
          <t>Artifact / Artefato</t>
        </is>
      </c>
      <c r="C82" s="11" t="inlineStr">
        <is>
          <t>Uncommon / Incomum</t>
        </is>
      </c>
      <c r="D82" s="11" t="inlineStr">
        <is>
          <t>{T}: Add {C}. {T}: Add {U} or {R}. This artifact deals 1 damage to you. / {T}: Adicione {C}. {T}: Adicione {U} ou {R}. Talismã da Criatividade causa 1 ponto de dano a você.</t>
        </is>
      </c>
      <c r="E82" s="11" t="inlineStr">
        <is>
          <t>{2}</t>
        </is>
      </c>
      <c r="F82" s="11" t="inlineStr">
        <is>
          <t>Vermelho, Azul</t>
        </is>
      </c>
      <c r="G82" s="11" t="n">
        <v>8.91</v>
      </c>
      <c r="H82" s="11" t="inlineStr">
        <is>
          <t>Marvel Super Heroes Commander (MSC)</t>
        </is>
      </c>
      <c r="I82" s="11" t="inlineStr">
        <is>
          <t>Não</t>
        </is>
      </c>
      <c r="J82" s="11" t="n">
        <v>2026</v>
      </c>
      <c r="L82" s="11" t="n">
        <v>1</v>
      </c>
    </row>
    <row r="83">
      <c r="A83" s="11" t="inlineStr">
        <is>
          <t>Heroic Sacrifice</t>
        </is>
      </c>
      <c r="B83" s="11" t="inlineStr">
        <is>
          <t>Instant</t>
        </is>
      </c>
      <c r="C83" s="11" t="inlineStr">
        <is>
          <t>Rare / Rara</t>
        </is>
      </c>
      <c r="D83" s="11" t="inlineStr">
        <is>
          <t>Choose target creature you control. Until end of turn, all damage that would be dealt to you and creatures you control is dealt to the chosen creature instead (if it's still on the battlefield). When that creature dies this turn, put its counters on up to one target creature you control and draw a card.</t>
        </is>
      </c>
      <c r="E83" s="11" t="inlineStr">
        <is>
          <t>{1}{W}</t>
        </is>
      </c>
      <c r="F83" s="11" t="inlineStr">
        <is>
          <t>Branco</t>
        </is>
      </c>
      <c r="G83" s="11" t="n">
        <v>22</v>
      </c>
      <c r="H83" s="11" t="inlineStr">
        <is>
          <t>Marvel Super Heroes Commander (MSC)</t>
        </is>
      </c>
      <c r="I83" s="11" t="inlineStr">
        <is>
          <t>Não</t>
        </is>
      </c>
      <c r="J83" s="11" t="n">
        <v>2026</v>
      </c>
      <c r="L83" s="11" t="n">
        <v>1</v>
      </c>
    </row>
    <row r="84">
      <c r="A84" s="11" t="inlineStr">
        <is>
          <t>Heroic Return</t>
        </is>
      </c>
      <c r="B84" s="11" t="inlineStr">
        <is>
          <t>Instant</t>
        </is>
      </c>
      <c r="C84" s="11" t="inlineStr">
        <is>
          <t>Rare / Rara</t>
        </is>
      </c>
      <c r="D84" s="11" t="inlineStr">
        <is>
          <t>This spell costs {2} less to cast if a creature is attacking you. Return target creature card from your graveyard to the battlefield. If a Hero enters this way, it enters with two additional +1/+1 counters on it.</t>
        </is>
      </c>
      <c r="E84" s="11" t="inlineStr">
        <is>
          <t>{5}{W}</t>
        </is>
      </c>
      <c r="F84" s="11" t="inlineStr">
        <is>
          <t>Branco</t>
        </is>
      </c>
      <c r="G84" s="11" t="n">
        <v>7.9</v>
      </c>
      <c r="H84" s="11" t="inlineStr">
        <is>
          <t>Marvel Super Heroes Commander (MSC)</t>
        </is>
      </c>
      <c r="I84" s="11" t="inlineStr">
        <is>
          <t>Não</t>
        </is>
      </c>
      <c r="J84" s="11" t="n">
        <v>2026</v>
      </c>
      <c r="L84" s="11" t="n">
        <v>1</v>
      </c>
    </row>
    <row r="85">
      <c r="A85" s="11" t="inlineStr">
        <is>
          <t>Sol Ring / Anel Solar</t>
        </is>
      </c>
      <c r="B85" s="11" t="inlineStr">
        <is>
          <t>Artifact / Artefato</t>
        </is>
      </c>
      <c r="C85" s="11" t="inlineStr">
        <is>
          <t>Uncommon / Incomum</t>
        </is>
      </c>
      <c r="D85" s="11" t="inlineStr">
        <is>
          <t>{T}: Add {C}{C}. / {T}: Adicione {C}{C}.</t>
        </is>
      </c>
      <c r="E85" s="11" t="inlineStr">
        <is>
          <t>{1}</t>
        </is>
      </c>
      <c r="F85" s="11" t="inlineStr">
        <is>
          <t>Incolor</t>
        </is>
      </c>
      <c r="G85" s="11" t="n">
        <v>8.82</v>
      </c>
      <c r="H85" s="11" t="inlineStr">
        <is>
          <t>Marvel Super Heroes Commander (MSC)</t>
        </is>
      </c>
      <c r="I85" s="11" t="inlineStr">
        <is>
          <t>Não</t>
        </is>
      </c>
      <c r="J85" s="11" t="n">
        <v>2026</v>
      </c>
      <c r="L85" s="11" t="n">
        <v>1</v>
      </c>
    </row>
    <row r="86">
      <c r="A86" s="11" t="inlineStr">
        <is>
          <t>Hercules, Olympian Hero</t>
        </is>
      </c>
      <c r="B86" s="11" t="inlineStr">
        <is>
          <t>Legendary Creature — Demigod Warrior Hero</t>
        </is>
      </c>
      <c r="C86" s="11" t="inlineStr">
        <is>
          <t>Rare / Rara</t>
        </is>
      </c>
      <c r="D86" s="11" t="inlineStr">
        <is>
          <t>Whenever Hercules attacks, put a +1/+1 counter on him. He gains indestructible until end of turn. Whenever Hercules is dealt damage for the first time each turn, put that many +1/+1 counters on him. (He must survive the damage to get the counters.)</t>
        </is>
      </c>
      <c r="E86" s="11" t="inlineStr">
        <is>
          <t>{3}{W}{W}</t>
        </is>
      </c>
      <c r="F86" s="11" t="inlineStr">
        <is>
          <t>Branco</t>
        </is>
      </c>
      <c r="G86" s="11" t="n">
        <v>3.3</v>
      </c>
      <c r="H86" s="11" t="inlineStr">
        <is>
          <t>Marvel Super Heroes Commander (MSC)</t>
        </is>
      </c>
      <c r="I86" s="11" t="inlineStr">
        <is>
          <t>Não</t>
        </is>
      </c>
      <c r="J86" s="11" t="n">
        <v>2026</v>
      </c>
      <c r="K86" s="10" t="n">
        <v>46084</v>
      </c>
      <c r="L86" s="11" t="n">
        <v>1</v>
      </c>
    </row>
    <row r="87">
      <c r="A87" s="11" t="inlineStr">
        <is>
          <t>Falcon and Redwing</t>
        </is>
      </c>
      <c r="B87" s="11" t="inlineStr">
        <is>
          <t>Legendary Creature — Human Bird Hero</t>
        </is>
      </c>
      <c r="C87" s="11" t="inlineStr">
        <is>
          <t>Rare / Rara</t>
        </is>
      </c>
      <c r="D87" s="11" t="inlineStr">
        <is>
          <t>Flying Whenever Falcon and Redwing deal combat damage to a player, create that many 1/1 white Bird creature tokens with flying, then put a +1/+1 counter on Falcon and Redwing.</t>
        </is>
      </c>
      <c r="E87" s="11" t="inlineStr">
        <is>
          <t>{2}{W}</t>
        </is>
      </c>
      <c r="F87" s="11" t="inlineStr">
        <is>
          <t>Branco</t>
        </is>
      </c>
      <c r="G87" s="11" t="n">
        <v>6.25</v>
      </c>
      <c r="H87" s="11" t="inlineStr">
        <is>
          <t>Marvel Super Heroes Commander (MSC)</t>
        </is>
      </c>
      <c r="I87" s="11" t="inlineStr">
        <is>
          <t>Não</t>
        </is>
      </c>
      <c r="J87" s="11" t="n">
        <v>2026</v>
      </c>
      <c r="K87" s="10" t="n">
        <v>46054</v>
      </c>
      <c r="L87" s="11" t="n">
        <v>1</v>
      </c>
    </row>
    <row r="88">
      <c r="A88" s="11" t="inlineStr">
        <is>
          <t>Captain America, Living Legend</t>
        </is>
      </c>
      <c r="B88" s="11" t="inlineStr">
        <is>
          <t>Legendary Creature — Human Soldier Hero</t>
        </is>
      </c>
      <c r="C88" s="11" t="inlineStr">
        <is>
          <t>Uncommon / Incomum</t>
        </is>
      </c>
      <c r="D88" s="11" t="inlineStr">
        <is>
          <t>Vigilance Whenever a creature you control becomes tapped during your turn, if it's the first time that creature has become tapped this turn, untap it.</t>
        </is>
      </c>
      <c r="E88" s="11" t="inlineStr">
        <is>
          <t>{1}{W}{U}</t>
        </is>
      </c>
      <c r="F88" s="11" t="inlineStr">
        <is>
          <t>Azul, Branco</t>
        </is>
      </c>
      <c r="G88" s="11" t="n">
        <v>1.25</v>
      </c>
      <c r="H88" s="11" t="inlineStr">
        <is>
          <t>Marvel Super Heroes (MSH)</t>
        </is>
      </c>
      <c r="I88" s="11" t="inlineStr">
        <is>
          <t>Não</t>
        </is>
      </c>
      <c r="J88" s="11" t="n">
        <v>2026</v>
      </c>
      <c r="K88" s="10" t="n">
        <v>46115</v>
      </c>
      <c r="L88" s="11" t="n">
        <v>1</v>
      </c>
    </row>
    <row r="89">
      <c r="A89" s="11" t="inlineStr">
        <is>
          <t>Avenge</t>
        </is>
      </c>
      <c r="B89" s="11" t="inlineStr">
        <is>
          <t>Sorcery</t>
        </is>
      </c>
      <c r="C89" s="11" t="inlineStr">
        <is>
          <t>Rare / Rara</t>
        </is>
      </c>
      <c r="D89" s="11" t="inlineStr">
        <is>
          <t>This spell costs {2} less to cast if a player attacked you during their last turn. Destroy all creatures. You gain 1 life for each creature destroyed this way.</t>
        </is>
      </c>
      <c r="E89" s="11" t="inlineStr">
        <is>
          <t>{4}{W}{W}</t>
        </is>
      </c>
      <c r="F89" s="11" t="inlineStr">
        <is>
          <t>Branco</t>
        </is>
      </c>
      <c r="G89" s="11" t="n">
        <v>2.5</v>
      </c>
      <c r="H89" s="11" t="inlineStr">
        <is>
          <t>Marvel Super Heroes Commander (MSC)</t>
        </is>
      </c>
      <c r="I89" s="11" t="inlineStr">
        <is>
          <t>Não</t>
        </is>
      </c>
      <c r="J89" s="11" t="n">
        <v>2026</v>
      </c>
      <c r="L89" s="11" t="n">
        <v>1</v>
      </c>
    </row>
    <row r="90">
      <c r="A90" s="11" t="inlineStr">
        <is>
          <t>Herald's Horn / Corneta do Arauto</t>
        </is>
      </c>
      <c r="B90" s="11" t="inlineStr">
        <is>
          <t>Artifact / Artefato</t>
        </is>
      </c>
      <c r="C90" s="11" t="inlineStr">
        <is>
          <t>Uncommon / Incomum</t>
        </is>
      </c>
      <c r="D90" s="11" t="inlineStr">
        <is>
          <t>As this artifact enters, choose a creature type. Creature spells you cast of the chosen type cost {1} less to cast. At the beginning of your upkeep, look at the top card of your library. If it's a creature card of the chosen type, you may reveal it and put it into your hand. / Conforme Corneta do Arauto entrar no campo de batalha, escolha um tipo de criatura. As mágicas de criatura com o tipo escolhido que você conjura custam {1} a menos para serem conjuradas. No início de sua manutenção, olhe o card do topo de seu grimório. Se for um card de criatura do tipo escolhido, você poderá revelá-lo e colocá-lo em sua mão.</t>
        </is>
      </c>
      <c r="E90" s="11" t="inlineStr">
        <is>
          <t>{3}</t>
        </is>
      </c>
      <c r="F90" s="11" t="inlineStr">
        <is>
          <t>Incolor</t>
        </is>
      </c>
      <c r="G90" s="11" t="n">
        <v>19.94</v>
      </c>
      <c r="H90" s="11" t="inlineStr">
        <is>
          <t>Marvel Super Heroes Commander (MSC)</t>
        </is>
      </c>
      <c r="I90" s="11" t="inlineStr">
        <is>
          <t>Não</t>
        </is>
      </c>
      <c r="J90" s="11" t="n">
        <v>2026</v>
      </c>
      <c r="L90" s="1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2026-07-09T20:56:42Z</dcterms:created>
  <dcterms:modified xmlns:dcterms="http://purl.org/dc/terms/" xmlns:xsi="http://www.w3.org/2001/XMLSchema-instance" xsi:type="dcterms:W3CDTF">2026-07-10T19:44:14Z</dcterms:modified>
</cp:coreProperties>
</file>